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4th EXP\Analysis\"/>
    </mc:Choice>
  </mc:AlternateContent>
  <bookViews>
    <workbookView xWindow="0" yWindow="0" windowWidth="32400" windowHeight="17292" tabRatio="705" firstSheet="1" activeTab="2"/>
  </bookViews>
  <sheets>
    <sheet name="Summary" sheetId="10" r:id="rId1"/>
    <sheet name="Main" sheetId="4" r:id="rId2"/>
    <sheet name="AOIs Fixation" sheetId="2" r:id="rId3"/>
    <sheet name="6target data 4 graph" sheetId="13" r:id="rId4"/>
    <sheet name="Questionnaire" sheetId="11" r:id="rId5"/>
    <sheet name="AOIs_Arrays" sheetId="1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81" i="2" l="1"/>
  <c r="N2881" i="2"/>
  <c r="M2881" i="2"/>
  <c r="L2881" i="2"/>
  <c r="O2880" i="2"/>
  <c r="N2880" i="2"/>
  <c r="M2880" i="2"/>
  <c r="L2880" i="2"/>
  <c r="O2879" i="2"/>
  <c r="N2879" i="2"/>
  <c r="M2879" i="2"/>
  <c r="L2879" i="2"/>
  <c r="O2878" i="2"/>
  <c r="N2878" i="2"/>
  <c r="M2878" i="2"/>
  <c r="L2878" i="2"/>
  <c r="O2877" i="2"/>
  <c r="N2877" i="2"/>
  <c r="M2877" i="2"/>
  <c r="L2877" i="2"/>
  <c r="O2876" i="2"/>
  <c r="N2876" i="2"/>
  <c r="M2876" i="2"/>
  <c r="L2876" i="2"/>
  <c r="O2875" i="2"/>
  <c r="N2875" i="2"/>
  <c r="M2875" i="2"/>
  <c r="L2875" i="2"/>
  <c r="O2874" i="2"/>
  <c r="N2874" i="2"/>
  <c r="M2874" i="2"/>
  <c r="L2874" i="2"/>
  <c r="O2873" i="2"/>
  <c r="N2873" i="2"/>
  <c r="M2873" i="2"/>
  <c r="L2873" i="2"/>
  <c r="O2872" i="2"/>
  <c r="N2872" i="2"/>
  <c r="M2872" i="2"/>
  <c r="L2872" i="2"/>
  <c r="O2871" i="2"/>
  <c r="N2871" i="2"/>
  <c r="M2871" i="2"/>
  <c r="L2871" i="2"/>
  <c r="O2870" i="2"/>
  <c r="N2870" i="2"/>
  <c r="M2870" i="2"/>
  <c r="L2870" i="2"/>
  <c r="O2869" i="2"/>
  <c r="N2869" i="2"/>
  <c r="M2869" i="2"/>
  <c r="L2869" i="2"/>
  <c r="O2868" i="2"/>
  <c r="N2868" i="2"/>
  <c r="M2868" i="2"/>
  <c r="L2868" i="2"/>
  <c r="O2867" i="2"/>
  <c r="N2867" i="2"/>
  <c r="M2867" i="2"/>
  <c r="L2867" i="2"/>
  <c r="O2866" i="2"/>
  <c r="N2866" i="2"/>
  <c r="M2866" i="2"/>
  <c r="L2866" i="2"/>
  <c r="O2865" i="2"/>
  <c r="N2865" i="2"/>
  <c r="M2865" i="2"/>
  <c r="L2865" i="2"/>
  <c r="O2864" i="2"/>
  <c r="N2864" i="2"/>
  <c r="M2864" i="2"/>
  <c r="L2864" i="2"/>
  <c r="O2863" i="2"/>
  <c r="N2863" i="2"/>
  <c r="M2863" i="2"/>
  <c r="L2863" i="2"/>
  <c r="O2862" i="2"/>
  <c r="N2862" i="2"/>
  <c r="M2862" i="2"/>
  <c r="L2862" i="2"/>
  <c r="O2861" i="2"/>
  <c r="N2861" i="2"/>
  <c r="M2861" i="2"/>
  <c r="L2861" i="2"/>
  <c r="O2860" i="2"/>
  <c r="N2860" i="2"/>
  <c r="M2860" i="2"/>
  <c r="L2860" i="2"/>
  <c r="O2859" i="2"/>
  <c r="N2859" i="2"/>
  <c r="M2859" i="2"/>
  <c r="L2859" i="2"/>
  <c r="O2858" i="2"/>
  <c r="N2858" i="2"/>
  <c r="M2858" i="2"/>
  <c r="L2858" i="2"/>
  <c r="O2857" i="2"/>
  <c r="N2857" i="2"/>
  <c r="M2857" i="2"/>
  <c r="L2857" i="2"/>
  <c r="O2856" i="2"/>
  <c r="N2856" i="2"/>
  <c r="M2856" i="2"/>
  <c r="L2856" i="2"/>
  <c r="O2855" i="2"/>
  <c r="N2855" i="2"/>
  <c r="M2855" i="2"/>
  <c r="L2855" i="2"/>
  <c r="O2854" i="2"/>
  <c r="N2854" i="2"/>
  <c r="M2854" i="2"/>
  <c r="L2854" i="2"/>
  <c r="O2853" i="2"/>
  <c r="N2853" i="2"/>
  <c r="M2853" i="2"/>
  <c r="L2853" i="2"/>
  <c r="O2852" i="2"/>
  <c r="N2852" i="2"/>
  <c r="M2852" i="2"/>
  <c r="L2852" i="2"/>
  <c r="O2851" i="2"/>
  <c r="N2851" i="2"/>
  <c r="M2851" i="2"/>
  <c r="L2851" i="2"/>
  <c r="O2850" i="2"/>
  <c r="N2850" i="2"/>
  <c r="M2850" i="2"/>
  <c r="L2850" i="2"/>
  <c r="O2849" i="2"/>
  <c r="N2849" i="2"/>
  <c r="M2849" i="2"/>
  <c r="L2849" i="2"/>
  <c r="O2848" i="2"/>
  <c r="N2848" i="2"/>
  <c r="M2848" i="2"/>
  <c r="L2848" i="2"/>
  <c r="O2847" i="2"/>
  <c r="N2847" i="2"/>
  <c r="M2847" i="2"/>
  <c r="L2847" i="2"/>
  <c r="O2846" i="2"/>
  <c r="N2846" i="2"/>
  <c r="M2846" i="2"/>
  <c r="L2846" i="2"/>
  <c r="O2845" i="2"/>
  <c r="N2845" i="2"/>
  <c r="M2845" i="2"/>
  <c r="L2845" i="2"/>
  <c r="O2844" i="2"/>
  <c r="N2844" i="2"/>
  <c r="M2844" i="2"/>
  <c r="L2844" i="2"/>
  <c r="O2843" i="2"/>
  <c r="N2843" i="2"/>
  <c r="M2843" i="2"/>
  <c r="L2843" i="2"/>
  <c r="O2842" i="2"/>
  <c r="N2842" i="2"/>
  <c r="M2842" i="2"/>
  <c r="L2842" i="2"/>
  <c r="O2841" i="2"/>
  <c r="N2841" i="2"/>
  <c r="M2841" i="2"/>
  <c r="L2841" i="2"/>
  <c r="O2840" i="2"/>
  <c r="N2840" i="2"/>
  <c r="M2840" i="2"/>
  <c r="L2840" i="2"/>
  <c r="O2839" i="2"/>
  <c r="N2839" i="2"/>
  <c r="M2839" i="2"/>
  <c r="L2839" i="2"/>
  <c r="O2838" i="2"/>
  <c r="N2838" i="2"/>
  <c r="M2838" i="2"/>
  <c r="L2838" i="2"/>
  <c r="O2837" i="2"/>
  <c r="N2837" i="2"/>
  <c r="M2837" i="2"/>
  <c r="L2837" i="2"/>
  <c r="O2836" i="2"/>
  <c r="N2836" i="2"/>
  <c r="M2836" i="2"/>
  <c r="L2836" i="2"/>
  <c r="O2835" i="2"/>
  <c r="N2835" i="2"/>
  <c r="M2835" i="2"/>
  <c r="L2835" i="2"/>
  <c r="O2834" i="2"/>
  <c r="N2834" i="2"/>
  <c r="M2834" i="2"/>
  <c r="L2834" i="2"/>
  <c r="O2833" i="2"/>
  <c r="N2833" i="2"/>
  <c r="M2833" i="2"/>
  <c r="L2833" i="2"/>
  <c r="O2832" i="2"/>
  <c r="N2832" i="2"/>
  <c r="M2832" i="2"/>
  <c r="L2832" i="2"/>
  <c r="O2831" i="2"/>
  <c r="N2831" i="2"/>
  <c r="M2831" i="2"/>
  <c r="L2831" i="2"/>
  <c r="O2830" i="2"/>
  <c r="N2830" i="2"/>
  <c r="M2830" i="2"/>
  <c r="L2830" i="2"/>
  <c r="O2829" i="2"/>
  <c r="N2829" i="2"/>
  <c r="M2829" i="2"/>
  <c r="L2829" i="2"/>
  <c r="O2828" i="2"/>
  <c r="N2828" i="2"/>
  <c r="M2828" i="2"/>
  <c r="L2828" i="2"/>
  <c r="O2827" i="2"/>
  <c r="N2827" i="2"/>
  <c r="M2827" i="2"/>
  <c r="L2827" i="2"/>
  <c r="O2826" i="2"/>
  <c r="N2826" i="2"/>
  <c r="M2826" i="2"/>
  <c r="L2826" i="2"/>
  <c r="O2825" i="2"/>
  <c r="N2825" i="2"/>
  <c r="M2825" i="2"/>
  <c r="L2825" i="2"/>
  <c r="O2824" i="2"/>
  <c r="N2824" i="2"/>
  <c r="M2824" i="2"/>
  <c r="L2824" i="2"/>
  <c r="O2823" i="2"/>
  <c r="N2823" i="2"/>
  <c r="M2823" i="2"/>
  <c r="L2823" i="2"/>
  <c r="O2822" i="2"/>
  <c r="N2822" i="2"/>
  <c r="M2822" i="2"/>
  <c r="L2822" i="2"/>
  <c r="O2821" i="2"/>
  <c r="N2821" i="2"/>
  <c r="M2821" i="2"/>
  <c r="L2821" i="2"/>
  <c r="O2820" i="2"/>
  <c r="N2820" i="2"/>
  <c r="M2820" i="2"/>
  <c r="L2820" i="2"/>
  <c r="O2819" i="2"/>
  <c r="N2819" i="2"/>
  <c r="M2819" i="2"/>
  <c r="L2819" i="2"/>
  <c r="O2818" i="2"/>
  <c r="N2818" i="2"/>
  <c r="M2818" i="2"/>
  <c r="L2818" i="2"/>
  <c r="O2817" i="2"/>
  <c r="N2817" i="2"/>
  <c r="M2817" i="2"/>
  <c r="L2817" i="2"/>
  <c r="O2816" i="2"/>
  <c r="N2816" i="2"/>
  <c r="M2816" i="2"/>
  <c r="L2816" i="2"/>
  <c r="O2815" i="2"/>
  <c r="N2815" i="2"/>
  <c r="M2815" i="2"/>
  <c r="L2815" i="2"/>
  <c r="O2814" i="2"/>
  <c r="N2814" i="2"/>
  <c r="M2814" i="2"/>
  <c r="L2814" i="2"/>
  <c r="O2813" i="2"/>
  <c r="N2813" i="2"/>
  <c r="M2813" i="2"/>
  <c r="L2813" i="2"/>
  <c r="O2812" i="2"/>
  <c r="N2812" i="2"/>
  <c r="M2812" i="2"/>
  <c r="L2812" i="2"/>
  <c r="O2811" i="2"/>
  <c r="N2811" i="2"/>
  <c r="M2811" i="2"/>
  <c r="L2811" i="2"/>
  <c r="O2810" i="2"/>
  <c r="N2810" i="2"/>
  <c r="M2810" i="2"/>
  <c r="L2810" i="2"/>
  <c r="O2809" i="2"/>
  <c r="N2809" i="2"/>
  <c r="M2809" i="2"/>
  <c r="L2809" i="2"/>
  <c r="O2808" i="2"/>
  <c r="N2808" i="2"/>
  <c r="M2808" i="2"/>
  <c r="L2808" i="2"/>
  <c r="O2807" i="2"/>
  <c r="N2807" i="2"/>
  <c r="M2807" i="2"/>
  <c r="L2807" i="2"/>
  <c r="O2806" i="2"/>
  <c r="N2806" i="2"/>
  <c r="M2806" i="2"/>
  <c r="L2806" i="2"/>
  <c r="O2805" i="2"/>
  <c r="N2805" i="2"/>
  <c r="M2805" i="2"/>
  <c r="L2805" i="2"/>
  <c r="O2804" i="2"/>
  <c r="N2804" i="2"/>
  <c r="M2804" i="2"/>
  <c r="L2804" i="2"/>
  <c r="O2803" i="2"/>
  <c r="N2803" i="2"/>
  <c r="M2803" i="2"/>
  <c r="L2803" i="2"/>
  <c r="O2802" i="2"/>
  <c r="N2802" i="2"/>
  <c r="M2802" i="2"/>
  <c r="L2802" i="2"/>
  <c r="O2801" i="2"/>
  <c r="N2801" i="2"/>
  <c r="M2801" i="2"/>
  <c r="L2801" i="2"/>
  <c r="O2800" i="2"/>
  <c r="N2800" i="2"/>
  <c r="M2800" i="2"/>
  <c r="L2800" i="2"/>
  <c r="O2799" i="2"/>
  <c r="N2799" i="2"/>
  <c r="M2799" i="2"/>
  <c r="L2799" i="2"/>
  <c r="O2798" i="2"/>
  <c r="N2798" i="2"/>
  <c r="M2798" i="2"/>
  <c r="L2798" i="2"/>
  <c r="O2797" i="2"/>
  <c r="N2797" i="2"/>
  <c r="M2797" i="2"/>
  <c r="L2797" i="2"/>
  <c r="O2796" i="2"/>
  <c r="N2796" i="2"/>
  <c r="M2796" i="2"/>
  <c r="L2796" i="2"/>
  <c r="O2795" i="2"/>
  <c r="N2795" i="2"/>
  <c r="M2795" i="2"/>
  <c r="L2795" i="2"/>
  <c r="O2794" i="2"/>
  <c r="N2794" i="2"/>
  <c r="M2794" i="2"/>
  <c r="L2794" i="2"/>
  <c r="O2793" i="2"/>
  <c r="N2793" i="2"/>
  <c r="M2793" i="2"/>
  <c r="L2793" i="2"/>
  <c r="O2792" i="2"/>
  <c r="N2792" i="2"/>
  <c r="M2792" i="2"/>
  <c r="L2792" i="2"/>
  <c r="O2791" i="2"/>
  <c r="N2791" i="2"/>
  <c r="M2791" i="2"/>
  <c r="L2791" i="2"/>
  <c r="O2790" i="2"/>
  <c r="N2790" i="2"/>
  <c r="M2790" i="2"/>
  <c r="L2790" i="2"/>
  <c r="O2789" i="2"/>
  <c r="N2789" i="2"/>
  <c r="M2789" i="2"/>
  <c r="L2789" i="2"/>
  <c r="O2788" i="2"/>
  <c r="N2788" i="2"/>
  <c r="M2788" i="2"/>
  <c r="L2788" i="2"/>
  <c r="O2787" i="2"/>
  <c r="N2787" i="2"/>
  <c r="M2787" i="2"/>
  <c r="L2787" i="2"/>
  <c r="O2786" i="2"/>
  <c r="N2786" i="2"/>
  <c r="M2786" i="2"/>
  <c r="L2786" i="2"/>
  <c r="O2785" i="2"/>
  <c r="N2785" i="2"/>
  <c r="M2785" i="2"/>
  <c r="L2785" i="2"/>
  <c r="O2784" i="2"/>
  <c r="N2784" i="2"/>
  <c r="M2784" i="2"/>
  <c r="L2784" i="2"/>
  <c r="O2783" i="2"/>
  <c r="N2783" i="2"/>
  <c r="M2783" i="2"/>
  <c r="L2783" i="2"/>
  <c r="O2782" i="2"/>
  <c r="N2782" i="2"/>
  <c r="M2782" i="2"/>
  <c r="L2782" i="2"/>
  <c r="O2781" i="2"/>
  <c r="N2781" i="2"/>
  <c r="M2781" i="2"/>
  <c r="L2781" i="2"/>
  <c r="O2780" i="2"/>
  <c r="N2780" i="2"/>
  <c r="M2780" i="2"/>
  <c r="L2780" i="2"/>
  <c r="O2779" i="2"/>
  <c r="N2779" i="2"/>
  <c r="M2779" i="2"/>
  <c r="L2779" i="2"/>
  <c r="O2778" i="2"/>
  <c r="N2778" i="2"/>
  <c r="M2778" i="2"/>
  <c r="L2778" i="2"/>
  <c r="O2777" i="2"/>
  <c r="N2777" i="2"/>
  <c r="M2777" i="2"/>
  <c r="L2777" i="2"/>
  <c r="O2776" i="2"/>
  <c r="N2776" i="2"/>
  <c r="M2776" i="2"/>
  <c r="L2776" i="2"/>
  <c r="O2775" i="2"/>
  <c r="N2775" i="2"/>
  <c r="M2775" i="2"/>
  <c r="L2775" i="2"/>
  <c r="O2774" i="2"/>
  <c r="N2774" i="2"/>
  <c r="M2774" i="2"/>
  <c r="L2774" i="2"/>
  <c r="O2773" i="2"/>
  <c r="N2773" i="2"/>
  <c r="M2773" i="2"/>
  <c r="L2773" i="2"/>
  <c r="O2772" i="2"/>
  <c r="N2772" i="2"/>
  <c r="M2772" i="2"/>
  <c r="L2772" i="2"/>
  <c r="O2771" i="2"/>
  <c r="N2771" i="2"/>
  <c r="M2771" i="2"/>
  <c r="L2771" i="2"/>
  <c r="O2770" i="2"/>
  <c r="N2770" i="2"/>
  <c r="M2770" i="2"/>
  <c r="L2770" i="2"/>
  <c r="O2769" i="2"/>
  <c r="N2769" i="2"/>
  <c r="M2769" i="2"/>
  <c r="L2769" i="2"/>
  <c r="O2768" i="2"/>
  <c r="N2768" i="2"/>
  <c r="M2768" i="2"/>
  <c r="L2768" i="2"/>
  <c r="O2767" i="2"/>
  <c r="N2767" i="2"/>
  <c r="M2767" i="2"/>
  <c r="L2767" i="2"/>
  <c r="O2766" i="2"/>
  <c r="N2766" i="2"/>
  <c r="M2766" i="2"/>
  <c r="L2766" i="2"/>
  <c r="O2765" i="2"/>
  <c r="N2765" i="2"/>
  <c r="M2765" i="2"/>
  <c r="L2765" i="2"/>
  <c r="O2764" i="2"/>
  <c r="N2764" i="2"/>
  <c r="M2764" i="2"/>
  <c r="L2764" i="2"/>
  <c r="O2763" i="2"/>
  <c r="N2763" i="2"/>
  <c r="M2763" i="2"/>
  <c r="L2763" i="2"/>
  <c r="O2762" i="2"/>
  <c r="N2762" i="2"/>
  <c r="M2762" i="2"/>
  <c r="L2762" i="2"/>
  <c r="O2761" i="2"/>
  <c r="N2761" i="2"/>
  <c r="M2761" i="2"/>
  <c r="L2761" i="2"/>
  <c r="O2760" i="2"/>
  <c r="N2760" i="2"/>
  <c r="M2760" i="2"/>
  <c r="L2760" i="2"/>
  <c r="O2759" i="2"/>
  <c r="N2759" i="2"/>
  <c r="M2759" i="2"/>
  <c r="L2759" i="2"/>
  <c r="O2758" i="2"/>
  <c r="N2758" i="2"/>
  <c r="M2758" i="2"/>
  <c r="L2758" i="2"/>
  <c r="O2757" i="2"/>
  <c r="N2757" i="2"/>
  <c r="M2757" i="2"/>
  <c r="L2757" i="2"/>
  <c r="O2756" i="2"/>
  <c r="N2756" i="2"/>
  <c r="M2756" i="2"/>
  <c r="L2756" i="2"/>
  <c r="O2755" i="2"/>
  <c r="N2755" i="2"/>
  <c r="M2755" i="2"/>
  <c r="L2755" i="2"/>
  <c r="O2754" i="2"/>
  <c r="N2754" i="2"/>
  <c r="M2754" i="2"/>
  <c r="L2754" i="2"/>
  <c r="O2753" i="2"/>
  <c r="N2753" i="2"/>
  <c r="M2753" i="2"/>
  <c r="L2753" i="2"/>
  <c r="O2752" i="2"/>
  <c r="N2752" i="2"/>
  <c r="M2752" i="2"/>
  <c r="L2752" i="2"/>
  <c r="O2751" i="2"/>
  <c r="N2751" i="2"/>
  <c r="M2751" i="2"/>
  <c r="L2751" i="2"/>
  <c r="O2750" i="2"/>
  <c r="N2750" i="2"/>
  <c r="M2750" i="2"/>
  <c r="L2750" i="2"/>
  <c r="O2749" i="2"/>
  <c r="N2749" i="2"/>
  <c r="M2749" i="2"/>
  <c r="L2749" i="2"/>
  <c r="O2748" i="2"/>
  <c r="N2748" i="2"/>
  <c r="M2748" i="2"/>
  <c r="L2748" i="2"/>
  <c r="O2747" i="2"/>
  <c r="N2747" i="2"/>
  <c r="M2747" i="2"/>
  <c r="L2747" i="2"/>
  <c r="O2746" i="2"/>
  <c r="N2746" i="2"/>
  <c r="M2746" i="2"/>
  <c r="L2746" i="2"/>
  <c r="O2745" i="2"/>
  <c r="N2745" i="2"/>
  <c r="M2745" i="2"/>
  <c r="L2745" i="2"/>
  <c r="O2744" i="2"/>
  <c r="N2744" i="2"/>
  <c r="M2744" i="2"/>
  <c r="L2744" i="2"/>
  <c r="O2743" i="2"/>
  <c r="N2743" i="2"/>
  <c r="M2743" i="2"/>
  <c r="L2743" i="2"/>
  <c r="O2742" i="2"/>
  <c r="N2742" i="2"/>
  <c r="M2742" i="2"/>
  <c r="L2742" i="2"/>
  <c r="O2741" i="2"/>
  <c r="N2741" i="2"/>
  <c r="M2741" i="2"/>
  <c r="L2741" i="2"/>
  <c r="O2740" i="2"/>
  <c r="N2740" i="2"/>
  <c r="M2740" i="2"/>
  <c r="L2740" i="2"/>
  <c r="O2739" i="2"/>
  <c r="N2739" i="2"/>
  <c r="M2739" i="2"/>
  <c r="L2739" i="2"/>
  <c r="O2738" i="2"/>
  <c r="N2738" i="2"/>
  <c r="M2738" i="2"/>
  <c r="L2738" i="2"/>
  <c r="O2737" i="2"/>
  <c r="N2737" i="2"/>
  <c r="M2737" i="2"/>
  <c r="L2737" i="2"/>
  <c r="O2736" i="2"/>
  <c r="N2736" i="2"/>
  <c r="M2736" i="2"/>
  <c r="L2736" i="2"/>
  <c r="O2735" i="2"/>
  <c r="N2735" i="2"/>
  <c r="M2735" i="2"/>
  <c r="L2735" i="2"/>
  <c r="O2734" i="2"/>
  <c r="N2734" i="2"/>
  <c r="M2734" i="2"/>
  <c r="L2734" i="2"/>
  <c r="O2733" i="2"/>
  <c r="N2733" i="2"/>
  <c r="M2733" i="2"/>
  <c r="L2733" i="2"/>
  <c r="O2732" i="2"/>
  <c r="N2732" i="2"/>
  <c r="M2732" i="2"/>
  <c r="L2732" i="2"/>
  <c r="O2731" i="2"/>
  <c r="N2731" i="2"/>
  <c r="M2731" i="2"/>
  <c r="L2731" i="2"/>
  <c r="O2730" i="2"/>
  <c r="N2730" i="2"/>
  <c r="M2730" i="2"/>
  <c r="L2730" i="2"/>
  <c r="O2729" i="2"/>
  <c r="N2729" i="2"/>
  <c r="M2729" i="2"/>
  <c r="L2729" i="2"/>
  <c r="O2728" i="2"/>
  <c r="N2728" i="2"/>
  <c r="M2728" i="2"/>
  <c r="L2728" i="2"/>
  <c r="O2727" i="2"/>
  <c r="N2727" i="2"/>
  <c r="M2727" i="2"/>
  <c r="L2727" i="2"/>
  <c r="O2726" i="2"/>
  <c r="N2726" i="2"/>
  <c r="M2726" i="2"/>
  <c r="L2726" i="2"/>
  <c r="O2725" i="2"/>
  <c r="N2725" i="2"/>
  <c r="M2725" i="2"/>
  <c r="L2725" i="2"/>
  <c r="O2724" i="2"/>
  <c r="N2724" i="2"/>
  <c r="M2724" i="2"/>
  <c r="L2724" i="2"/>
  <c r="O2723" i="2"/>
  <c r="N2723" i="2"/>
  <c r="M2723" i="2"/>
  <c r="L2723" i="2"/>
  <c r="O2722" i="2"/>
  <c r="N2722" i="2"/>
  <c r="M2722" i="2"/>
  <c r="L2722" i="2"/>
  <c r="O2721" i="2"/>
  <c r="N2721" i="2"/>
  <c r="M2721" i="2"/>
  <c r="L2721" i="2"/>
  <c r="O2720" i="2"/>
  <c r="N2720" i="2"/>
  <c r="M2720" i="2"/>
  <c r="L2720" i="2"/>
  <c r="O2719" i="2"/>
  <c r="N2719" i="2"/>
  <c r="M2719" i="2"/>
  <c r="L2719" i="2"/>
  <c r="O2718" i="2"/>
  <c r="N2718" i="2"/>
  <c r="M2718" i="2"/>
  <c r="L2718" i="2"/>
  <c r="O2717" i="2"/>
  <c r="N2717" i="2"/>
  <c r="M2717" i="2"/>
  <c r="L2717" i="2"/>
  <c r="O2716" i="2"/>
  <c r="N2716" i="2"/>
  <c r="M2716" i="2"/>
  <c r="L2716" i="2"/>
  <c r="O2715" i="2"/>
  <c r="N2715" i="2"/>
  <c r="M2715" i="2"/>
  <c r="L2715" i="2"/>
  <c r="O2714" i="2"/>
  <c r="N2714" i="2"/>
  <c r="M2714" i="2"/>
  <c r="L2714" i="2"/>
  <c r="O2713" i="2"/>
  <c r="N2713" i="2"/>
  <c r="M2713" i="2"/>
  <c r="L2713" i="2"/>
  <c r="O2712" i="2"/>
  <c r="N2712" i="2"/>
  <c r="M2712" i="2"/>
  <c r="L2712" i="2"/>
  <c r="O2711" i="2"/>
  <c r="N2711" i="2"/>
  <c r="M2711" i="2"/>
  <c r="L2711" i="2"/>
  <c r="O2710" i="2"/>
  <c r="N2710" i="2"/>
  <c r="M2710" i="2"/>
  <c r="L2710" i="2"/>
  <c r="O2709" i="2"/>
  <c r="N2709" i="2"/>
  <c r="M2709" i="2"/>
  <c r="L2709" i="2"/>
  <c r="O2708" i="2"/>
  <c r="N2708" i="2"/>
  <c r="M2708" i="2"/>
  <c r="L2708" i="2"/>
  <c r="O2707" i="2"/>
  <c r="N2707" i="2"/>
  <c r="M2707" i="2"/>
  <c r="L2707" i="2"/>
  <c r="O2706" i="2"/>
  <c r="N2706" i="2"/>
  <c r="M2706" i="2"/>
  <c r="L2706" i="2"/>
  <c r="O2705" i="2"/>
  <c r="N2705" i="2"/>
  <c r="M2705" i="2"/>
  <c r="L2705" i="2"/>
  <c r="O2704" i="2"/>
  <c r="N2704" i="2"/>
  <c r="M2704" i="2"/>
  <c r="L2704" i="2"/>
  <c r="O2703" i="2"/>
  <c r="N2703" i="2"/>
  <c r="M2703" i="2"/>
  <c r="L2703" i="2"/>
  <c r="O2702" i="2"/>
  <c r="N2702" i="2"/>
  <c r="M2702" i="2"/>
  <c r="L2702" i="2"/>
  <c r="O2701" i="2"/>
  <c r="N2701" i="2"/>
  <c r="M2701" i="2"/>
  <c r="L2701" i="2"/>
  <c r="O2700" i="2"/>
  <c r="N2700" i="2"/>
  <c r="M2700" i="2"/>
  <c r="L2700" i="2"/>
  <c r="O2699" i="2"/>
  <c r="N2699" i="2"/>
  <c r="M2699" i="2"/>
  <c r="L2699" i="2"/>
  <c r="O2698" i="2"/>
  <c r="N2698" i="2"/>
  <c r="M2698" i="2"/>
  <c r="L2698" i="2"/>
  <c r="O2697" i="2"/>
  <c r="N2697" i="2"/>
  <c r="M2697" i="2"/>
  <c r="L2697" i="2"/>
  <c r="O2696" i="2"/>
  <c r="N2696" i="2"/>
  <c r="M2696" i="2"/>
  <c r="L2696" i="2"/>
  <c r="O2695" i="2"/>
  <c r="N2695" i="2"/>
  <c r="M2695" i="2"/>
  <c r="L2695" i="2"/>
  <c r="O2694" i="2"/>
  <c r="N2694" i="2"/>
  <c r="M2694" i="2"/>
  <c r="L2694" i="2"/>
  <c r="O2693" i="2"/>
  <c r="N2693" i="2"/>
  <c r="M2693" i="2"/>
  <c r="L2693" i="2"/>
  <c r="O2692" i="2"/>
  <c r="N2692" i="2"/>
  <c r="M2692" i="2"/>
  <c r="L2692" i="2"/>
  <c r="O2691" i="2"/>
  <c r="N2691" i="2"/>
  <c r="M2691" i="2"/>
  <c r="L2691" i="2"/>
  <c r="O2690" i="2"/>
  <c r="N2690" i="2"/>
  <c r="M2690" i="2"/>
  <c r="L2690" i="2"/>
  <c r="O2689" i="2"/>
  <c r="N2689" i="2"/>
  <c r="M2689" i="2"/>
  <c r="L2689" i="2"/>
  <c r="O2688" i="2"/>
  <c r="N2688" i="2"/>
  <c r="M2688" i="2"/>
  <c r="L2688" i="2"/>
  <c r="O2687" i="2"/>
  <c r="N2687" i="2"/>
  <c r="M2687" i="2"/>
  <c r="L2687" i="2"/>
  <c r="O2686" i="2"/>
  <c r="N2686" i="2"/>
  <c r="M2686" i="2"/>
  <c r="L2686" i="2"/>
  <c r="O2685" i="2"/>
  <c r="N2685" i="2"/>
  <c r="M2685" i="2"/>
  <c r="L2685" i="2"/>
  <c r="O2684" i="2"/>
  <c r="N2684" i="2"/>
  <c r="M2684" i="2"/>
  <c r="L2684" i="2"/>
  <c r="O2683" i="2"/>
  <c r="N2683" i="2"/>
  <c r="M2683" i="2"/>
  <c r="L2683" i="2"/>
  <c r="O2682" i="2"/>
  <c r="N2682" i="2"/>
  <c r="M2682" i="2"/>
  <c r="L2682" i="2"/>
  <c r="O2681" i="2"/>
  <c r="N2681" i="2"/>
  <c r="M2681" i="2"/>
  <c r="L2681" i="2"/>
  <c r="O2680" i="2"/>
  <c r="N2680" i="2"/>
  <c r="M2680" i="2"/>
  <c r="L2680" i="2"/>
  <c r="O2679" i="2"/>
  <c r="N2679" i="2"/>
  <c r="M2679" i="2"/>
  <c r="L2679" i="2"/>
  <c r="O2678" i="2"/>
  <c r="N2678" i="2"/>
  <c r="M2678" i="2"/>
  <c r="L2678" i="2"/>
  <c r="O2677" i="2"/>
  <c r="N2677" i="2"/>
  <c r="M2677" i="2"/>
  <c r="L2677" i="2"/>
  <c r="O2676" i="2"/>
  <c r="N2676" i="2"/>
  <c r="M2676" i="2"/>
  <c r="L2676" i="2"/>
  <c r="O2675" i="2"/>
  <c r="N2675" i="2"/>
  <c r="M2675" i="2"/>
  <c r="L2675" i="2"/>
  <c r="O2674" i="2"/>
  <c r="N2674" i="2"/>
  <c r="M2674" i="2"/>
  <c r="L2674" i="2"/>
  <c r="O2673" i="2"/>
  <c r="N2673" i="2"/>
  <c r="M2673" i="2"/>
  <c r="L2673" i="2"/>
  <c r="O2672" i="2"/>
  <c r="N2672" i="2"/>
  <c r="M2672" i="2"/>
  <c r="L2672" i="2"/>
  <c r="O2671" i="2"/>
  <c r="N2671" i="2"/>
  <c r="M2671" i="2"/>
  <c r="L2671" i="2"/>
  <c r="O2670" i="2"/>
  <c r="N2670" i="2"/>
  <c r="M2670" i="2"/>
  <c r="L2670" i="2"/>
  <c r="O2669" i="2"/>
  <c r="N2669" i="2"/>
  <c r="M2669" i="2"/>
  <c r="L2669" i="2"/>
  <c r="O2668" i="2"/>
  <c r="N2668" i="2"/>
  <c r="M2668" i="2"/>
  <c r="L2668" i="2"/>
  <c r="O2667" i="2"/>
  <c r="N2667" i="2"/>
  <c r="M2667" i="2"/>
  <c r="L2667" i="2"/>
  <c r="O2666" i="2"/>
  <c r="N2666" i="2"/>
  <c r="M2666" i="2"/>
  <c r="L2666" i="2"/>
  <c r="O2665" i="2"/>
  <c r="N2665" i="2"/>
  <c r="M2665" i="2"/>
  <c r="L2665" i="2"/>
  <c r="O2664" i="2"/>
  <c r="N2664" i="2"/>
  <c r="M2664" i="2"/>
  <c r="L2664" i="2"/>
  <c r="O2663" i="2"/>
  <c r="N2663" i="2"/>
  <c r="M2663" i="2"/>
  <c r="L2663" i="2"/>
  <c r="O2662" i="2"/>
  <c r="N2662" i="2"/>
  <c r="M2662" i="2"/>
  <c r="L2662" i="2"/>
  <c r="O2661" i="2"/>
  <c r="N2661" i="2"/>
  <c r="M2661" i="2"/>
  <c r="L2661" i="2"/>
  <c r="O2660" i="2"/>
  <c r="N2660" i="2"/>
  <c r="M2660" i="2"/>
  <c r="L2660" i="2"/>
  <c r="O2659" i="2"/>
  <c r="N2659" i="2"/>
  <c r="M2659" i="2"/>
  <c r="L2659" i="2"/>
  <c r="O2658" i="2"/>
  <c r="N2658" i="2"/>
  <c r="M2658" i="2"/>
  <c r="L2658" i="2"/>
  <c r="O2657" i="2"/>
  <c r="N2657" i="2"/>
  <c r="M2657" i="2"/>
  <c r="L2657" i="2"/>
  <c r="O2656" i="2"/>
  <c r="N2656" i="2"/>
  <c r="M2656" i="2"/>
  <c r="L2656" i="2"/>
  <c r="O2655" i="2"/>
  <c r="N2655" i="2"/>
  <c r="M2655" i="2"/>
  <c r="L2655" i="2"/>
  <c r="O2654" i="2"/>
  <c r="N2654" i="2"/>
  <c r="M2654" i="2"/>
  <c r="L2654" i="2"/>
  <c r="O2653" i="2"/>
  <c r="N2653" i="2"/>
  <c r="M2653" i="2"/>
  <c r="L2653" i="2"/>
  <c r="O2652" i="2"/>
  <c r="N2652" i="2"/>
  <c r="M2652" i="2"/>
  <c r="L2652" i="2"/>
  <c r="O2651" i="2"/>
  <c r="N2651" i="2"/>
  <c r="M2651" i="2"/>
  <c r="L2651" i="2"/>
  <c r="O2650" i="2"/>
  <c r="N2650" i="2"/>
  <c r="M2650" i="2"/>
  <c r="L2650" i="2"/>
  <c r="O2649" i="2"/>
  <c r="N2649" i="2"/>
  <c r="M2649" i="2"/>
  <c r="L2649" i="2"/>
  <c r="O2648" i="2"/>
  <c r="N2648" i="2"/>
  <c r="M2648" i="2"/>
  <c r="L2648" i="2"/>
  <c r="O2647" i="2"/>
  <c r="N2647" i="2"/>
  <c r="M2647" i="2"/>
  <c r="L2647" i="2"/>
  <c r="O2646" i="2"/>
  <c r="N2646" i="2"/>
  <c r="M2646" i="2"/>
  <c r="L2646" i="2"/>
  <c r="O2645" i="2"/>
  <c r="N2645" i="2"/>
  <c r="M2645" i="2"/>
  <c r="L2645" i="2"/>
  <c r="O2644" i="2"/>
  <c r="N2644" i="2"/>
  <c r="M2644" i="2"/>
  <c r="L2644" i="2"/>
  <c r="O2643" i="2"/>
  <c r="N2643" i="2"/>
  <c r="M2643" i="2"/>
  <c r="L2643" i="2"/>
  <c r="O2642" i="2"/>
  <c r="N2642" i="2"/>
  <c r="M2642" i="2"/>
  <c r="L2642" i="2"/>
  <c r="O2641" i="2"/>
  <c r="N2641" i="2"/>
  <c r="M2641" i="2"/>
  <c r="L2641" i="2"/>
  <c r="O2640" i="2"/>
  <c r="N2640" i="2"/>
  <c r="M2640" i="2"/>
  <c r="L2640" i="2"/>
  <c r="O2639" i="2"/>
  <c r="N2639" i="2"/>
  <c r="M2639" i="2"/>
  <c r="L2639" i="2"/>
  <c r="O2638" i="2"/>
  <c r="N2638" i="2"/>
  <c r="M2638" i="2"/>
  <c r="L2638" i="2"/>
  <c r="O2637" i="2"/>
  <c r="N2637" i="2"/>
  <c r="M2637" i="2"/>
  <c r="L2637" i="2"/>
  <c r="O2636" i="2"/>
  <c r="N2636" i="2"/>
  <c r="M2636" i="2"/>
  <c r="L2636" i="2"/>
  <c r="O2635" i="2"/>
  <c r="N2635" i="2"/>
  <c r="M2635" i="2"/>
  <c r="L2635" i="2"/>
  <c r="O2634" i="2"/>
  <c r="N2634" i="2"/>
  <c r="M2634" i="2"/>
  <c r="L2634" i="2"/>
  <c r="O2633" i="2"/>
  <c r="N2633" i="2"/>
  <c r="M2633" i="2"/>
  <c r="L2633" i="2"/>
  <c r="O2632" i="2"/>
  <c r="N2632" i="2"/>
  <c r="M2632" i="2"/>
  <c r="L2632" i="2"/>
  <c r="O2631" i="2"/>
  <c r="N2631" i="2"/>
  <c r="M2631" i="2"/>
  <c r="L2631" i="2"/>
  <c r="O2630" i="2"/>
  <c r="N2630" i="2"/>
  <c r="M2630" i="2"/>
  <c r="L2630" i="2"/>
  <c r="O2629" i="2"/>
  <c r="N2629" i="2"/>
  <c r="M2629" i="2"/>
  <c r="L2629" i="2"/>
  <c r="O2628" i="2"/>
  <c r="N2628" i="2"/>
  <c r="M2628" i="2"/>
  <c r="L2628" i="2"/>
  <c r="O2627" i="2"/>
  <c r="N2627" i="2"/>
  <c r="M2627" i="2"/>
  <c r="L2627" i="2"/>
  <c r="O2626" i="2"/>
  <c r="N2626" i="2"/>
  <c r="M2626" i="2"/>
  <c r="L2626" i="2"/>
  <c r="O2625" i="2"/>
  <c r="N2625" i="2"/>
  <c r="M2625" i="2"/>
  <c r="L2625" i="2"/>
  <c r="O2624" i="2"/>
  <c r="N2624" i="2"/>
  <c r="M2624" i="2"/>
  <c r="L2624" i="2"/>
  <c r="O2623" i="2"/>
  <c r="N2623" i="2"/>
  <c r="M2623" i="2"/>
  <c r="L2623" i="2"/>
  <c r="O2622" i="2"/>
  <c r="N2622" i="2"/>
  <c r="M2622" i="2"/>
  <c r="L2622" i="2"/>
  <c r="O2621" i="2"/>
  <c r="N2621" i="2"/>
  <c r="M2621" i="2"/>
  <c r="L2621" i="2"/>
  <c r="O2620" i="2"/>
  <c r="N2620" i="2"/>
  <c r="M2620" i="2"/>
  <c r="L2620" i="2"/>
  <c r="O2619" i="2"/>
  <c r="N2619" i="2"/>
  <c r="M2619" i="2"/>
  <c r="L2619" i="2"/>
  <c r="O2618" i="2"/>
  <c r="N2618" i="2"/>
  <c r="M2618" i="2"/>
  <c r="L2618" i="2"/>
  <c r="O2617" i="2"/>
  <c r="N2617" i="2"/>
  <c r="M2617" i="2"/>
  <c r="L2617" i="2"/>
  <c r="O2616" i="2"/>
  <c r="N2616" i="2"/>
  <c r="M2616" i="2"/>
  <c r="L2616" i="2"/>
  <c r="O2615" i="2"/>
  <c r="N2615" i="2"/>
  <c r="M2615" i="2"/>
  <c r="L2615" i="2"/>
  <c r="O2614" i="2"/>
  <c r="N2614" i="2"/>
  <c r="M2614" i="2"/>
  <c r="L2614" i="2"/>
  <c r="O2613" i="2"/>
  <c r="N2613" i="2"/>
  <c r="M2613" i="2"/>
  <c r="L2613" i="2"/>
  <c r="O2612" i="2"/>
  <c r="N2612" i="2"/>
  <c r="M2612" i="2"/>
  <c r="L2612" i="2"/>
  <c r="O2611" i="2"/>
  <c r="N2611" i="2"/>
  <c r="M2611" i="2"/>
  <c r="L2611" i="2"/>
  <c r="O2610" i="2"/>
  <c r="N2610" i="2"/>
  <c r="M2610" i="2"/>
  <c r="L2610" i="2"/>
  <c r="O2609" i="2"/>
  <c r="N2609" i="2"/>
  <c r="M2609" i="2"/>
  <c r="L2609" i="2"/>
  <c r="O2608" i="2"/>
  <c r="N2608" i="2"/>
  <c r="M2608" i="2"/>
  <c r="L2608" i="2"/>
  <c r="O2607" i="2"/>
  <c r="N2607" i="2"/>
  <c r="M2607" i="2"/>
  <c r="L2607" i="2"/>
  <c r="O2606" i="2"/>
  <c r="N2606" i="2"/>
  <c r="M2606" i="2"/>
  <c r="L2606" i="2"/>
  <c r="O2605" i="2"/>
  <c r="N2605" i="2"/>
  <c r="M2605" i="2"/>
  <c r="L2605" i="2"/>
  <c r="O2604" i="2"/>
  <c r="N2604" i="2"/>
  <c r="M2604" i="2"/>
  <c r="L2604" i="2"/>
  <c r="O2603" i="2"/>
  <c r="N2603" i="2"/>
  <c r="M2603" i="2"/>
  <c r="L2603" i="2"/>
  <c r="O2602" i="2"/>
  <c r="N2602" i="2"/>
  <c r="M2602" i="2"/>
  <c r="L2602" i="2"/>
  <c r="O2601" i="2"/>
  <c r="N2601" i="2"/>
  <c r="M2601" i="2"/>
  <c r="L2601" i="2"/>
  <c r="O2600" i="2"/>
  <c r="N2600" i="2"/>
  <c r="M2600" i="2"/>
  <c r="L2600" i="2"/>
  <c r="O2599" i="2"/>
  <c r="N2599" i="2"/>
  <c r="M2599" i="2"/>
  <c r="L2599" i="2"/>
  <c r="O2598" i="2"/>
  <c r="N2598" i="2"/>
  <c r="M2598" i="2"/>
  <c r="L2598" i="2"/>
  <c r="O2597" i="2"/>
  <c r="N2597" i="2"/>
  <c r="M2597" i="2"/>
  <c r="L2597" i="2"/>
  <c r="O2596" i="2"/>
  <c r="N2596" i="2"/>
  <c r="M2596" i="2"/>
  <c r="L2596" i="2"/>
  <c r="O2595" i="2"/>
  <c r="N2595" i="2"/>
  <c r="M2595" i="2"/>
  <c r="L2595" i="2"/>
  <c r="O2594" i="2"/>
  <c r="N2594" i="2"/>
  <c r="M2594" i="2"/>
  <c r="L2594" i="2"/>
  <c r="O2593" i="2"/>
  <c r="N2593" i="2"/>
  <c r="M2593" i="2"/>
  <c r="L2593" i="2"/>
  <c r="O2592" i="2"/>
  <c r="N2592" i="2"/>
  <c r="M2592" i="2"/>
  <c r="L2592" i="2"/>
  <c r="O2591" i="2"/>
  <c r="N2591" i="2"/>
  <c r="M2591" i="2"/>
  <c r="L2591" i="2"/>
  <c r="O2590" i="2"/>
  <c r="N2590" i="2"/>
  <c r="M2590" i="2"/>
  <c r="L2590" i="2"/>
  <c r="O2589" i="2"/>
  <c r="N2589" i="2"/>
  <c r="M2589" i="2"/>
  <c r="L2589" i="2"/>
  <c r="O2588" i="2"/>
  <c r="N2588" i="2"/>
  <c r="M2588" i="2"/>
  <c r="L2588" i="2"/>
  <c r="O2587" i="2"/>
  <c r="N2587" i="2"/>
  <c r="M2587" i="2"/>
  <c r="L2587" i="2"/>
  <c r="O2586" i="2"/>
  <c r="N2586" i="2"/>
  <c r="M2586" i="2"/>
  <c r="L2586" i="2"/>
  <c r="O2585" i="2"/>
  <c r="N2585" i="2"/>
  <c r="M2585" i="2"/>
  <c r="L2585" i="2"/>
  <c r="O2584" i="2"/>
  <c r="N2584" i="2"/>
  <c r="M2584" i="2"/>
  <c r="L2584" i="2"/>
  <c r="O2583" i="2"/>
  <c r="N2583" i="2"/>
  <c r="M2583" i="2"/>
  <c r="L2583" i="2"/>
  <c r="O2582" i="2"/>
  <c r="N2582" i="2"/>
  <c r="M2582" i="2"/>
  <c r="L2582" i="2"/>
  <c r="O2581" i="2"/>
  <c r="N2581" i="2"/>
  <c r="M2581" i="2"/>
  <c r="L2581" i="2"/>
  <c r="O2580" i="2"/>
  <c r="N2580" i="2"/>
  <c r="M2580" i="2"/>
  <c r="L2580" i="2"/>
  <c r="O2579" i="2"/>
  <c r="N2579" i="2"/>
  <c r="M2579" i="2"/>
  <c r="L2579" i="2"/>
  <c r="O2578" i="2"/>
  <c r="N2578" i="2"/>
  <c r="M2578" i="2"/>
  <c r="L2578" i="2"/>
  <c r="O2577" i="2"/>
  <c r="N2577" i="2"/>
  <c r="M2577" i="2"/>
  <c r="L2577" i="2"/>
  <c r="O2576" i="2"/>
  <c r="N2576" i="2"/>
  <c r="M2576" i="2"/>
  <c r="L2576" i="2"/>
  <c r="O2575" i="2"/>
  <c r="N2575" i="2"/>
  <c r="M2575" i="2"/>
  <c r="L2575" i="2"/>
  <c r="O2574" i="2"/>
  <c r="N2574" i="2"/>
  <c r="M2574" i="2"/>
  <c r="L2574" i="2"/>
  <c r="O2573" i="2"/>
  <c r="N2573" i="2"/>
  <c r="M2573" i="2"/>
  <c r="L2573" i="2"/>
  <c r="O2572" i="2"/>
  <c r="N2572" i="2"/>
  <c r="M2572" i="2"/>
  <c r="L2572" i="2"/>
  <c r="O2571" i="2"/>
  <c r="N2571" i="2"/>
  <c r="M2571" i="2"/>
  <c r="L2571" i="2"/>
  <c r="O2570" i="2"/>
  <c r="N2570" i="2"/>
  <c r="M2570" i="2"/>
  <c r="L2570" i="2"/>
  <c r="O2569" i="2"/>
  <c r="N2569" i="2"/>
  <c r="M2569" i="2"/>
  <c r="L2569" i="2"/>
  <c r="O2568" i="2"/>
  <c r="N2568" i="2"/>
  <c r="M2568" i="2"/>
  <c r="L2568" i="2"/>
  <c r="O2567" i="2"/>
  <c r="N2567" i="2"/>
  <c r="M2567" i="2"/>
  <c r="L2567" i="2"/>
  <c r="O2566" i="2"/>
  <c r="N2566" i="2"/>
  <c r="M2566" i="2"/>
  <c r="L2566" i="2"/>
  <c r="O2565" i="2"/>
  <c r="N2565" i="2"/>
  <c r="M2565" i="2"/>
  <c r="L2565" i="2"/>
  <c r="O2564" i="2"/>
  <c r="N2564" i="2"/>
  <c r="M2564" i="2"/>
  <c r="L2564" i="2"/>
  <c r="O2563" i="2"/>
  <c r="N2563" i="2"/>
  <c r="M2563" i="2"/>
  <c r="L2563" i="2"/>
  <c r="O2562" i="2"/>
  <c r="N2562" i="2"/>
  <c r="M2562" i="2"/>
  <c r="L2562" i="2"/>
  <c r="O2561" i="2"/>
  <c r="N2561" i="2"/>
  <c r="M2561" i="2"/>
  <c r="L2561" i="2"/>
  <c r="O2560" i="2"/>
  <c r="N2560" i="2"/>
  <c r="M2560" i="2"/>
  <c r="L2560" i="2"/>
  <c r="O2559" i="2"/>
  <c r="N2559" i="2"/>
  <c r="M2559" i="2"/>
  <c r="L2559" i="2"/>
  <c r="O2558" i="2"/>
  <c r="N2558" i="2"/>
  <c r="M2558" i="2"/>
  <c r="L2558" i="2"/>
  <c r="O2557" i="2"/>
  <c r="N2557" i="2"/>
  <c r="M2557" i="2"/>
  <c r="L2557" i="2"/>
  <c r="O2556" i="2"/>
  <c r="N2556" i="2"/>
  <c r="M2556" i="2"/>
  <c r="L2556" i="2"/>
  <c r="O2555" i="2"/>
  <c r="N2555" i="2"/>
  <c r="M2555" i="2"/>
  <c r="L2555" i="2"/>
  <c r="O2554" i="2"/>
  <c r="N2554" i="2"/>
  <c r="M2554" i="2"/>
  <c r="L2554" i="2"/>
  <c r="O2553" i="2"/>
  <c r="N2553" i="2"/>
  <c r="M2553" i="2"/>
  <c r="L2553" i="2"/>
  <c r="O2552" i="2"/>
  <c r="N2552" i="2"/>
  <c r="M2552" i="2"/>
  <c r="L2552" i="2"/>
  <c r="O2551" i="2"/>
  <c r="N2551" i="2"/>
  <c r="M2551" i="2"/>
  <c r="L2551" i="2"/>
  <c r="O2550" i="2"/>
  <c r="N2550" i="2"/>
  <c r="M2550" i="2"/>
  <c r="L2550" i="2"/>
  <c r="O2549" i="2"/>
  <c r="N2549" i="2"/>
  <c r="M2549" i="2"/>
  <c r="L2549" i="2"/>
  <c r="O2548" i="2"/>
  <c r="N2548" i="2"/>
  <c r="M2548" i="2"/>
  <c r="L2548" i="2"/>
  <c r="O2547" i="2"/>
  <c r="N2547" i="2"/>
  <c r="M2547" i="2"/>
  <c r="L2547" i="2"/>
  <c r="O2546" i="2"/>
  <c r="N2546" i="2"/>
  <c r="M2546" i="2"/>
  <c r="L2546" i="2"/>
  <c r="O2545" i="2"/>
  <c r="N2545" i="2"/>
  <c r="M2545" i="2"/>
  <c r="L2545" i="2"/>
  <c r="O2544" i="2"/>
  <c r="N2544" i="2"/>
  <c r="M2544" i="2"/>
  <c r="L2544" i="2"/>
  <c r="O2543" i="2"/>
  <c r="N2543" i="2"/>
  <c r="M2543" i="2"/>
  <c r="L2543" i="2"/>
  <c r="O2542" i="2"/>
  <c r="N2542" i="2"/>
  <c r="M2542" i="2"/>
  <c r="L2542" i="2"/>
  <c r="O2541" i="2"/>
  <c r="N2541" i="2"/>
  <c r="M2541" i="2"/>
  <c r="L2541" i="2"/>
  <c r="O2540" i="2"/>
  <c r="N2540" i="2"/>
  <c r="M2540" i="2"/>
  <c r="L2540" i="2"/>
  <c r="O2539" i="2"/>
  <c r="N2539" i="2"/>
  <c r="M2539" i="2"/>
  <c r="L2539" i="2"/>
  <c r="O2538" i="2"/>
  <c r="N2538" i="2"/>
  <c r="M2538" i="2"/>
  <c r="L2538" i="2"/>
  <c r="O2537" i="2"/>
  <c r="N2537" i="2"/>
  <c r="M2537" i="2"/>
  <c r="L2537" i="2"/>
  <c r="O2536" i="2"/>
  <c r="N2536" i="2"/>
  <c r="M2536" i="2"/>
  <c r="L2536" i="2"/>
  <c r="O2535" i="2"/>
  <c r="N2535" i="2"/>
  <c r="M2535" i="2"/>
  <c r="L2535" i="2"/>
  <c r="O2534" i="2"/>
  <c r="N2534" i="2"/>
  <c r="M2534" i="2"/>
  <c r="L2534" i="2"/>
  <c r="O2533" i="2"/>
  <c r="N2533" i="2"/>
  <c r="M2533" i="2"/>
  <c r="L2533" i="2"/>
  <c r="O2532" i="2"/>
  <c r="N2532" i="2"/>
  <c r="M2532" i="2"/>
  <c r="L2532" i="2"/>
  <c r="O2531" i="2"/>
  <c r="N2531" i="2"/>
  <c r="M2531" i="2"/>
  <c r="L2531" i="2"/>
  <c r="O2530" i="2"/>
  <c r="N2530" i="2"/>
  <c r="M2530" i="2"/>
  <c r="L2530" i="2"/>
  <c r="O2529" i="2"/>
  <c r="N2529" i="2"/>
  <c r="M2529" i="2"/>
  <c r="L2529" i="2"/>
  <c r="O2528" i="2"/>
  <c r="N2528" i="2"/>
  <c r="M2528" i="2"/>
  <c r="L2528" i="2"/>
  <c r="O2527" i="2"/>
  <c r="N2527" i="2"/>
  <c r="M2527" i="2"/>
  <c r="L2527" i="2"/>
  <c r="O2526" i="2"/>
  <c r="N2526" i="2"/>
  <c r="M2526" i="2"/>
  <c r="L2526" i="2"/>
  <c r="O2525" i="2"/>
  <c r="N2525" i="2"/>
  <c r="M2525" i="2"/>
  <c r="L2525" i="2"/>
  <c r="O2524" i="2"/>
  <c r="N2524" i="2"/>
  <c r="M2524" i="2"/>
  <c r="L2524" i="2"/>
  <c r="O2523" i="2"/>
  <c r="N2523" i="2"/>
  <c r="M2523" i="2"/>
  <c r="L2523" i="2"/>
  <c r="O2522" i="2"/>
  <c r="N2522" i="2"/>
  <c r="M2522" i="2"/>
  <c r="L2522" i="2"/>
  <c r="O2521" i="2"/>
  <c r="N2521" i="2"/>
  <c r="M2521" i="2"/>
  <c r="L2521" i="2"/>
  <c r="O2520" i="2"/>
  <c r="N2520" i="2"/>
  <c r="M2520" i="2"/>
  <c r="L2520" i="2"/>
  <c r="O2519" i="2"/>
  <c r="N2519" i="2"/>
  <c r="M2519" i="2"/>
  <c r="L2519" i="2"/>
  <c r="O2518" i="2"/>
  <c r="N2518" i="2"/>
  <c r="M2518" i="2"/>
  <c r="L2518" i="2"/>
  <c r="O2517" i="2"/>
  <c r="N2517" i="2"/>
  <c r="M2517" i="2"/>
  <c r="L2517" i="2"/>
  <c r="O2516" i="2"/>
  <c r="N2516" i="2"/>
  <c r="M2516" i="2"/>
  <c r="L2516" i="2"/>
  <c r="O2515" i="2"/>
  <c r="N2515" i="2"/>
  <c r="M2515" i="2"/>
  <c r="L2515" i="2"/>
  <c r="O2514" i="2"/>
  <c r="N2514" i="2"/>
  <c r="M2514" i="2"/>
  <c r="L2514" i="2"/>
  <c r="O2513" i="2"/>
  <c r="N2513" i="2"/>
  <c r="M2513" i="2"/>
  <c r="L2513" i="2"/>
  <c r="O2512" i="2"/>
  <c r="N2512" i="2"/>
  <c r="M2512" i="2"/>
  <c r="L2512" i="2"/>
  <c r="O2511" i="2"/>
  <c r="N2511" i="2"/>
  <c r="M2511" i="2"/>
  <c r="L2511" i="2"/>
  <c r="O2510" i="2"/>
  <c r="N2510" i="2"/>
  <c r="M2510" i="2"/>
  <c r="L2510" i="2"/>
  <c r="O2509" i="2"/>
  <c r="N2509" i="2"/>
  <c r="M2509" i="2"/>
  <c r="L2509" i="2"/>
  <c r="O2508" i="2"/>
  <c r="N2508" i="2"/>
  <c r="M2508" i="2"/>
  <c r="L2508" i="2"/>
  <c r="O2507" i="2"/>
  <c r="N2507" i="2"/>
  <c r="M2507" i="2"/>
  <c r="L2507" i="2"/>
  <c r="O2506" i="2"/>
  <c r="N2506" i="2"/>
  <c r="M2506" i="2"/>
  <c r="L2506" i="2"/>
  <c r="O2505" i="2"/>
  <c r="N2505" i="2"/>
  <c r="M2505" i="2"/>
  <c r="L2505" i="2"/>
  <c r="O2504" i="2"/>
  <c r="N2504" i="2"/>
  <c r="M2504" i="2"/>
  <c r="L2504" i="2"/>
  <c r="O2503" i="2"/>
  <c r="N2503" i="2"/>
  <c r="M2503" i="2"/>
  <c r="L2503" i="2"/>
  <c r="O2502" i="2"/>
  <c r="N2502" i="2"/>
  <c r="M2502" i="2"/>
  <c r="L2502" i="2"/>
  <c r="O2501" i="2"/>
  <c r="N2501" i="2"/>
  <c r="M2501" i="2"/>
  <c r="L2501" i="2"/>
  <c r="O2500" i="2"/>
  <c r="N2500" i="2"/>
  <c r="M2500" i="2"/>
  <c r="L2500" i="2"/>
  <c r="O2499" i="2"/>
  <c r="N2499" i="2"/>
  <c r="M2499" i="2"/>
  <c r="L2499" i="2"/>
  <c r="O2498" i="2"/>
  <c r="N2498" i="2"/>
  <c r="M2498" i="2"/>
  <c r="L2498" i="2"/>
  <c r="O2497" i="2"/>
  <c r="N2497" i="2"/>
  <c r="M2497" i="2"/>
  <c r="L2497" i="2"/>
  <c r="O2496" i="2"/>
  <c r="N2496" i="2"/>
  <c r="M2496" i="2"/>
  <c r="L2496" i="2"/>
  <c r="O2495" i="2"/>
  <c r="N2495" i="2"/>
  <c r="M2495" i="2"/>
  <c r="L2495" i="2"/>
  <c r="O2494" i="2"/>
  <c r="N2494" i="2"/>
  <c r="M2494" i="2"/>
  <c r="L2494" i="2"/>
  <c r="O2493" i="2"/>
  <c r="N2493" i="2"/>
  <c r="M2493" i="2"/>
  <c r="L2493" i="2"/>
  <c r="O2492" i="2"/>
  <c r="N2492" i="2"/>
  <c r="M2492" i="2"/>
  <c r="L2492" i="2"/>
  <c r="O2491" i="2"/>
  <c r="N2491" i="2"/>
  <c r="M2491" i="2"/>
  <c r="L2491" i="2"/>
  <c r="O2490" i="2"/>
  <c r="N2490" i="2"/>
  <c r="M2490" i="2"/>
  <c r="L2490" i="2"/>
  <c r="O2489" i="2"/>
  <c r="N2489" i="2"/>
  <c r="M2489" i="2"/>
  <c r="L2489" i="2"/>
  <c r="O2488" i="2"/>
  <c r="N2488" i="2"/>
  <c r="M2488" i="2"/>
  <c r="L2488" i="2"/>
  <c r="O2487" i="2"/>
  <c r="N2487" i="2"/>
  <c r="M2487" i="2"/>
  <c r="L2487" i="2"/>
  <c r="O2486" i="2"/>
  <c r="N2486" i="2"/>
  <c r="M2486" i="2"/>
  <c r="L2486" i="2"/>
  <c r="O2485" i="2"/>
  <c r="N2485" i="2"/>
  <c r="M2485" i="2"/>
  <c r="L2485" i="2"/>
  <c r="O2484" i="2"/>
  <c r="N2484" i="2"/>
  <c r="M2484" i="2"/>
  <c r="L2484" i="2"/>
  <c r="O2483" i="2"/>
  <c r="N2483" i="2"/>
  <c r="M2483" i="2"/>
  <c r="L2483" i="2"/>
  <c r="O2482" i="2"/>
  <c r="N2482" i="2"/>
  <c r="M2482" i="2"/>
  <c r="L2482" i="2"/>
  <c r="O2481" i="2"/>
  <c r="N2481" i="2"/>
  <c r="M2481" i="2"/>
  <c r="L2481" i="2"/>
  <c r="O2480" i="2"/>
  <c r="N2480" i="2"/>
  <c r="M2480" i="2"/>
  <c r="L2480" i="2"/>
  <c r="O2479" i="2"/>
  <c r="N2479" i="2"/>
  <c r="M2479" i="2"/>
  <c r="L2479" i="2"/>
  <c r="O2478" i="2"/>
  <c r="N2478" i="2"/>
  <c r="M2478" i="2"/>
  <c r="L2478" i="2"/>
  <c r="O2477" i="2"/>
  <c r="N2477" i="2"/>
  <c r="M2477" i="2"/>
  <c r="L2477" i="2"/>
  <c r="O2476" i="2"/>
  <c r="N2476" i="2"/>
  <c r="M2476" i="2"/>
  <c r="L2476" i="2"/>
  <c r="O2475" i="2"/>
  <c r="N2475" i="2"/>
  <c r="M2475" i="2"/>
  <c r="L2475" i="2"/>
  <c r="O2474" i="2"/>
  <c r="N2474" i="2"/>
  <c r="M2474" i="2"/>
  <c r="L2474" i="2"/>
  <c r="O2473" i="2"/>
  <c r="N2473" i="2"/>
  <c r="M2473" i="2"/>
  <c r="L2473" i="2"/>
  <c r="O2472" i="2"/>
  <c r="N2472" i="2"/>
  <c r="M2472" i="2"/>
  <c r="L2472" i="2"/>
  <c r="O2471" i="2"/>
  <c r="N2471" i="2"/>
  <c r="M2471" i="2"/>
  <c r="L2471" i="2"/>
  <c r="O2470" i="2"/>
  <c r="N2470" i="2"/>
  <c r="M2470" i="2"/>
  <c r="L2470" i="2"/>
  <c r="O2469" i="2"/>
  <c r="N2469" i="2"/>
  <c r="M2469" i="2"/>
  <c r="L2469" i="2"/>
  <c r="O2468" i="2"/>
  <c r="N2468" i="2"/>
  <c r="M2468" i="2"/>
  <c r="L2468" i="2"/>
  <c r="O2467" i="2"/>
  <c r="N2467" i="2"/>
  <c r="M2467" i="2"/>
  <c r="L2467" i="2"/>
  <c r="O2466" i="2"/>
  <c r="N2466" i="2"/>
  <c r="M2466" i="2"/>
  <c r="L2466" i="2"/>
  <c r="O2465" i="2"/>
  <c r="N2465" i="2"/>
  <c r="M2465" i="2"/>
  <c r="L2465" i="2"/>
  <c r="O2464" i="2"/>
  <c r="N2464" i="2"/>
  <c r="M2464" i="2"/>
  <c r="L2464" i="2"/>
  <c r="O2463" i="2"/>
  <c r="N2463" i="2"/>
  <c r="M2463" i="2"/>
  <c r="L2463" i="2"/>
  <c r="O2462" i="2"/>
  <c r="N2462" i="2"/>
  <c r="M2462" i="2"/>
  <c r="L2462" i="2"/>
  <c r="O2461" i="2"/>
  <c r="N2461" i="2"/>
  <c r="M2461" i="2"/>
  <c r="L2461" i="2"/>
  <c r="O2460" i="2"/>
  <c r="N2460" i="2"/>
  <c r="M2460" i="2"/>
  <c r="L2460" i="2"/>
  <c r="O2459" i="2"/>
  <c r="N2459" i="2"/>
  <c r="M2459" i="2"/>
  <c r="L2459" i="2"/>
  <c r="O2458" i="2"/>
  <c r="N2458" i="2"/>
  <c r="M2458" i="2"/>
  <c r="L2458" i="2"/>
  <c r="O2457" i="2"/>
  <c r="N2457" i="2"/>
  <c r="M2457" i="2"/>
  <c r="L2457" i="2"/>
  <c r="O2456" i="2"/>
  <c r="N2456" i="2"/>
  <c r="M2456" i="2"/>
  <c r="L2456" i="2"/>
  <c r="O2455" i="2"/>
  <c r="N2455" i="2"/>
  <c r="M2455" i="2"/>
  <c r="L2455" i="2"/>
  <c r="O2454" i="2"/>
  <c r="N2454" i="2"/>
  <c r="M2454" i="2"/>
  <c r="L2454" i="2"/>
  <c r="O2453" i="2"/>
  <c r="N2453" i="2"/>
  <c r="M2453" i="2"/>
  <c r="L2453" i="2"/>
  <c r="O2452" i="2"/>
  <c r="N2452" i="2"/>
  <c r="M2452" i="2"/>
  <c r="L2452" i="2"/>
  <c r="O2451" i="2"/>
  <c r="N2451" i="2"/>
  <c r="M2451" i="2"/>
  <c r="L2451" i="2"/>
  <c r="O2450" i="2"/>
  <c r="N2450" i="2"/>
  <c r="M2450" i="2"/>
  <c r="L2450" i="2"/>
  <c r="O2449" i="2"/>
  <c r="N2449" i="2"/>
  <c r="M2449" i="2"/>
  <c r="L2449" i="2"/>
  <c r="O2448" i="2"/>
  <c r="N2448" i="2"/>
  <c r="M2448" i="2"/>
  <c r="L2448" i="2"/>
  <c r="O2447" i="2"/>
  <c r="N2447" i="2"/>
  <c r="M2447" i="2"/>
  <c r="L2447" i="2"/>
  <c r="O2446" i="2"/>
  <c r="N2446" i="2"/>
  <c r="M2446" i="2"/>
  <c r="L2446" i="2"/>
  <c r="O2445" i="2"/>
  <c r="N2445" i="2"/>
  <c r="M2445" i="2"/>
  <c r="L2445" i="2"/>
  <c r="O2444" i="2"/>
  <c r="N2444" i="2"/>
  <c r="M2444" i="2"/>
  <c r="L2444" i="2"/>
  <c r="O2443" i="2"/>
  <c r="N2443" i="2"/>
  <c r="M2443" i="2"/>
  <c r="L2443" i="2"/>
  <c r="O2442" i="2"/>
  <c r="N2442" i="2"/>
  <c r="M2442" i="2"/>
  <c r="L2442" i="2"/>
  <c r="O2441" i="2"/>
  <c r="N2441" i="2"/>
  <c r="M2441" i="2"/>
  <c r="L2441" i="2"/>
  <c r="O2440" i="2"/>
  <c r="N2440" i="2"/>
  <c r="M2440" i="2"/>
  <c r="L2440" i="2"/>
  <c r="O2439" i="2"/>
  <c r="N2439" i="2"/>
  <c r="M2439" i="2"/>
  <c r="L2439" i="2"/>
  <c r="O2438" i="2"/>
  <c r="N2438" i="2"/>
  <c r="M2438" i="2"/>
  <c r="L2438" i="2"/>
  <c r="O2437" i="2"/>
  <c r="N2437" i="2"/>
  <c r="M2437" i="2"/>
  <c r="L2437" i="2"/>
  <c r="O2436" i="2"/>
  <c r="N2436" i="2"/>
  <c r="M2436" i="2"/>
  <c r="L2436" i="2"/>
  <c r="O2435" i="2"/>
  <c r="N2435" i="2"/>
  <c r="M2435" i="2"/>
  <c r="L2435" i="2"/>
  <c r="O2434" i="2"/>
  <c r="N2434" i="2"/>
  <c r="M2434" i="2"/>
  <c r="L2434" i="2"/>
  <c r="O2433" i="2"/>
  <c r="N2433" i="2"/>
  <c r="M2433" i="2"/>
  <c r="L2433" i="2"/>
  <c r="O2432" i="2"/>
  <c r="N2432" i="2"/>
  <c r="M2432" i="2"/>
  <c r="L2432" i="2"/>
  <c r="O2431" i="2"/>
  <c r="N2431" i="2"/>
  <c r="M2431" i="2"/>
  <c r="L2431" i="2"/>
  <c r="O2430" i="2"/>
  <c r="N2430" i="2"/>
  <c r="M2430" i="2"/>
  <c r="L2430" i="2"/>
  <c r="O2429" i="2"/>
  <c r="N2429" i="2"/>
  <c r="M2429" i="2"/>
  <c r="L2429" i="2"/>
  <c r="O2428" i="2"/>
  <c r="N2428" i="2"/>
  <c r="M2428" i="2"/>
  <c r="L2428" i="2"/>
  <c r="O2427" i="2"/>
  <c r="N2427" i="2"/>
  <c r="M2427" i="2"/>
  <c r="L2427" i="2"/>
  <c r="O2426" i="2"/>
  <c r="N2426" i="2"/>
  <c r="M2426" i="2"/>
  <c r="L2426" i="2"/>
  <c r="O2425" i="2"/>
  <c r="N2425" i="2"/>
  <c r="M2425" i="2"/>
  <c r="L2425" i="2"/>
  <c r="O2424" i="2"/>
  <c r="N2424" i="2"/>
  <c r="M2424" i="2"/>
  <c r="L2424" i="2"/>
  <c r="O2423" i="2"/>
  <c r="N2423" i="2"/>
  <c r="M2423" i="2"/>
  <c r="L2423" i="2"/>
  <c r="O2422" i="2"/>
  <c r="N2422" i="2"/>
  <c r="M2422" i="2"/>
  <c r="L2422" i="2"/>
  <c r="O2421" i="2"/>
  <c r="N2421" i="2"/>
  <c r="M2421" i="2"/>
  <c r="L2421" i="2"/>
  <c r="O2420" i="2"/>
  <c r="N2420" i="2"/>
  <c r="M2420" i="2"/>
  <c r="L2420" i="2"/>
  <c r="O2419" i="2"/>
  <c r="N2419" i="2"/>
  <c r="M2419" i="2"/>
  <c r="L2419" i="2"/>
  <c r="O2418" i="2"/>
  <c r="N2418" i="2"/>
  <c r="M2418" i="2"/>
  <c r="L2418" i="2"/>
  <c r="O2417" i="2"/>
  <c r="N2417" i="2"/>
  <c r="M2417" i="2"/>
  <c r="L2417" i="2"/>
  <c r="O2416" i="2"/>
  <c r="N2416" i="2"/>
  <c r="M2416" i="2"/>
  <c r="L2416" i="2"/>
  <c r="O2415" i="2"/>
  <c r="N2415" i="2"/>
  <c r="M2415" i="2"/>
  <c r="L2415" i="2"/>
  <c r="O2414" i="2"/>
  <c r="N2414" i="2"/>
  <c r="M2414" i="2"/>
  <c r="L2414" i="2"/>
  <c r="O2413" i="2"/>
  <c r="N2413" i="2"/>
  <c r="M2413" i="2"/>
  <c r="L2413" i="2"/>
  <c r="O2412" i="2"/>
  <c r="N2412" i="2"/>
  <c r="M2412" i="2"/>
  <c r="L2412" i="2"/>
  <c r="O2411" i="2"/>
  <c r="N2411" i="2"/>
  <c r="M2411" i="2"/>
  <c r="L2411" i="2"/>
  <c r="O2410" i="2"/>
  <c r="N2410" i="2"/>
  <c r="M2410" i="2"/>
  <c r="L2410" i="2"/>
  <c r="O2409" i="2"/>
  <c r="N2409" i="2"/>
  <c r="M2409" i="2"/>
  <c r="L2409" i="2"/>
  <c r="O2408" i="2"/>
  <c r="N2408" i="2"/>
  <c r="M2408" i="2"/>
  <c r="L2408" i="2"/>
  <c r="O2407" i="2"/>
  <c r="N2407" i="2"/>
  <c r="M2407" i="2"/>
  <c r="L2407" i="2"/>
  <c r="O2406" i="2"/>
  <c r="N2406" i="2"/>
  <c r="M2406" i="2"/>
  <c r="L2406" i="2"/>
  <c r="O2405" i="2"/>
  <c r="N2405" i="2"/>
  <c r="M2405" i="2"/>
  <c r="L2405" i="2"/>
  <c r="O2404" i="2"/>
  <c r="N2404" i="2"/>
  <c r="M2404" i="2"/>
  <c r="L2404" i="2"/>
  <c r="O2403" i="2"/>
  <c r="N2403" i="2"/>
  <c r="M2403" i="2"/>
  <c r="L2403" i="2"/>
  <c r="O2402" i="2"/>
  <c r="N2402" i="2"/>
  <c r="M2402" i="2"/>
  <c r="L2402" i="2"/>
  <c r="O2401" i="2"/>
  <c r="N2401" i="2"/>
  <c r="M2401" i="2"/>
  <c r="L2401" i="2"/>
  <c r="O2400" i="2"/>
  <c r="N2400" i="2"/>
  <c r="M2400" i="2"/>
  <c r="L2400" i="2"/>
  <c r="O2399" i="2"/>
  <c r="N2399" i="2"/>
  <c r="M2399" i="2"/>
  <c r="L2399" i="2"/>
  <c r="O2398" i="2"/>
  <c r="N2398" i="2"/>
  <c r="M2398" i="2"/>
  <c r="L2398" i="2"/>
  <c r="O2397" i="2"/>
  <c r="N2397" i="2"/>
  <c r="M2397" i="2"/>
  <c r="L2397" i="2"/>
  <c r="O2396" i="2"/>
  <c r="N2396" i="2"/>
  <c r="M2396" i="2"/>
  <c r="L2396" i="2"/>
  <c r="O2395" i="2"/>
  <c r="N2395" i="2"/>
  <c r="M2395" i="2"/>
  <c r="L2395" i="2"/>
  <c r="O2394" i="2"/>
  <c r="N2394" i="2"/>
  <c r="M2394" i="2"/>
  <c r="L2394" i="2"/>
  <c r="O2393" i="2"/>
  <c r="N2393" i="2"/>
  <c r="M2393" i="2"/>
  <c r="L2393" i="2"/>
  <c r="O2392" i="2"/>
  <c r="N2392" i="2"/>
  <c r="M2392" i="2"/>
  <c r="L2392" i="2"/>
  <c r="O2391" i="2"/>
  <c r="N2391" i="2"/>
  <c r="M2391" i="2"/>
  <c r="L2391" i="2"/>
  <c r="O2390" i="2"/>
  <c r="N2390" i="2"/>
  <c r="M2390" i="2"/>
  <c r="L2390" i="2"/>
  <c r="O2389" i="2"/>
  <c r="N2389" i="2"/>
  <c r="M2389" i="2"/>
  <c r="L2389" i="2"/>
  <c r="O2388" i="2"/>
  <c r="N2388" i="2"/>
  <c r="M2388" i="2"/>
  <c r="L2388" i="2"/>
  <c r="O2387" i="2"/>
  <c r="N2387" i="2"/>
  <c r="M2387" i="2"/>
  <c r="L2387" i="2"/>
  <c r="O2386" i="2"/>
  <c r="N2386" i="2"/>
  <c r="M2386" i="2"/>
  <c r="L2386" i="2"/>
  <c r="O2385" i="2"/>
  <c r="N2385" i="2"/>
  <c r="M2385" i="2"/>
  <c r="L2385" i="2"/>
  <c r="O2384" i="2"/>
  <c r="N2384" i="2"/>
  <c r="M2384" i="2"/>
  <c r="L2384" i="2"/>
  <c r="O2383" i="2"/>
  <c r="N2383" i="2"/>
  <c r="M2383" i="2"/>
  <c r="L2383" i="2"/>
  <c r="O2382" i="2"/>
  <c r="N2382" i="2"/>
  <c r="M2382" i="2"/>
  <c r="L2382" i="2"/>
  <c r="O2381" i="2"/>
  <c r="N2381" i="2"/>
  <c r="M2381" i="2"/>
  <c r="L2381" i="2"/>
  <c r="O2380" i="2"/>
  <c r="N2380" i="2"/>
  <c r="M2380" i="2"/>
  <c r="L2380" i="2"/>
  <c r="O2379" i="2"/>
  <c r="N2379" i="2"/>
  <c r="M2379" i="2"/>
  <c r="L2379" i="2"/>
  <c r="O2378" i="2"/>
  <c r="N2378" i="2"/>
  <c r="M2378" i="2"/>
  <c r="L2378" i="2"/>
  <c r="O2377" i="2"/>
  <c r="N2377" i="2"/>
  <c r="M2377" i="2"/>
  <c r="L2377" i="2"/>
  <c r="O2376" i="2"/>
  <c r="N2376" i="2"/>
  <c r="M2376" i="2"/>
  <c r="L2376" i="2"/>
  <c r="O2375" i="2"/>
  <c r="N2375" i="2"/>
  <c r="M2375" i="2"/>
  <c r="L2375" i="2"/>
  <c r="O2374" i="2"/>
  <c r="N2374" i="2"/>
  <c r="M2374" i="2"/>
  <c r="L2374" i="2"/>
  <c r="O2373" i="2"/>
  <c r="N2373" i="2"/>
  <c r="M2373" i="2"/>
  <c r="L2373" i="2"/>
  <c r="O2372" i="2"/>
  <c r="N2372" i="2"/>
  <c r="M2372" i="2"/>
  <c r="L2372" i="2"/>
  <c r="O2371" i="2"/>
  <c r="N2371" i="2"/>
  <c r="M2371" i="2"/>
  <c r="L2371" i="2"/>
  <c r="O2370" i="2"/>
  <c r="N2370" i="2"/>
  <c r="M2370" i="2"/>
  <c r="L2370" i="2"/>
  <c r="O2369" i="2"/>
  <c r="N2369" i="2"/>
  <c r="M2369" i="2"/>
  <c r="L2369" i="2"/>
  <c r="O2368" i="2"/>
  <c r="N2368" i="2"/>
  <c r="M2368" i="2"/>
  <c r="L2368" i="2"/>
  <c r="O2367" i="2"/>
  <c r="N2367" i="2"/>
  <c r="M2367" i="2"/>
  <c r="L2367" i="2"/>
  <c r="O2366" i="2"/>
  <c r="N2366" i="2"/>
  <c r="M2366" i="2"/>
  <c r="L2366" i="2"/>
  <c r="O2365" i="2"/>
  <c r="N2365" i="2"/>
  <c r="M2365" i="2"/>
  <c r="L2365" i="2"/>
  <c r="O2364" i="2"/>
  <c r="N2364" i="2"/>
  <c r="M2364" i="2"/>
  <c r="L2364" i="2"/>
  <c r="O2363" i="2"/>
  <c r="N2363" i="2"/>
  <c r="M2363" i="2"/>
  <c r="L2363" i="2"/>
  <c r="O2362" i="2"/>
  <c r="N2362" i="2"/>
  <c r="M2362" i="2"/>
  <c r="L2362" i="2"/>
  <c r="O2361" i="2"/>
  <c r="N2361" i="2"/>
  <c r="M2361" i="2"/>
  <c r="L2361" i="2"/>
  <c r="O2360" i="2"/>
  <c r="N2360" i="2"/>
  <c r="M2360" i="2"/>
  <c r="L2360" i="2"/>
  <c r="O2359" i="2"/>
  <c r="N2359" i="2"/>
  <c r="M2359" i="2"/>
  <c r="L2359" i="2"/>
  <c r="O2358" i="2"/>
  <c r="N2358" i="2"/>
  <c r="M2358" i="2"/>
  <c r="L2358" i="2"/>
  <c r="O2357" i="2"/>
  <c r="N2357" i="2"/>
  <c r="M2357" i="2"/>
  <c r="L2357" i="2"/>
  <c r="O2356" i="2"/>
  <c r="N2356" i="2"/>
  <c r="M2356" i="2"/>
  <c r="L2356" i="2"/>
  <c r="O2355" i="2"/>
  <c r="N2355" i="2"/>
  <c r="M2355" i="2"/>
  <c r="L2355" i="2"/>
  <c r="O2354" i="2"/>
  <c r="N2354" i="2"/>
  <c r="M2354" i="2"/>
  <c r="L2354" i="2"/>
  <c r="O2353" i="2"/>
  <c r="N2353" i="2"/>
  <c r="M2353" i="2"/>
  <c r="L2353" i="2"/>
  <c r="O2352" i="2"/>
  <c r="N2352" i="2"/>
  <c r="M2352" i="2"/>
  <c r="L2352" i="2"/>
  <c r="O2351" i="2"/>
  <c r="N2351" i="2"/>
  <c r="M2351" i="2"/>
  <c r="L2351" i="2"/>
  <c r="O2350" i="2"/>
  <c r="N2350" i="2"/>
  <c r="M2350" i="2"/>
  <c r="L2350" i="2"/>
  <c r="O2349" i="2"/>
  <c r="N2349" i="2"/>
  <c r="M2349" i="2"/>
  <c r="L2349" i="2"/>
  <c r="O2348" i="2"/>
  <c r="N2348" i="2"/>
  <c r="M2348" i="2"/>
  <c r="L2348" i="2"/>
  <c r="O2347" i="2"/>
  <c r="N2347" i="2"/>
  <c r="M2347" i="2"/>
  <c r="L2347" i="2"/>
  <c r="O2346" i="2"/>
  <c r="N2346" i="2"/>
  <c r="M2346" i="2"/>
  <c r="L2346" i="2"/>
  <c r="O2345" i="2"/>
  <c r="N2345" i="2"/>
  <c r="M2345" i="2"/>
  <c r="L2345" i="2"/>
  <c r="O2344" i="2"/>
  <c r="N2344" i="2"/>
  <c r="M2344" i="2"/>
  <c r="L2344" i="2"/>
  <c r="O2343" i="2"/>
  <c r="N2343" i="2"/>
  <c r="M2343" i="2"/>
  <c r="L2343" i="2"/>
  <c r="O2342" i="2"/>
  <c r="N2342" i="2"/>
  <c r="M2342" i="2"/>
  <c r="L2342" i="2"/>
  <c r="O2341" i="2"/>
  <c r="N2341" i="2"/>
  <c r="M2341" i="2"/>
  <c r="L2341" i="2"/>
  <c r="O2340" i="2"/>
  <c r="N2340" i="2"/>
  <c r="M2340" i="2"/>
  <c r="L2340" i="2"/>
  <c r="O2339" i="2"/>
  <c r="N2339" i="2"/>
  <c r="M2339" i="2"/>
  <c r="L2339" i="2"/>
  <c r="O2338" i="2"/>
  <c r="N2338" i="2"/>
  <c r="M2338" i="2"/>
  <c r="L2338" i="2"/>
  <c r="O2337" i="2"/>
  <c r="N2337" i="2"/>
  <c r="M2337" i="2"/>
  <c r="L2337" i="2"/>
  <c r="O2336" i="2"/>
  <c r="N2336" i="2"/>
  <c r="M2336" i="2"/>
  <c r="L2336" i="2"/>
  <c r="O2335" i="2"/>
  <c r="N2335" i="2"/>
  <c r="M2335" i="2"/>
  <c r="L2335" i="2"/>
  <c r="O2334" i="2"/>
  <c r="N2334" i="2"/>
  <c r="M2334" i="2"/>
  <c r="L2334" i="2"/>
  <c r="O2333" i="2"/>
  <c r="N2333" i="2"/>
  <c r="M2333" i="2"/>
  <c r="L2333" i="2"/>
  <c r="O2332" i="2"/>
  <c r="N2332" i="2"/>
  <c r="M2332" i="2"/>
  <c r="L2332" i="2"/>
  <c r="O2331" i="2"/>
  <c r="N2331" i="2"/>
  <c r="M2331" i="2"/>
  <c r="L2331" i="2"/>
  <c r="O2330" i="2"/>
  <c r="N2330" i="2"/>
  <c r="M2330" i="2"/>
  <c r="L2330" i="2"/>
  <c r="O2329" i="2"/>
  <c r="N2329" i="2"/>
  <c r="M2329" i="2"/>
  <c r="L2329" i="2"/>
  <c r="O2328" i="2"/>
  <c r="N2328" i="2"/>
  <c r="M2328" i="2"/>
  <c r="L2328" i="2"/>
  <c r="O2327" i="2"/>
  <c r="N2327" i="2"/>
  <c r="M2327" i="2"/>
  <c r="L2327" i="2"/>
  <c r="O2326" i="2"/>
  <c r="N2326" i="2"/>
  <c r="M2326" i="2"/>
  <c r="L2326" i="2"/>
  <c r="O2325" i="2"/>
  <c r="N2325" i="2"/>
  <c r="M2325" i="2"/>
  <c r="L2325" i="2"/>
  <c r="O2324" i="2"/>
  <c r="N2324" i="2"/>
  <c r="M2324" i="2"/>
  <c r="L2324" i="2"/>
  <c r="O2323" i="2"/>
  <c r="N2323" i="2"/>
  <c r="M2323" i="2"/>
  <c r="L2323" i="2"/>
  <c r="O2322" i="2"/>
  <c r="N2322" i="2"/>
  <c r="M2322" i="2"/>
  <c r="L2322" i="2"/>
  <c r="O2321" i="2"/>
  <c r="N2321" i="2"/>
  <c r="M2321" i="2"/>
  <c r="L2321" i="2"/>
  <c r="O2320" i="2"/>
  <c r="N2320" i="2"/>
  <c r="M2320" i="2"/>
  <c r="L2320" i="2"/>
  <c r="O2319" i="2"/>
  <c r="N2319" i="2"/>
  <c r="M2319" i="2"/>
  <c r="L2319" i="2"/>
  <c r="O2318" i="2"/>
  <c r="N2318" i="2"/>
  <c r="M2318" i="2"/>
  <c r="L2318" i="2"/>
  <c r="O2317" i="2"/>
  <c r="N2317" i="2"/>
  <c r="M2317" i="2"/>
  <c r="L2317" i="2"/>
  <c r="O2316" i="2"/>
  <c r="N2316" i="2"/>
  <c r="M2316" i="2"/>
  <c r="L2316" i="2"/>
  <c r="O2315" i="2"/>
  <c r="N2315" i="2"/>
  <c r="M2315" i="2"/>
  <c r="L2315" i="2"/>
  <c r="O2314" i="2"/>
  <c r="N2314" i="2"/>
  <c r="M2314" i="2"/>
  <c r="L2314" i="2"/>
  <c r="O2313" i="2"/>
  <c r="N2313" i="2"/>
  <c r="M2313" i="2"/>
  <c r="L2313" i="2"/>
  <c r="O2312" i="2"/>
  <c r="N2312" i="2"/>
  <c r="M2312" i="2"/>
  <c r="L2312" i="2"/>
  <c r="O2311" i="2"/>
  <c r="N2311" i="2"/>
  <c r="M2311" i="2"/>
  <c r="L2311" i="2"/>
  <c r="O2310" i="2"/>
  <c r="N2310" i="2"/>
  <c r="M2310" i="2"/>
  <c r="L2310" i="2"/>
  <c r="O2309" i="2"/>
  <c r="N2309" i="2"/>
  <c r="M2309" i="2"/>
  <c r="L2309" i="2"/>
  <c r="O2308" i="2"/>
  <c r="N2308" i="2"/>
  <c r="M2308" i="2"/>
  <c r="L2308" i="2"/>
  <c r="O2307" i="2"/>
  <c r="N2307" i="2"/>
  <c r="M2307" i="2"/>
  <c r="L2307" i="2"/>
  <c r="O2306" i="2"/>
  <c r="N2306" i="2"/>
  <c r="M2306" i="2"/>
  <c r="L2306" i="2"/>
  <c r="O2305" i="2"/>
  <c r="N2305" i="2"/>
  <c r="M2305" i="2"/>
  <c r="L2305" i="2"/>
  <c r="O2304" i="2"/>
  <c r="N2304" i="2"/>
  <c r="M2304" i="2"/>
  <c r="L2304" i="2"/>
  <c r="O2303" i="2"/>
  <c r="N2303" i="2"/>
  <c r="M2303" i="2"/>
  <c r="L2303" i="2"/>
  <c r="O2302" i="2"/>
  <c r="N2302" i="2"/>
  <c r="M2302" i="2"/>
  <c r="L2302" i="2"/>
  <c r="O2301" i="2"/>
  <c r="N2301" i="2"/>
  <c r="M2301" i="2"/>
  <c r="L2301" i="2"/>
  <c r="O2300" i="2"/>
  <c r="N2300" i="2"/>
  <c r="M2300" i="2"/>
  <c r="L2300" i="2"/>
  <c r="O2299" i="2"/>
  <c r="N2299" i="2"/>
  <c r="M2299" i="2"/>
  <c r="L2299" i="2"/>
  <c r="O2298" i="2"/>
  <c r="N2298" i="2"/>
  <c r="M2298" i="2"/>
  <c r="L2298" i="2"/>
  <c r="O2297" i="2"/>
  <c r="N2297" i="2"/>
  <c r="M2297" i="2"/>
  <c r="L2297" i="2"/>
  <c r="O2296" i="2"/>
  <c r="N2296" i="2"/>
  <c r="M2296" i="2"/>
  <c r="L2296" i="2"/>
  <c r="O2295" i="2"/>
  <c r="N2295" i="2"/>
  <c r="M2295" i="2"/>
  <c r="L2295" i="2"/>
  <c r="O2294" i="2"/>
  <c r="N2294" i="2"/>
  <c r="M2294" i="2"/>
  <c r="L2294" i="2"/>
  <c r="O2293" i="2"/>
  <c r="N2293" i="2"/>
  <c r="M2293" i="2"/>
  <c r="L2293" i="2"/>
  <c r="O2292" i="2"/>
  <c r="N2292" i="2"/>
  <c r="M2292" i="2"/>
  <c r="L2292" i="2"/>
  <c r="O2291" i="2"/>
  <c r="N2291" i="2"/>
  <c r="M2291" i="2"/>
  <c r="L2291" i="2"/>
  <c r="O2290" i="2"/>
  <c r="N2290" i="2"/>
  <c r="M2290" i="2"/>
  <c r="L2290" i="2"/>
  <c r="O2289" i="2"/>
  <c r="N2289" i="2"/>
  <c r="M2289" i="2"/>
  <c r="L2289" i="2"/>
  <c r="O2288" i="2"/>
  <c r="N2288" i="2"/>
  <c r="M2288" i="2"/>
  <c r="L2288" i="2"/>
  <c r="O2287" i="2"/>
  <c r="N2287" i="2"/>
  <c r="M2287" i="2"/>
  <c r="L2287" i="2"/>
  <c r="O2286" i="2"/>
  <c r="N2286" i="2"/>
  <c r="M2286" i="2"/>
  <c r="L2286" i="2"/>
  <c r="O2285" i="2"/>
  <c r="N2285" i="2"/>
  <c r="M2285" i="2"/>
  <c r="L2285" i="2"/>
  <c r="O2284" i="2"/>
  <c r="N2284" i="2"/>
  <c r="M2284" i="2"/>
  <c r="L2284" i="2"/>
  <c r="O2283" i="2"/>
  <c r="N2283" i="2"/>
  <c r="M2283" i="2"/>
  <c r="L2283" i="2"/>
  <c r="O2282" i="2"/>
  <c r="N2282" i="2"/>
  <c r="M2282" i="2"/>
  <c r="L2282" i="2"/>
  <c r="O2281" i="2"/>
  <c r="N2281" i="2"/>
  <c r="M2281" i="2"/>
  <c r="L2281" i="2"/>
  <c r="O2280" i="2"/>
  <c r="N2280" i="2"/>
  <c r="M2280" i="2"/>
  <c r="L2280" i="2"/>
  <c r="O2279" i="2"/>
  <c r="N2279" i="2"/>
  <c r="M2279" i="2"/>
  <c r="L2279" i="2"/>
  <c r="O2278" i="2"/>
  <c r="N2278" i="2"/>
  <c r="M2278" i="2"/>
  <c r="L2278" i="2"/>
  <c r="O2277" i="2"/>
  <c r="N2277" i="2"/>
  <c r="M2277" i="2"/>
  <c r="L2277" i="2"/>
  <c r="O2276" i="2"/>
  <c r="N2276" i="2"/>
  <c r="M2276" i="2"/>
  <c r="L2276" i="2"/>
  <c r="O2275" i="2"/>
  <c r="N2275" i="2"/>
  <c r="M2275" i="2"/>
  <c r="L2275" i="2"/>
  <c r="O2274" i="2"/>
  <c r="N2274" i="2"/>
  <c r="M2274" i="2"/>
  <c r="L2274" i="2"/>
  <c r="O2273" i="2"/>
  <c r="N2273" i="2"/>
  <c r="M2273" i="2"/>
  <c r="L2273" i="2"/>
  <c r="O2272" i="2"/>
  <c r="N2272" i="2"/>
  <c r="M2272" i="2"/>
  <c r="L2272" i="2"/>
  <c r="O2271" i="2"/>
  <c r="N2271" i="2"/>
  <c r="M2271" i="2"/>
  <c r="L2271" i="2"/>
  <c r="O2270" i="2"/>
  <c r="N2270" i="2"/>
  <c r="M2270" i="2"/>
  <c r="L2270" i="2"/>
  <c r="O2269" i="2"/>
  <c r="N2269" i="2"/>
  <c r="M2269" i="2"/>
  <c r="L2269" i="2"/>
  <c r="O2268" i="2"/>
  <c r="N2268" i="2"/>
  <c r="M2268" i="2"/>
  <c r="L2268" i="2"/>
  <c r="O2267" i="2"/>
  <c r="N2267" i="2"/>
  <c r="M2267" i="2"/>
  <c r="L2267" i="2"/>
  <c r="O2266" i="2"/>
  <c r="N2266" i="2"/>
  <c r="M2266" i="2"/>
  <c r="L2266" i="2"/>
  <c r="O2265" i="2"/>
  <c r="N2265" i="2"/>
  <c r="M2265" i="2"/>
  <c r="L2265" i="2"/>
  <c r="O2264" i="2"/>
  <c r="N2264" i="2"/>
  <c r="M2264" i="2"/>
  <c r="L2264" i="2"/>
  <c r="O2263" i="2"/>
  <c r="N2263" i="2"/>
  <c r="M2263" i="2"/>
  <c r="L2263" i="2"/>
  <c r="O2262" i="2"/>
  <c r="N2262" i="2"/>
  <c r="M2262" i="2"/>
  <c r="L2262" i="2"/>
  <c r="O2261" i="2"/>
  <c r="N2261" i="2"/>
  <c r="M2261" i="2"/>
  <c r="L2261" i="2"/>
  <c r="O2260" i="2"/>
  <c r="N2260" i="2"/>
  <c r="M2260" i="2"/>
  <c r="L2260" i="2"/>
  <c r="O2259" i="2"/>
  <c r="N2259" i="2"/>
  <c r="M2259" i="2"/>
  <c r="L2259" i="2"/>
  <c r="O2258" i="2"/>
  <c r="N2258" i="2"/>
  <c r="M2258" i="2"/>
  <c r="L2258" i="2"/>
  <c r="O2257" i="2"/>
  <c r="N2257" i="2"/>
  <c r="M2257" i="2"/>
  <c r="L2257" i="2"/>
  <c r="O2256" i="2"/>
  <c r="N2256" i="2"/>
  <c r="M2256" i="2"/>
  <c r="L2256" i="2"/>
  <c r="O2255" i="2"/>
  <c r="N2255" i="2"/>
  <c r="M2255" i="2"/>
  <c r="L2255" i="2"/>
  <c r="O2254" i="2"/>
  <c r="N2254" i="2"/>
  <c r="M2254" i="2"/>
  <c r="L2254" i="2"/>
  <c r="O2253" i="2"/>
  <c r="N2253" i="2"/>
  <c r="M2253" i="2"/>
  <c r="L2253" i="2"/>
  <c r="O2252" i="2"/>
  <c r="N2252" i="2"/>
  <c r="M2252" i="2"/>
  <c r="L2252" i="2"/>
  <c r="O2251" i="2"/>
  <c r="N2251" i="2"/>
  <c r="M2251" i="2"/>
  <c r="L2251" i="2"/>
  <c r="O2250" i="2"/>
  <c r="N2250" i="2"/>
  <c r="M2250" i="2"/>
  <c r="L2250" i="2"/>
  <c r="O2249" i="2"/>
  <c r="N2249" i="2"/>
  <c r="M2249" i="2"/>
  <c r="L2249" i="2"/>
  <c r="O2248" i="2"/>
  <c r="N2248" i="2"/>
  <c r="M2248" i="2"/>
  <c r="L2248" i="2"/>
  <c r="O2247" i="2"/>
  <c r="N2247" i="2"/>
  <c r="M2247" i="2"/>
  <c r="L2247" i="2"/>
  <c r="O2246" i="2"/>
  <c r="N2246" i="2"/>
  <c r="M2246" i="2"/>
  <c r="L2246" i="2"/>
  <c r="O2245" i="2"/>
  <c r="N2245" i="2"/>
  <c r="M2245" i="2"/>
  <c r="L2245" i="2"/>
  <c r="O2244" i="2"/>
  <c r="N2244" i="2"/>
  <c r="M2244" i="2"/>
  <c r="L2244" i="2"/>
  <c r="O2243" i="2"/>
  <c r="N2243" i="2"/>
  <c r="M2243" i="2"/>
  <c r="L2243" i="2"/>
  <c r="O2242" i="2"/>
  <c r="N2242" i="2"/>
  <c r="M2242" i="2"/>
  <c r="L2242" i="2"/>
  <c r="O2241" i="2"/>
  <c r="N2241" i="2"/>
  <c r="M2241" i="2"/>
  <c r="L2241" i="2"/>
  <c r="O2240" i="2"/>
  <c r="N2240" i="2"/>
  <c r="M2240" i="2"/>
  <c r="L2240" i="2"/>
  <c r="O2239" i="2"/>
  <c r="N2239" i="2"/>
  <c r="M2239" i="2"/>
  <c r="L2239" i="2"/>
  <c r="O2238" i="2"/>
  <c r="N2238" i="2"/>
  <c r="M2238" i="2"/>
  <c r="L2238" i="2"/>
  <c r="O2237" i="2"/>
  <c r="N2237" i="2"/>
  <c r="M2237" i="2"/>
  <c r="L2237" i="2"/>
  <c r="O2236" i="2"/>
  <c r="N2236" i="2"/>
  <c r="M2236" i="2"/>
  <c r="L2236" i="2"/>
  <c r="O2235" i="2"/>
  <c r="N2235" i="2"/>
  <c r="M2235" i="2"/>
  <c r="L2235" i="2"/>
  <c r="O2234" i="2"/>
  <c r="N2234" i="2"/>
  <c r="M2234" i="2"/>
  <c r="L2234" i="2"/>
  <c r="O2233" i="2"/>
  <c r="N2233" i="2"/>
  <c r="M2233" i="2"/>
  <c r="L2233" i="2"/>
  <c r="O2232" i="2"/>
  <c r="N2232" i="2"/>
  <c r="M2232" i="2"/>
  <c r="L2232" i="2"/>
  <c r="O2231" i="2"/>
  <c r="N2231" i="2"/>
  <c r="M2231" i="2"/>
  <c r="L2231" i="2"/>
  <c r="O2230" i="2"/>
  <c r="N2230" i="2"/>
  <c r="M2230" i="2"/>
  <c r="L2230" i="2"/>
  <c r="O2229" i="2"/>
  <c r="N2229" i="2"/>
  <c r="M2229" i="2"/>
  <c r="L2229" i="2"/>
  <c r="O2228" i="2"/>
  <c r="N2228" i="2"/>
  <c r="M2228" i="2"/>
  <c r="L2228" i="2"/>
  <c r="O2227" i="2"/>
  <c r="N2227" i="2"/>
  <c r="M2227" i="2"/>
  <c r="L2227" i="2"/>
  <c r="O2226" i="2"/>
  <c r="N2226" i="2"/>
  <c r="M2226" i="2"/>
  <c r="L2226" i="2"/>
  <c r="O2225" i="2"/>
  <c r="N2225" i="2"/>
  <c r="M2225" i="2"/>
  <c r="L2225" i="2"/>
  <c r="O2224" i="2"/>
  <c r="N2224" i="2"/>
  <c r="M2224" i="2"/>
  <c r="L2224" i="2"/>
  <c r="O2223" i="2"/>
  <c r="N2223" i="2"/>
  <c r="M2223" i="2"/>
  <c r="L2223" i="2"/>
  <c r="O2222" i="2"/>
  <c r="N2222" i="2"/>
  <c r="M2222" i="2"/>
  <c r="L2222" i="2"/>
  <c r="O2221" i="2"/>
  <c r="N2221" i="2"/>
  <c r="M2221" i="2"/>
  <c r="L2221" i="2"/>
  <c r="O2220" i="2"/>
  <c r="N2220" i="2"/>
  <c r="M2220" i="2"/>
  <c r="L2220" i="2"/>
  <c r="O2219" i="2"/>
  <c r="N2219" i="2"/>
  <c r="M2219" i="2"/>
  <c r="L2219" i="2"/>
  <c r="O2218" i="2"/>
  <c r="N2218" i="2"/>
  <c r="M2218" i="2"/>
  <c r="L2218" i="2"/>
  <c r="O2217" i="2"/>
  <c r="N2217" i="2"/>
  <c r="M2217" i="2"/>
  <c r="L2217" i="2"/>
  <c r="O2216" i="2"/>
  <c r="N2216" i="2"/>
  <c r="M2216" i="2"/>
  <c r="L2216" i="2"/>
  <c r="O2215" i="2"/>
  <c r="N2215" i="2"/>
  <c r="M2215" i="2"/>
  <c r="L2215" i="2"/>
  <c r="O2214" i="2"/>
  <c r="N2214" i="2"/>
  <c r="M2214" i="2"/>
  <c r="L2214" i="2"/>
  <c r="O2213" i="2"/>
  <c r="N2213" i="2"/>
  <c r="M2213" i="2"/>
  <c r="L2213" i="2"/>
  <c r="O2212" i="2"/>
  <c r="N2212" i="2"/>
  <c r="M2212" i="2"/>
  <c r="L2212" i="2"/>
  <c r="O2211" i="2"/>
  <c r="N2211" i="2"/>
  <c r="M2211" i="2"/>
  <c r="L2211" i="2"/>
  <c r="O2210" i="2"/>
  <c r="N2210" i="2"/>
  <c r="M2210" i="2"/>
  <c r="L2210" i="2"/>
  <c r="O2209" i="2"/>
  <c r="N2209" i="2"/>
  <c r="M2209" i="2"/>
  <c r="L2209" i="2"/>
  <c r="O2208" i="2"/>
  <c r="N2208" i="2"/>
  <c r="M2208" i="2"/>
  <c r="L2208" i="2"/>
  <c r="O2207" i="2"/>
  <c r="N2207" i="2"/>
  <c r="M2207" i="2"/>
  <c r="L2207" i="2"/>
  <c r="O2206" i="2"/>
  <c r="N2206" i="2"/>
  <c r="M2206" i="2"/>
  <c r="L2206" i="2"/>
  <c r="O2205" i="2"/>
  <c r="N2205" i="2"/>
  <c r="M2205" i="2"/>
  <c r="L2205" i="2"/>
  <c r="O2204" i="2"/>
  <c r="N2204" i="2"/>
  <c r="M2204" i="2"/>
  <c r="L2204" i="2"/>
  <c r="O2203" i="2"/>
  <c r="N2203" i="2"/>
  <c r="M2203" i="2"/>
  <c r="L2203" i="2"/>
  <c r="O2202" i="2"/>
  <c r="N2202" i="2"/>
  <c r="M2202" i="2"/>
  <c r="L2202" i="2"/>
  <c r="O2201" i="2"/>
  <c r="N2201" i="2"/>
  <c r="M2201" i="2"/>
  <c r="L2201" i="2"/>
  <c r="O2200" i="2"/>
  <c r="N2200" i="2"/>
  <c r="M2200" i="2"/>
  <c r="L2200" i="2"/>
  <c r="O2199" i="2"/>
  <c r="N2199" i="2"/>
  <c r="M2199" i="2"/>
  <c r="L2199" i="2"/>
  <c r="O2198" i="2"/>
  <c r="N2198" i="2"/>
  <c r="M2198" i="2"/>
  <c r="L2198" i="2"/>
  <c r="O2197" i="2"/>
  <c r="N2197" i="2"/>
  <c r="M2197" i="2"/>
  <c r="L2197" i="2"/>
  <c r="O2196" i="2"/>
  <c r="N2196" i="2"/>
  <c r="M2196" i="2"/>
  <c r="L2196" i="2"/>
  <c r="O2195" i="2"/>
  <c r="N2195" i="2"/>
  <c r="M2195" i="2"/>
  <c r="L2195" i="2"/>
  <c r="O2194" i="2"/>
  <c r="N2194" i="2"/>
  <c r="M2194" i="2"/>
  <c r="L2194" i="2"/>
  <c r="O2193" i="2"/>
  <c r="N2193" i="2"/>
  <c r="M2193" i="2"/>
  <c r="L2193" i="2"/>
  <c r="O2192" i="2"/>
  <c r="N2192" i="2"/>
  <c r="M2192" i="2"/>
  <c r="L2192" i="2"/>
  <c r="O2191" i="2"/>
  <c r="N2191" i="2"/>
  <c r="M2191" i="2"/>
  <c r="L2191" i="2"/>
  <c r="O2190" i="2"/>
  <c r="N2190" i="2"/>
  <c r="M2190" i="2"/>
  <c r="L2190" i="2"/>
  <c r="O2189" i="2"/>
  <c r="N2189" i="2"/>
  <c r="M2189" i="2"/>
  <c r="L2189" i="2"/>
  <c r="O2188" i="2"/>
  <c r="N2188" i="2"/>
  <c r="M2188" i="2"/>
  <c r="L2188" i="2"/>
  <c r="O2187" i="2"/>
  <c r="N2187" i="2"/>
  <c r="M2187" i="2"/>
  <c r="L2187" i="2"/>
  <c r="O2186" i="2"/>
  <c r="N2186" i="2"/>
  <c r="M2186" i="2"/>
  <c r="L2186" i="2"/>
  <c r="O2185" i="2"/>
  <c r="N2185" i="2"/>
  <c r="M2185" i="2"/>
  <c r="L2185" i="2"/>
  <c r="O2184" i="2"/>
  <c r="N2184" i="2"/>
  <c r="M2184" i="2"/>
  <c r="L2184" i="2"/>
  <c r="O2183" i="2"/>
  <c r="N2183" i="2"/>
  <c r="M2183" i="2"/>
  <c r="L2183" i="2"/>
  <c r="O2182" i="2"/>
  <c r="N2182" i="2"/>
  <c r="M2182" i="2"/>
  <c r="L2182" i="2"/>
  <c r="O2181" i="2"/>
  <c r="N2181" i="2"/>
  <c r="M2181" i="2"/>
  <c r="L2181" i="2"/>
  <c r="O2180" i="2"/>
  <c r="N2180" i="2"/>
  <c r="M2180" i="2"/>
  <c r="L2180" i="2"/>
  <c r="O2179" i="2"/>
  <c r="N2179" i="2"/>
  <c r="M2179" i="2"/>
  <c r="L2179" i="2"/>
  <c r="O2178" i="2"/>
  <c r="N2178" i="2"/>
  <c r="M2178" i="2"/>
  <c r="L2178" i="2"/>
  <c r="O2177" i="2"/>
  <c r="N2177" i="2"/>
  <c r="M2177" i="2"/>
  <c r="L2177" i="2"/>
  <c r="O2176" i="2"/>
  <c r="N2176" i="2"/>
  <c r="M2176" i="2"/>
  <c r="L2176" i="2"/>
  <c r="O2175" i="2"/>
  <c r="N2175" i="2"/>
  <c r="M2175" i="2"/>
  <c r="L2175" i="2"/>
  <c r="O2174" i="2"/>
  <c r="N2174" i="2"/>
  <c r="M2174" i="2"/>
  <c r="L2174" i="2"/>
  <c r="O2173" i="2"/>
  <c r="N2173" i="2"/>
  <c r="M2173" i="2"/>
  <c r="L2173" i="2"/>
  <c r="O2172" i="2"/>
  <c r="N2172" i="2"/>
  <c r="M2172" i="2"/>
  <c r="L2172" i="2"/>
  <c r="O2171" i="2"/>
  <c r="N2171" i="2"/>
  <c r="M2171" i="2"/>
  <c r="L2171" i="2"/>
  <c r="O2170" i="2"/>
  <c r="N2170" i="2"/>
  <c r="M2170" i="2"/>
  <c r="L2170" i="2"/>
  <c r="O2169" i="2"/>
  <c r="N2169" i="2"/>
  <c r="M2169" i="2"/>
  <c r="L2169" i="2"/>
  <c r="O2168" i="2"/>
  <c r="N2168" i="2"/>
  <c r="M2168" i="2"/>
  <c r="L2168" i="2"/>
  <c r="O2167" i="2"/>
  <c r="N2167" i="2"/>
  <c r="M2167" i="2"/>
  <c r="L2167" i="2"/>
  <c r="O2166" i="2"/>
  <c r="N2166" i="2"/>
  <c r="M2166" i="2"/>
  <c r="L2166" i="2"/>
  <c r="O2165" i="2"/>
  <c r="N2165" i="2"/>
  <c r="M2165" i="2"/>
  <c r="L2165" i="2"/>
  <c r="O2164" i="2"/>
  <c r="N2164" i="2"/>
  <c r="M2164" i="2"/>
  <c r="L2164" i="2"/>
  <c r="O2163" i="2"/>
  <c r="N2163" i="2"/>
  <c r="M2163" i="2"/>
  <c r="L2163" i="2"/>
  <c r="O2162" i="2"/>
  <c r="N2162" i="2"/>
  <c r="M2162" i="2"/>
  <c r="L2162" i="2"/>
  <c r="O2161" i="2"/>
  <c r="N2161" i="2"/>
  <c r="M2161" i="2"/>
  <c r="L2161" i="2"/>
  <c r="O2160" i="2"/>
  <c r="N2160" i="2"/>
  <c r="M2160" i="2"/>
  <c r="L2160" i="2"/>
  <c r="O2159" i="2"/>
  <c r="N2159" i="2"/>
  <c r="M2159" i="2"/>
  <c r="L2159" i="2"/>
  <c r="O2158" i="2"/>
  <c r="N2158" i="2"/>
  <c r="M2158" i="2"/>
  <c r="L2158" i="2"/>
  <c r="O2157" i="2"/>
  <c r="N2157" i="2"/>
  <c r="M2157" i="2"/>
  <c r="L2157" i="2"/>
  <c r="O2156" i="2"/>
  <c r="N2156" i="2"/>
  <c r="M2156" i="2"/>
  <c r="L2156" i="2"/>
  <c r="O2155" i="2"/>
  <c r="N2155" i="2"/>
  <c r="M2155" i="2"/>
  <c r="L2155" i="2"/>
  <c r="O2154" i="2"/>
  <c r="N2154" i="2"/>
  <c r="M2154" i="2"/>
  <c r="L2154" i="2"/>
  <c r="O2153" i="2"/>
  <c r="N2153" i="2"/>
  <c r="M2153" i="2"/>
  <c r="L2153" i="2"/>
  <c r="O2152" i="2"/>
  <c r="N2152" i="2"/>
  <c r="M2152" i="2"/>
  <c r="L2152" i="2"/>
  <c r="O2151" i="2"/>
  <c r="N2151" i="2"/>
  <c r="M2151" i="2"/>
  <c r="L2151" i="2"/>
  <c r="O2150" i="2"/>
  <c r="N2150" i="2"/>
  <c r="M2150" i="2"/>
  <c r="L2150" i="2"/>
  <c r="O2149" i="2"/>
  <c r="N2149" i="2"/>
  <c r="M2149" i="2"/>
  <c r="L2149" i="2"/>
  <c r="O2148" i="2"/>
  <c r="N2148" i="2"/>
  <c r="M2148" i="2"/>
  <c r="L2148" i="2"/>
  <c r="O2147" i="2"/>
  <c r="N2147" i="2"/>
  <c r="M2147" i="2"/>
  <c r="L2147" i="2"/>
  <c r="O2146" i="2"/>
  <c r="N2146" i="2"/>
  <c r="M2146" i="2"/>
  <c r="L2146" i="2"/>
  <c r="O2145" i="2"/>
  <c r="N2145" i="2"/>
  <c r="M2145" i="2"/>
  <c r="L2145" i="2"/>
  <c r="O2144" i="2"/>
  <c r="N2144" i="2"/>
  <c r="M2144" i="2"/>
  <c r="L2144" i="2"/>
  <c r="O2143" i="2"/>
  <c r="N2143" i="2"/>
  <c r="M2143" i="2"/>
  <c r="L2143" i="2"/>
  <c r="O2142" i="2"/>
  <c r="N2142" i="2"/>
  <c r="M2142" i="2"/>
  <c r="L2142" i="2"/>
  <c r="O2141" i="2"/>
  <c r="N2141" i="2"/>
  <c r="M2141" i="2"/>
  <c r="L2141" i="2"/>
  <c r="O2140" i="2"/>
  <c r="N2140" i="2"/>
  <c r="M2140" i="2"/>
  <c r="L2140" i="2"/>
  <c r="O2139" i="2"/>
  <c r="N2139" i="2"/>
  <c r="M2139" i="2"/>
  <c r="L2139" i="2"/>
  <c r="O2138" i="2"/>
  <c r="N2138" i="2"/>
  <c r="M2138" i="2"/>
  <c r="L2138" i="2"/>
  <c r="O2137" i="2"/>
  <c r="N2137" i="2"/>
  <c r="M2137" i="2"/>
  <c r="L2137" i="2"/>
  <c r="O2136" i="2"/>
  <c r="N2136" i="2"/>
  <c r="M2136" i="2"/>
  <c r="L2136" i="2"/>
  <c r="O2135" i="2"/>
  <c r="N2135" i="2"/>
  <c r="M2135" i="2"/>
  <c r="L2135" i="2"/>
  <c r="O2134" i="2"/>
  <c r="N2134" i="2"/>
  <c r="M2134" i="2"/>
  <c r="L2134" i="2"/>
  <c r="O2133" i="2"/>
  <c r="N2133" i="2"/>
  <c r="M2133" i="2"/>
  <c r="L2133" i="2"/>
  <c r="O2132" i="2"/>
  <c r="N2132" i="2"/>
  <c r="M2132" i="2"/>
  <c r="L2132" i="2"/>
  <c r="O2131" i="2"/>
  <c r="N2131" i="2"/>
  <c r="M2131" i="2"/>
  <c r="L2131" i="2"/>
  <c r="O2130" i="2"/>
  <c r="N2130" i="2"/>
  <c r="M2130" i="2"/>
  <c r="L2130" i="2"/>
  <c r="O2129" i="2"/>
  <c r="N2129" i="2"/>
  <c r="M2129" i="2"/>
  <c r="L2129" i="2"/>
  <c r="O2128" i="2"/>
  <c r="N2128" i="2"/>
  <c r="M2128" i="2"/>
  <c r="L2128" i="2"/>
  <c r="O2127" i="2"/>
  <c r="N2127" i="2"/>
  <c r="M2127" i="2"/>
  <c r="L2127" i="2"/>
  <c r="O2126" i="2"/>
  <c r="N2126" i="2"/>
  <c r="M2126" i="2"/>
  <c r="L2126" i="2"/>
  <c r="O2125" i="2"/>
  <c r="N2125" i="2"/>
  <c r="M2125" i="2"/>
  <c r="L2125" i="2"/>
  <c r="O2124" i="2"/>
  <c r="N2124" i="2"/>
  <c r="M2124" i="2"/>
  <c r="L2124" i="2"/>
  <c r="O2123" i="2"/>
  <c r="N2123" i="2"/>
  <c r="M2123" i="2"/>
  <c r="L2123" i="2"/>
  <c r="O2122" i="2"/>
  <c r="N2122" i="2"/>
  <c r="M2122" i="2"/>
  <c r="L2122" i="2"/>
  <c r="O2121" i="2"/>
  <c r="N2121" i="2"/>
  <c r="M2121" i="2"/>
  <c r="L2121" i="2"/>
  <c r="O2120" i="2"/>
  <c r="N2120" i="2"/>
  <c r="M2120" i="2"/>
  <c r="L2120" i="2"/>
  <c r="O2119" i="2"/>
  <c r="N2119" i="2"/>
  <c r="M2119" i="2"/>
  <c r="L2119" i="2"/>
  <c r="O2118" i="2"/>
  <c r="N2118" i="2"/>
  <c r="M2118" i="2"/>
  <c r="L2118" i="2"/>
  <c r="O2117" i="2"/>
  <c r="N2117" i="2"/>
  <c r="M2117" i="2"/>
  <c r="L2117" i="2"/>
  <c r="O2116" i="2"/>
  <c r="N2116" i="2"/>
  <c r="M2116" i="2"/>
  <c r="L2116" i="2"/>
  <c r="O2115" i="2"/>
  <c r="N2115" i="2"/>
  <c r="M2115" i="2"/>
  <c r="L2115" i="2"/>
  <c r="O2114" i="2"/>
  <c r="N2114" i="2"/>
  <c r="M2114" i="2"/>
  <c r="L2114" i="2"/>
  <c r="O2113" i="2"/>
  <c r="N2113" i="2"/>
  <c r="M2113" i="2"/>
  <c r="L2113" i="2"/>
  <c r="O2112" i="2"/>
  <c r="N2112" i="2"/>
  <c r="M2112" i="2"/>
  <c r="L2112" i="2"/>
  <c r="O2111" i="2"/>
  <c r="N2111" i="2"/>
  <c r="M2111" i="2"/>
  <c r="L2111" i="2"/>
  <c r="O2110" i="2"/>
  <c r="N2110" i="2"/>
  <c r="M2110" i="2"/>
  <c r="L2110" i="2"/>
  <c r="O2109" i="2"/>
  <c r="N2109" i="2"/>
  <c r="M2109" i="2"/>
  <c r="L2109" i="2"/>
  <c r="O2108" i="2"/>
  <c r="N2108" i="2"/>
  <c r="M2108" i="2"/>
  <c r="L2108" i="2"/>
  <c r="O2107" i="2"/>
  <c r="N2107" i="2"/>
  <c r="M2107" i="2"/>
  <c r="L2107" i="2"/>
  <c r="O2106" i="2"/>
  <c r="N2106" i="2"/>
  <c r="M2106" i="2"/>
  <c r="L2106" i="2"/>
  <c r="O2105" i="2"/>
  <c r="N2105" i="2"/>
  <c r="M2105" i="2"/>
  <c r="L2105" i="2"/>
  <c r="O2104" i="2"/>
  <c r="N2104" i="2"/>
  <c r="M2104" i="2"/>
  <c r="L2104" i="2"/>
  <c r="O2103" i="2"/>
  <c r="N2103" i="2"/>
  <c r="M2103" i="2"/>
  <c r="L2103" i="2"/>
  <c r="O2102" i="2"/>
  <c r="N2102" i="2"/>
  <c r="M2102" i="2"/>
  <c r="L2102" i="2"/>
  <c r="O2101" i="2"/>
  <c r="N2101" i="2"/>
  <c r="M2101" i="2"/>
  <c r="L2101" i="2"/>
  <c r="O2100" i="2"/>
  <c r="N2100" i="2"/>
  <c r="M2100" i="2"/>
  <c r="L2100" i="2"/>
  <c r="O2099" i="2"/>
  <c r="N2099" i="2"/>
  <c r="M2099" i="2"/>
  <c r="L2099" i="2"/>
  <c r="O2098" i="2"/>
  <c r="N2098" i="2"/>
  <c r="M2098" i="2"/>
  <c r="L2098" i="2"/>
  <c r="O2097" i="2"/>
  <c r="N2097" i="2"/>
  <c r="M2097" i="2"/>
  <c r="L2097" i="2"/>
  <c r="O2096" i="2"/>
  <c r="N2096" i="2"/>
  <c r="M2096" i="2"/>
  <c r="L2096" i="2"/>
  <c r="O2095" i="2"/>
  <c r="N2095" i="2"/>
  <c r="M2095" i="2"/>
  <c r="L2095" i="2"/>
  <c r="O2094" i="2"/>
  <c r="N2094" i="2"/>
  <c r="M2094" i="2"/>
  <c r="L2094" i="2"/>
  <c r="O2093" i="2"/>
  <c r="N2093" i="2"/>
  <c r="M2093" i="2"/>
  <c r="L2093" i="2"/>
  <c r="O2092" i="2"/>
  <c r="N2092" i="2"/>
  <c r="M2092" i="2"/>
  <c r="L2092" i="2"/>
  <c r="O2091" i="2"/>
  <c r="N2091" i="2"/>
  <c r="M2091" i="2"/>
  <c r="L2091" i="2"/>
  <c r="O2090" i="2"/>
  <c r="N2090" i="2"/>
  <c r="M2090" i="2"/>
  <c r="L2090" i="2"/>
  <c r="O2089" i="2"/>
  <c r="N2089" i="2"/>
  <c r="M2089" i="2"/>
  <c r="L2089" i="2"/>
  <c r="O2088" i="2"/>
  <c r="N2088" i="2"/>
  <c r="M2088" i="2"/>
  <c r="L2088" i="2"/>
  <c r="O2087" i="2"/>
  <c r="N2087" i="2"/>
  <c r="M2087" i="2"/>
  <c r="L2087" i="2"/>
  <c r="O2086" i="2"/>
  <c r="N2086" i="2"/>
  <c r="M2086" i="2"/>
  <c r="L2086" i="2"/>
  <c r="O2085" i="2"/>
  <c r="N2085" i="2"/>
  <c r="M2085" i="2"/>
  <c r="L2085" i="2"/>
  <c r="O2084" i="2"/>
  <c r="N2084" i="2"/>
  <c r="M2084" i="2"/>
  <c r="L2084" i="2"/>
  <c r="O2083" i="2"/>
  <c r="N2083" i="2"/>
  <c r="M2083" i="2"/>
  <c r="L2083" i="2"/>
  <c r="O2082" i="2"/>
  <c r="N2082" i="2"/>
  <c r="M2082" i="2"/>
  <c r="L2082" i="2"/>
  <c r="O2081" i="2"/>
  <c r="N2081" i="2"/>
  <c r="M2081" i="2"/>
  <c r="L2081" i="2"/>
  <c r="O2080" i="2"/>
  <c r="N2080" i="2"/>
  <c r="M2080" i="2"/>
  <c r="L2080" i="2"/>
  <c r="O2079" i="2"/>
  <c r="N2079" i="2"/>
  <c r="M2079" i="2"/>
  <c r="L2079" i="2"/>
  <c r="O2078" i="2"/>
  <c r="N2078" i="2"/>
  <c r="M2078" i="2"/>
  <c r="L2078" i="2"/>
  <c r="O2077" i="2"/>
  <c r="N2077" i="2"/>
  <c r="M2077" i="2"/>
  <c r="L2077" i="2"/>
  <c r="O2076" i="2"/>
  <c r="N2076" i="2"/>
  <c r="M2076" i="2"/>
  <c r="L2076" i="2"/>
  <c r="O2075" i="2"/>
  <c r="N2075" i="2"/>
  <c r="M2075" i="2"/>
  <c r="L2075" i="2"/>
  <c r="O2074" i="2"/>
  <c r="N2074" i="2"/>
  <c r="M2074" i="2"/>
  <c r="L2074" i="2"/>
  <c r="O2073" i="2"/>
  <c r="N2073" i="2"/>
  <c r="M2073" i="2"/>
  <c r="L2073" i="2"/>
  <c r="O2072" i="2"/>
  <c r="N2072" i="2"/>
  <c r="M2072" i="2"/>
  <c r="L2072" i="2"/>
  <c r="O2071" i="2"/>
  <c r="N2071" i="2"/>
  <c r="M2071" i="2"/>
  <c r="L2071" i="2"/>
  <c r="O2070" i="2"/>
  <c r="N2070" i="2"/>
  <c r="M2070" i="2"/>
  <c r="L2070" i="2"/>
  <c r="O2069" i="2"/>
  <c r="N2069" i="2"/>
  <c r="M2069" i="2"/>
  <c r="L2069" i="2"/>
  <c r="O2068" i="2"/>
  <c r="N2068" i="2"/>
  <c r="M2068" i="2"/>
  <c r="L2068" i="2"/>
  <c r="O2067" i="2"/>
  <c r="N2067" i="2"/>
  <c r="M2067" i="2"/>
  <c r="L2067" i="2"/>
  <c r="O2066" i="2"/>
  <c r="N2066" i="2"/>
  <c r="M2066" i="2"/>
  <c r="L2066" i="2"/>
  <c r="O2065" i="2"/>
  <c r="N2065" i="2"/>
  <c r="M2065" i="2"/>
  <c r="L2065" i="2"/>
  <c r="O2064" i="2"/>
  <c r="N2064" i="2"/>
  <c r="M2064" i="2"/>
  <c r="L2064" i="2"/>
  <c r="O2063" i="2"/>
  <c r="N2063" i="2"/>
  <c r="M2063" i="2"/>
  <c r="L2063" i="2"/>
  <c r="O2062" i="2"/>
  <c r="N2062" i="2"/>
  <c r="M2062" i="2"/>
  <c r="L2062" i="2"/>
  <c r="O2061" i="2"/>
  <c r="N2061" i="2"/>
  <c r="M2061" i="2"/>
  <c r="L2061" i="2"/>
  <c r="O2060" i="2"/>
  <c r="N2060" i="2"/>
  <c r="M2060" i="2"/>
  <c r="L2060" i="2"/>
  <c r="O2059" i="2"/>
  <c r="N2059" i="2"/>
  <c r="M2059" i="2"/>
  <c r="L2059" i="2"/>
  <c r="O2058" i="2"/>
  <c r="N2058" i="2"/>
  <c r="M2058" i="2"/>
  <c r="L2058" i="2"/>
  <c r="O2057" i="2"/>
  <c r="N2057" i="2"/>
  <c r="M2057" i="2"/>
  <c r="L2057" i="2"/>
  <c r="O2056" i="2"/>
  <c r="N2056" i="2"/>
  <c r="M2056" i="2"/>
  <c r="L2056" i="2"/>
  <c r="O2055" i="2"/>
  <c r="N2055" i="2"/>
  <c r="M2055" i="2"/>
  <c r="L2055" i="2"/>
  <c r="O2054" i="2"/>
  <c r="N2054" i="2"/>
  <c r="M2054" i="2"/>
  <c r="L2054" i="2"/>
  <c r="O2053" i="2"/>
  <c r="N2053" i="2"/>
  <c r="M2053" i="2"/>
  <c r="L2053" i="2"/>
  <c r="O2052" i="2"/>
  <c r="N2052" i="2"/>
  <c r="M2052" i="2"/>
  <c r="L2052" i="2"/>
  <c r="O2051" i="2"/>
  <c r="N2051" i="2"/>
  <c r="M2051" i="2"/>
  <c r="L2051" i="2"/>
  <c r="O2050" i="2"/>
  <c r="N2050" i="2"/>
  <c r="M2050" i="2"/>
  <c r="L2050" i="2"/>
  <c r="O2049" i="2"/>
  <c r="N2049" i="2"/>
  <c r="M2049" i="2"/>
  <c r="L2049" i="2"/>
  <c r="O2048" i="2"/>
  <c r="N2048" i="2"/>
  <c r="M2048" i="2"/>
  <c r="L2048" i="2"/>
  <c r="O2047" i="2"/>
  <c r="N2047" i="2"/>
  <c r="M2047" i="2"/>
  <c r="L2047" i="2"/>
  <c r="O2046" i="2"/>
  <c r="N2046" i="2"/>
  <c r="M2046" i="2"/>
  <c r="L2046" i="2"/>
  <c r="O2045" i="2"/>
  <c r="N2045" i="2"/>
  <c r="M2045" i="2"/>
  <c r="L2045" i="2"/>
  <c r="O2044" i="2"/>
  <c r="N2044" i="2"/>
  <c r="M2044" i="2"/>
  <c r="L2044" i="2"/>
  <c r="O2043" i="2"/>
  <c r="N2043" i="2"/>
  <c r="M2043" i="2"/>
  <c r="L2043" i="2"/>
  <c r="O2042" i="2"/>
  <c r="N2042" i="2"/>
  <c r="M2042" i="2"/>
  <c r="L2042" i="2"/>
  <c r="O2041" i="2"/>
  <c r="N2041" i="2"/>
  <c r="M2041" i="2"/>
  <c r="L2041" i="2"/>
  <c r="O2040" i="2"/>
  <c r="N2040" i="2"/>
  <c r="M2040" i="2"/>
  <c r="L2040" i="2"/>
  <c r="O2039" i="2"/>
  <c r="N2039" i="2"/>
  <c r="M2039" i="2"/>
  <c r="L2039" i="2"/>
  <c r="O2038" i="2"/>
  <c r="N2038" i="2"/>
  <c r="M2038" i="2"/>
  <c r="L2038" i="2"/>
  <c r="O2037" i="2"/>
  <c r="N2037" i="2"/>
  <c r="M2037" i="2"/>
  <c r="L2037" i="2"/>
  <c r="O2036" i="2"/>
  <c r="N2036" i="2"/>
  <c r="M2036" i="2"/>
  <c r="L2036" i="2"/>
  <c r="O2035" i="2"/>
  <c r="N2035" i="2"/>
  <c r="M2035" i="2"/>
  <c r="L2035" i="2"/>
  <c r="O2034" i="2"/>
  <c r="N2034" i="2"/>
  <c r="M2034" i="2"/>
  <c r="L2034" i="2"/>
  <c r="O2033" i="2"/>
  <c r="N2033" i="2"/>
  <c r="M2033" i="2"/>
  <c r="L2033" i="2"/>
  <c r="O2032" i="2"/>
  <c r="N2032" i="2"/>
  <c r="M2032" i="2"/>
  <c r="L2032" i="2"/>
  <c r="O2031" i="2"/>
  <c r="N2031" i="2"/>
  <c r="M2031" i="2"/>
  <c r="L2031" i="2"/>
  <c r="O2030" i="2"/>
  <c r="N2030" i="2"/>
  <c r="M2030" i="2"/>
  <c r="L2030" i="2"/>
  <c r="O2029" i="2"/>
  <c r="N2029" i="2"/>
  <c r="M2029" i="2"/>
  <c r="L2029" i="2"/>
  <c r="O2028" i="2"/>
  <c r="N2028" i="2"/>
  <c r="M2028" i="2"/>
  <c r="L2028" i="2"/>
  <c r="O2027" i="2"/>
  <c r="N2027" i="2"/>
  <c r="M2027" i="2"/>
  <c r="L2027" i="2"/>
  <c r="O2026" i="2"/>
  <c r="N2026" i="2"/>
  <c r="M2026" i="2"/>
  <c r="L2026" i="2"/>
  <c r="O2025" i="2"/>
  <c r="N2025" i="2"/>
  <c r="M2025" i="2"/>
  <c r="L2025" i="2"/>
  <c r="O2024" i="2"/>
  <c r="N2024" i="2"/>
  <c r="M2024" i="2"/>
  <c r="L2024" i="2"/>
  <c r="O2023" i="2"/>
  <c r="N2023" i="2"/>
  <c r="M2023" i="2"/>
  <c r="L2023" i="2"/>
  <c r="O2022" i="2"/>
  <c r="N2022" i="2"/>
  <c r="M2022" i="2"/>
  <c r="L2022" i="2"/>
  <c r="O2021" i="2"/>
  <c r="N2021" i="2"/>
  <c r="M2021" i="2"/>
  <c r="L2021" i="2"/>
  <c r="O2020" i="2"/>
  <c r="N2020" i="2"/>
  <c r="M2020" i="2"/>
  <c r="L2020" i="2"/>
  <c r="O2019" i="2"/>
  <c r="N2019" i="2"/>
  <c r="M2019" i="2"/>
  <c r="L2019" i="2"/>
  <c r="O2018" i="2"/>
  <c r="N2018" i="2"/>
  <c r="M2018" i="2"/>
  <c r="L2018" i="2"/>
  <c r="O2017" i="2"/>
  <c r="N2017" i="2"/>
  <c r="M2017" i="2"/>
  <c r="L2017" i="2"/>
  <c r="O2016" i="2"/>
  <c r="N2016" i="2"/>
  <c r="M2016" i="2"/>
  <c r="L2016" i="2"/>
  <c r="O2015" i="2"/>
  <c r="N2015" i="2"/>
  <c r="M2015" i="2"/>
  <c r="L2015" i="2"/>
  <c r="O2014" i="2"/>
  <c r="N2014" i="2"/>
  <c r="M2014" i="2"/>
  <c r="L2014" i="2"/>
  <c r="O2013" i="2"/>
  <c r="N2013" i="2"/>
  <c r="M2013" i="2"/>
  <c r="L2013" i="2"/>
  <c r="O2012" i="2"/>
  <c r="N2012" i="2"/>
  <c r="M2012" i="2"/>
  <c r="L2012" i="2"/>
  <c r="O2011" i="2"/>
  <c r="N2011" i="2"/>
  <c r="M2011" i="2"/>
  <c r="L2011" i="2"/>
  <c r="O2010" i="2"/>
  <c r="N2010" i="2"/>
  <c r="M2010" i="2"/>
  <c r="L2010" i="2"/>
  <c r="O2009" i="2"/>
  <c r="N2009" i="2"/>
  <c r="M2009" i="2"/>
  <c r="L2009" i="2"/>
  <c r="O2008" i="2"/>
  <c r="N2008" i="2"/>
  <c r="M2008" i="2"/>
  <c r="L2008" i="2"/>
  <c r="O2007" i="2"/>
  <c r="N2007" i="2"/>
  <c r="M2007" i="2"/>
  <c r="L2007" i="2"/>
  <c r="O2006" i="2"/>
  <c r="N2006" i="2"/>
  <c r="M2006" i="2"/>
  <c r="L2006" i="2"/>
  <c r="O2005" i="2"/>
  <c r="N2005" i="2"/>
  <c r="M2005" i="2"/>
  <c r="L2005" i="2"/>
  <c r="O2004" i="2"/>
  <c r="N2004" i="2"/>
  <c r="M2004" i="2"/>
  <c r="L2004" i="2"/>
  <c r="O2003" i="2"/>
  <c r="N2003" i="2"/>
  <c r="M2003" i="2"/>
  <c r="L2003" i="2"/>
  <c r="O2002" i="2"/>
  <c r="N2002" i="2"/>
  <c r="M2002" i="2"/>
  <c r="L2002" i="2"/>
  <c r="O2001" i="2"/>
  <c r="N2001" i="2"/>
  <c r="M2001" i="2"/>
  <c r="L2001" i="2"/>
  <c r="O2000" i="2"/>
  <c r="N2000" i="2"/>
  <c r="M2000" i="2"/>
  <c r="L2000" i="2"/>
  <c r="O1999" i="2"/>
  <c r="N1999" i="2"/>
  <c r="M1999" i="2"/>
  <c r="L1999" i="2"/>
  <c r="O1998" i="2"/>
  <c r="N1998" i="2"/>
  <c r="M1998" i="2"/>
  <c r="L1998" i="2"/>
  <c r="O1997" i="2"/>
  <c r="N1997" i="2"/>
  <c r="M1997" i="2"/>
  <c r="L1997" i="2"/>
  <c r="O1996" i="2"/>
  <c r="N1996" i="2"/>
  <c r="M1996" i="2"/>
  <c r="L1996" i="2"/>
  <c r="O1995" i="2"/>
  <c r="N1995" i="2"/>
  <c r="M1995" i="2"/>
  <c r="L1995" i="2"/>
  <c r="O1994" i="2"/>
  <c r="N1994" i="2"/>
  <c r="M1994" i="2"/>
  <c r="L1994" i="2"/>
  <c r="O1993" i="2"/>
  <c r="N1993" i="2"/>
  <c r="M1993" i="2"/>
  <c r="L1993" i="2"/>
  <c r="O1992" i="2"/>
  <c r="N1992" i="2"/>
  <c r="M1992" i="2"/>
  <c r="L1992" i="2"/>
  <c r="O1991" i="2"/>
  <c r="N1991" i="2"/>
  <c r="M1991" i="2"/>
  <c r="L1991" i="2"/>
  <c r="O1990" i="2"/>
  <c r="N1990" i="2"/>
  <c r="M1990" i="2"/>
  <c r="L1990" i="2"/>
  <c r="O1989" i="2"/>
  <c r="N1989" i="2"/>
  <c r="M1989" i="2"/>
  <c r="L1989" i="2"/>
  <c r="O1988" i="2"/>
  <c r="N1988" i="2"/>
  <c r="M1988" i="2"/>
  <c r="L1988" i="2"/>
  <c r="O1987" i="2"/>
  <c r="N1987" i="2"/>
  <c r="M1987" i="2"/>
  <c r="L1987" i="2"/>
  <c r="O1986" i="2"/>
  <c r="N1986" i="2"/>
  <c r="M1986" i="2"/>
  <c r="L1986" i="2"/>
  <c r="O1985" i="2"/>
  <c r="N1985" i="2"/>
  <c r="M1985" i="2"/>
  <c r="L1985" i="2"/>
  <c r="O1984" i="2"/>
  <c r="N1984" i="2"/>
  <c r="M1984" i="2"/>
  <c r="L1984" i="2"/>
  <c r="O1983" i="2"/>
  <c r="N1983" i="2"/>
  <c r="M1983" i="2"/>
  <c r="L1983" i="2"/>
  <c r="O1982" i="2"/>
  <c r="N1982" i="2"/>
  <c r="M1982" i="2"/>
  <c r="L1982" i="2"/>
  <c r="O1981" i="2"/>
  <c r="N1981" i="2"/>
  <c r="M1981" i="2"/>
  <c r="L1981" i="2"/>
  <c r="O1980" i="2"/>
  <c r="N1980" i="2"/>
  <c r="M1980" i="2"/>
  <c r="L1980" i="2"/>
  <c r="O1979" i="2"/>
  <c r="N1979" i="2"/>
  <c r="M1979" i="2"/>
  <c r="L1979" i="2"/>
  <c r="O1978" i="2"/>
  <c r="N1978" i="2"/>
  <c r="M1978" i="2"/>
  <c r="L1978" i="2"/>
  <c r="O1977" i="2"/>
  <c r="N1977" i="2"/>
  <c r="M1977" i="2"/>
  <c r="L1977" i="2"/>
  <c r="O1976" i="2"/>
  <c r="N1976" i="2"/>
  <c r="M1976" i="2"/>
  <c r="L1976" i="2"/>
  <c r="O1975" i="2"/>
  <c r="N1975" i="2"/>
  <c r="M1975" i="2"/>
  <c r="L1975" i="2"/>
  <c r="O1974" i="2"/>
  <c r="N1974" i="2"/>
  <c r="M1974" i="2"/>
  <c r="L1974" i="2"/>
  <c r="O1973" i="2"/>
  <c r="N1973" i="2"/>
  <c r="M1973" i="2"/>
  <c r="L1973" i="2"/>
  <c r="O1972" i="2"/>
  <c r="N1972" i="2"/>
  <c r="M1972" i="2"/>
  <c r="L1972" i="2"/>
  <c r="O1971" i="2"/>
  <c r="N1971" i="2"/>
  <c r="M1971" i="2"/>
  <c r="L1971" i="2"/>
  <c r="O1970" i="2"/>
  <c r="N1970" i="2"/>
  <c r="M1970" i="2"/>
  <c r="L1970" i="2"/>
  <c r="O1969" i="2"/>
  <c r="N1969" i="2"/>
  <c r="M1969" i="2"/>
  <c r="L1969" i="2"/>
  <c r="O1968" i="2"/>
  <c r="N1968" i="2"/>
  <c r="M1968" i="2"/>
  <c r="L1968" i="2"/>
  <c r="O1967" i="2"/>
  <c r="N1967" i="2"/>
  <c r="M1967" i="2"/>
  <c r="L1967" i="2"/>
  <c r="O1966" i="2"/>
  <c r="N1966" i="2"/>
  <c r="M1966" i="2"/>
  <c r="L1966" i="2"/>
  <c r="O1965" i="2"/>
  <c r="N1965" i="2"/>
  <c r="M1965" i="2"/>
  <c r="L1965" i="2"/>
  <c r="O1964" i="2"/>
  <c r="N1964" i="2"/>
  <c r="M1964" i="2"/>
  <c r="L1964" i="2"/>
  <c r="O1963" i="2"/>
  <c r="N1963" i="2"/>
  <c r="M1963" i="2"/>
  <c r="L1963" i="2"/>
  <c r="O1962" i="2"/>
  <c r="N1962" i="2"/>
  <c r="M1962" i="2"/>
  <c r="L1962" i="2"/>
  <c r="O1961" i="2"/>
  <c r="N1961" i="2"/>
  <c r="M1961" i="2"/>
  <c r="L1961" i="2"/>
  <c r="O1960" i="2"/>
  <c r="N1960" i="2"/>
  <c r="M1960" i="2"/>
  <c r="L1960" i="2"/>
  <c r="O1959" i="2"/>
  <c r="N1959" i="2"/>
  <c r="M1959" i="2"/>
  <c r="L1959" i="2"/>
  <c r="O1958" i="2"/>
  <c r="N1958" i="2"/>
  <c r="M1958" i="2"/>
  <c r="L1958" i="2"/>
  <c r="O1957" i="2"/>
  <c r="N1957" i="2"/>
  <c r="M1957" i="2"/>
  <c r="L1957" i="2"/>
  <c r="O1956" i="2"/>
  <c r="N1956" i="2"/>
  <c r="M1956" i="2"/>
  <c r="L1956" i="2"/>
  <c r="O1955" i="2"/>
  <c r="N1955" i="2"/>
  <c r="M1955" i="2"/>
  <c r="L1955" i="2"/>
  <c r="O1954" i="2"/>
  <c r="N1954" i="2"/>
  <c r="M1954" i="2"/>
  <c r="L1954" i="2"/>
  <c r="O1953" i="2"/>
  <c r="N1953" i="2"/>
  <c r="M1953" i="2"/>
  <c r="L1953" i="2"/>
  <c r="O1952" i="2"/>
  <c r="N1952" i="2"/>
  <c r="M1952" i="2"/>
  <c r="L1952" i="2"/>
  <c r="O1951" i="2"/>
  <c r="N1951" i="2"/>
  <c r="M1951" i="2"/>
  <c r="L1951" i="2"/>
  <c r="O1950" i="2"/>
  <c r="N1950" i="2"/>
  <c r="M1950" i="2"/>
  <c r="L1950" i="2"/>
  <c r="O1949" i="2"/>
  <c r="N1949" i="2"/>
  <c r="M1949" i="2"/>
  <c r="L1949" i="2"/>
  <c r="O1948" i="2"/>
  <c r="N1948" i="2"/>
  <c r="M1948" i="2"/>
  <c r="L1948" i="2"/>
  <c r="O1947" i="2"/>
  <c r="N1947" i="2"/>
  <c r="M1947" i="2"/>
  <c r="L1947" i="2"/>
  <c r="O1946" i="2"/>
  <c r="N1946" i="2"/>
  <c r="M1946" i="2"/>
  <c r="L1946" i="2"/>
  <c r="O1945" i="2"/>
  <c r="N1945" i="2"/>
  <c r="M1945" i="2"/>
  <c r="L1945" i="2"/>
  <c r="O1944" i="2"/>
  <c r="N1944" i="2"/>
  <c r="M1944" i="2"/>
  <c r="L1944" i="2"/>
  <c r="O1943" i="2"/>
  <c r="N1943" i="2"/>
  <c r="M1943" i="2"/>
  <c r="L1943" i="2"/>
  <c r="O1942" i="2"/>
  <c r="N1942" i="2"/>
  <c r="M1942" i="2"/>
  <c r="L1942" i="2"/>
  <c r="O1941" i="2"/>
  <c r="N1941" i="2"/>
  <c r="M1941" i="2"/>
  <c r="L1941" i="2"/>
  <c r="O1940" i="2"/>
  <c r="N1940" i="2"/>
  <c r="M1940" i="2"/>
  <c r="L1940" i="2"/>
  <c r="O1939" i="2"/>
  <c r="N1939" i="2"/>
  <c r="M1939" i="2"/>
  <c r="L1939" i="2"/>
  <c r="O1938" i="2"/>
  <c r="N1938" i="2"/>
  <c r="M1938" i="2"/>
  <c r="L1938" i="2"/>
  <c r="O1937" i="2"/>
  <c r="N1937" i="2"/>
  <c r="M1937" i="2"/>
  <c r="L1937" i="2"/>
  <c r="O1936" i="2"/>
  <c r="N1936" i="2"/>
  <c r="M1936" i="2"/>
  <c r="L1936" i="2"/>
  <c r="O1935" i="2"/>
  <c r="N1935" i="2"/>
  <c r="M1935" i="2"/>
  <c r="L1935" i="2"/>
  <c r="O1934" i="2"/>
  <c r="N1934" i="2"/>
  <c r="M1934" i="2"/>
  <c r="L1934" i="2"/>
  <c r="O1933" i="2"/>
  <c r="N1933" i="2"/>
  <c r="M1933" i="2"/>
  <c r="L1933" i="2"/>
  <c r="O1932" i="2"/>
  <c r="N1932" i="2"/>
  <c r="M1932" i="2"/>
  <c r="L1932" i="2"/>
  <c r="O1931" i="2"/>
  <c r="N1931" i="2"/>
  <c r="M1931" i="2"/>
  <c r="L1931" i="2"/>
  <c r="O1930" i="2"/>
  <c r="N1930" i="2"/>
  <c r="M1930" i="2"/>
  <c r="L1930" i="2"/>
  <c r="O1929" i="2"/>
  <c r="N1929" i="2"/>
  <c r="M1929" i="2"/>
  <c r="L1929" i="2"/>
  <c r="O1928" i="2"/>
  <c r="N1928" i="2"/>
  <c r="M1928" i="2"/>
  <c r="L1928" i="2"/>
  <c r="O1927" i="2"/>
  <c r="N1927" i="2"/>
  <c r="M1927" i="2"/>
  <c r="L1927" i="2"/>
  <c r="O1926" i="2"/>
  <c r="N1926" i="2"/>
  <c r="M1926" i="2"/>
  <c r="L1926" i="2"/>
  <c r="O1925" i="2"/>
  <c r="N1925" i="2"/>
  <c r="M1925" i="2"/>
  <c r="L1925" i="2"/>
  <c r="O1924" i="2"/>
  <c r="N1924" i="2"/>
  <c r="M1924" i="2"/>
  <c r="L1924" i="2"/>
  <c r="O1923" i="2"/>
  <c r="N1923" i="2"/>
  <c r="M1923" i="2"/>
  <c r="L1923" i="2"/>
  <c r="O1922" i="2"/>
  <c r="N1922" i="2"/>
  <c r="M1922" i="2"/>
  <c r="L1922" i="2"/>
  <c r="O1921" i="2"/>
  <c r="N1921" i="2"/>
  <c r="M1921" i="2"/>
  <c r="L1921" i="2"/>
  <c r="O1920" i="2"/>
  <c r="N1920" i="2"/>
  <c r="M1920" i="2"/>
  <c r="L1920" i="2"/>
  <c r="O1919" i="2"/>
  <c r="N1919" i="2"/>
  <c r="M1919" i="2"/>
  <c r="L1919" i="2"/>
  <c r="O1918" i="2"/>
  <c r="N1918" i="2"/>
  <c r="M1918" i="2"/>
  <c r="L1918" i="2"/>
  <c r="O1917" i="2"/>
  <c r="N1917" i="2"/>
  <c r="M1917" i="2"/>
  <c r="L1917" i="2"/>
  <c r="O1916" i="2"/>
  <c r="N1916" i="2"/>
  <c r="M1916" i="2"/>
  <c r="L1916" i="2"/>
  <c r="O1915" i="2"/>
  <c r="N1915" i="2"/>
  <c r="M1915" i="2"/>
  <c r="L1915" i="2"/>
  <c r="O1914" i="2"/>
  <c r="N1914" i="2"/>
  <c r="M1914" i="2"/>
  <c r="L1914" i="2"/>
  <c r="O1913" i="2"/>
  <c r="N1913" i="2"/>
  <c r="M1913" i="2"/>
  <c r="L1913" i="2"/>
  <c r="O1912" i="2"/>
  <c r="N1912" i="2"/>
  <c r="M1912" i="2"/>
  <c r="L1912" i="2"/>
  <c r="O1911" i="2"/>
  <c r="N1911" i="2"/>
  <c r="M1911" i="2"/>
  <c r="L1911" i="2"/>
  <c r="O1910" i="2"/>
  <c r="N1910" i="2"/>
  <c r="M1910" i="2"/>
  <c r="L1910" i="2"/>
  <c r="O1909" i="2"/>
  <c r="N1909" i="2"/>
  <c r="M1909" i="2"/>
  <c r="L1909" i="2"/>
  <c r="O1908" i="2"/>
  <c r="N1908" i="2"/>
  <c r="M1908" i="2"/>
  <c r="L1908" i="2"/>
  <c r="O1907" i="2"/>
  <c r="N1907" i="2"/>
  <c r="M1907" i="2"/>
  <c r="L1907" i="2"/>
  <c r="O1906" i="2"/>
  <c r="N1906" i="2"/>
  <c r="M1906" i="2"/>
  <c r="L1906" i="2"/>
  <c r="O1905" i="2"/>
  <c r="N1905" i="2"/>
  <c r="M1905" i="2"/>
  <c r="L1905" i="2"/>
  <c r="O1904" i="2"/>
  <c r="N1904" i="2"/>
  <c r="M1904" i="2"/>
  <c r="L1904" i="2"/>
  <c r="O1903" i="2"/>
  <c r="N1903" i="2"/>
  <c r="M1903" i="2"/>
  <c r="L1903" i="2"/>
  <c r="O1902" i="2"/>
  <c r="N1902" i="2"/>
  <c r="M1902" i="2"/>
  <c r="L1902" i="2"/>
  <c r="O1901" i="2"/>
  <c r="N1901" i="2"/>
  <c r="M1901" i="2"/>
  <c r="L1901" i="2"/>
  <c r="O1900" i="2"/>
  <c r="N1900" i="2"/>
  <c r="M1900" i="2"/>
  <c r="L1900" i="2"/>
  <c r="O1899" i="2"/>
  <c r="N1899" i="2"/>
  <c r="M1899" i="2"/>
  <c r="L1899" i="2"/>
  <c r="O1898" i="2"/>
  <c r="N1898" i="2"/>
  <c r="M1898" i="2"/>
  <c r="L1898" i="2"/>
  <c r="O1897" i="2"/>
  <c r="N1897" i="2"/>
  <c r="M1897" i="2"/>
  <c r="L1897" i="2"/>
  <c r="O1896" i="2"/>
  <c r="N1896" i="2"/>
  <c r="M1896" i="2"/>
  <c r="L1896" i="2"/>
  <c r="O1895" i="2"/>
  <c r="N1895" i="2"/>
  <c r="M1895" i="2"/>
  <c r="L1895" i="2"/>
  <c r="O1894" i="2"/>
  <c r="N1894" i="2"/>
  <c r="M1894" i="2"/>
  <c r="L1894" i="2"/>
  <c r="O1893" i="2"/>
  <c r="N1893" i="2"/>
  <c r="M1893" i="2"/>
  <c r="L1893" i="2"/>
  <c r="O1892" i="2"/>
  <c r="N1892" i="2"/>
  <c r="M1892" i="2"/>
  <c r="L1892" i="2"/>
  <c r="O1891" i="2"/>
  <c r="N1891" i="2"/>
  <c r="M1891" i="2"/>
  <c r="L1891" i="2"/>
  <c r="O1890" i="2"/>
  <c r="N1890" i="2"/>
  <c r="M1890" i="2"/>
  <c r="L1890" i="2"/>
  <c r="O1889" i="2"/>
  <c r="N1889" i="2"/>
  <c r="M1889" i="2"/>
  <c r="L1889" i="2"/>
  <c r="O1888" i="2"/>
  <c r="N1888" i="2"/>
  <c r="M1888" i="2"/>
  <c r="L1888" i="2"/>
  <c r="O1887" i="2"/>
  <c r="N1887" i="2"/>
  <c r="M1887" i="2"/>
  <c r="L1887" i="2"/>
  <c r="O1886" i="2"/>
  <c r="N1886" i="2"/>
  <c r="M1886" i="2"/>
  <c r="L1886" i="2"/>
  <c r="O1885" i="2"/>
  <c r="N1885" i="2"/>
  <c r="M1885" i="2"/>
  <c r="L1885" i="2"/>
  <c r="O1884" i="2"/>
  <c r="N1884" i="2"/>
  <c r="M1884" i="2"/>
  <c r="L1884" i="2"/>
  <c r="O1883" i="2"/>
  <c r="N1883" i="2"/>
  <c r="M1883" i="2"/>
  <c r="L1883" i="2"/>
  <c r="O1882" i="2"/>
  <c r="N1882" i="2"/>
  <c r="M1882" i="2"/>
  <c r="L1882" i="2"/>
  <c r="O1881" i="2"/>
  <c r="N1881" i="2"/>
  <c r="M1881" i="2"/>
  <c r="L1881" i="2"/>
  <c r="O1880" i="2"/>
  <c r="N1880" i="2"/>
  <c r="M1880" i="2"/>
  <c r="L1880" i="2"/>
  <c r="O1879" i="2"/>
  <c r="N1879" i="2"/>
  <c r="M1879" i="2"/>
  <c r="L1879" i="2"/>
  <c r="O1878" i="2"/>
  <c r="N1878" i="2"/>
  <c r="M1878" i="2"/>
  <c r="L1878" i="2"/>
  <c r="O1877" i="2"/>
  <c r="N1877" i="2"/>
  <c r="M1877" i="2"/>
  <c r="L1877" i="2"/>
  <c r="O1876" i="2"/>
  <c r="N1876" i="2"/>
  <c r="M1876" i="2"/>
  <c r="L1876" i="2"/>
  <c r="O1875" i="2"/>
  <c r="N1875" i="2"/>
  <c r="M1875" i="2"/>
  <c r="L1875" i="2"/>
  <c r="O1874" i="2"/>
  <c r="N1874" i="2"/>
  <c r="M1874" i="2"/>
  <c r="L1874" i="2"/>
  <c r="O1873" i="2"/>
  <c r="N1873" i="2"/>
  <c r="M1873" i="2"/>
  <c r="L1873" i="2"/>
  <c r="O1872" i="2"/>
  <c r="N1872" i="2"/>
  <c r="M1872" i="2"/>
  <c r="L1872" i="2"/>
  <c r="O1871" i="2"/>
  <c r="N1871" i="2"/>
  <c r="M1871" i="2"/>
  <c r="L1871" i="2"/>
  <c r="O1870" i="2"/>
  <c r="N1870" i="2"/>
  <c r="M1870" i="2"/>
  <c r="L1870" i="2"/>
  <c r="O1869" i="2"/>
  <c r="N1869" i="2"/>
  <c r="M1869" i="2"/>
  <c r="L1869" i="2"/>
  <c r="O1868" i="2"/>
  <c r="N1868" i="2"/>
  <c r="M1868" i="2"/>
  <c r="L1868" i="2"/>
  <c r="O1867" i="2"/>
  <c r="N1867" i="2"/>
  <c r="M1867" i="2"/>
  <c r="L1867" i="2"/>
  <c r="O1866" i="2"/>
  <c r="N1866" i="2"/>
  <c r="M1866" i="2"/>
  <c r="L1866" i="2"/>
  <c r="O1865" i="2"/>
  <c r="N1865" i="2"/>
  <c r="M1865" i="2"/>
  <c r="L1865" i="2"/>
  <c r="O1864" i="2"/>
  <c r="N1864" i="2"/>
  <c r="M1864" i="2"/>
  <c r="L1864" i="2"/>
  <c r="O1863" i="2"/>
  <c r="N1863" i="2"/>
  <c r="M1863" i="2"/>
  <c r="L1863" i="2"/>
  <c r="O1862" i="2"/>
  <c r="N1862" i="2"/>
  <c r="M1862" i="2"/>
  <c r="L1862" i="2"/>
  <c r="O1861" i="2"/>
  <c r="N1861" i="2"/>
  <c r="M1861" i="2"/>
  <c r="L1861" i="2"/>
  <c r="O1860" i="2"/>
  <c r="N1860" i="2"/>
  <c r="M1860" i="2"/>
  <c r="L1860" i="2"/>
  <c r="O1859" i="2"/>
  <c r="N1859" i="2"/>
  <c r="M1859" i="2"/>
  <c r="L1859" i="2"/>
  <c r="O1858" i="2"/>
  <c r="N1858" i="2"/>
  <c r="M1858" i="2"/>
  <c r="L1858" i="2"/>
  <c r="O1857" i="2"/>
  <c r="N1857" i="2"/>
  <c r="M1857" i="2"/>
  <c r="L1857" i="2"/>
  <c r="O1856" i="2"/>
  <c r="N1856" i="2"/>
  <c r="M1856" i="2"/>
  <c r="L1856" i="2"/>
  <c r="O1855" i="2"/>
  <c r="N1855" i="2"/>
  <c r="M1855" i="2"/>
  <c r="L1855" i="2"/>
  <c r="O1854" i="2"/>
  <c r="N1854" i="2"/>
  <c r="M1854" i="2"/>
  <c r="L1854" i="2"/>
  <c r="O1853" i="2"/>
  <c r="N1853" i="2"/>
  <c r="M1853" i="2"/>
  <c r="L1853" i="2"/>
  <c r="O1852" i="2"/>
  <c r="N1852" i="2"/>
  <c r="M1852" i="2"/>
  <c r="L1852" i="2"/>
  <c r="O1851" i="2"/>
  <c r="N1851" i="2"/>
  <c r="M1851" i="2"/>
  <c r="L1851" i="2"/>
  <c r="O1850" i="2"/>
  <c r="N1850" i="2"/>
  <c r="M1850" i="2"/>
  <c r="L1850" i="2"/>
  <c r="O1849" i="2"/>
  <c r="N1849" i="2"/>
  <c r="M1849" i="2"/>
  <c r="L1849" i="2"/>
  <c r="O1848" i="2"/>
  <c r="N1848" i="2"/>
  <c r="M1848" i="2"/>
  <c r="L1848" i="2"/>
  <c r="O1847" i="2"/>
  <c r="N1847" i="2"/>
  <c r="M1847" i="2"/>
  <c r="L1847" i="2"/>
  <c r="O1846" i="2"/>
  <c r="N1846" i="2"/>
  <c r="M1846" i="2"/>
  <c r="L1846" i="2"/>
  <c r="O1845" i="2"/>
  <c r="N1845" i="2"/>
  <c r="M1845" i="2"/>
  <c r="L1845" i="2"/>
  <c r="O1844" i="2"/>
  <c r="N1844" i="2"/>
  <c r="M1844" i="2"/>
  <c r="L1844" i="2"/>
  <c r="O1843" i="2"/>
  <c r="N1843" i="2"/>
  <c r="M1843" i="2"/>
  <c r="L1843" i="2"/>
  <c r="O1842" i="2"/>
  <c r="N1842" i="2"/>
  <c r="M1842" i="2"/>
  <c r="L1842" i="2"/>
  <c r="O1841" i="2"/>
  <c r="N1841" i="2"/>
  <c r="M1841" i="2"/>
  <c r="L1841" i="2"/>
  <c r="O1840" i="2"/>
  <c r="N1840" i="2"/>
  <c r="M1840" i="2"/>
  <c r="L1840" i="2"/>
  <c r="O1839" i="2"/>
  <c r="N1839" i="2"/>
  <c r="M1839" i="2"/>
  <c r="L1839" i="2"/>
  <c r="O1838" i="2"/>
  <c r="N1838" i="2"/>
  <c r="M1838" i="2"/>
  <c r="L1838" i="2"/>
  <c r="O1837" i="2"/>
  <c r="N1837" i="2"/>
  <c r="M1837" i="2"/>
  <c r="L1837" i="2"/>
  <c r="O1836" i="2"/>
  <c r="N1836" i="2"/>
  <c r="M1836" i="2"/>
  <c r="L1836" i="2"/>
  <c r="O1835" i="2"/>
  <c r="N1835" i="2"/>
  <c r="M1835" i="2"/>
  <c r="L1835" i="2"/>
  <c r="O1834" i="2"/>
  <c r="N1834" i="2"/>
  <c r="M1834" i="2"/>
  <c r="L1834" i="2"/>
  <c r="O1833" i="2"/>
  <c r="N1833" i="2"/>
  <c r="M1833" i="2"/>
  <c r="L1833" i="2"/>
  <c r="O1832" i="2"/>
  <c r="N1832" i="2"/>
  <c r="M1832" i="2"/>
  <c r="L1832" i="2"/>
  <c r="O1831" i="2"/>
  <c r="N1831" i="2"/>
  <c r="M1831" i="2"/>
  <c r="L1831" i="2"/>
  <c r="O1830" i="2"/>
  <c r="N1830" i="2"/>
  <c r="M1830" i="2"/>
  <c r="L1830" i="2"/>
  <c r="O1829" i="2"/>
  <c r="N1829" i="2"/>
  <c r="M1829" i="2"/>
  <c r="L1829" i="2"/>
  <c r="O1828" i="2"/>
  <c r="N1828" i="2"/>
  <c r="M1828" i="2"/>
  <c r="L1828" i="2"/>
  <c r="O1827" i="2"/>
  <c r="N1827" i="2"/>
  <c r="M1827" i="2"/>
  <c r="L1827" i="2"/>
  <c r="O1826" i="2"/>
  <c r="N1826" i="2"/>
  <c r="M1826" i="2"/>
  <c r="L1826" i="2"/>
  <c r="O1825" i="2"/>
  <c r="N1825" i="2"/>
  <c r="M1825" i="2"/>
  <c r="L1825" i="2"/>
  <c r="O1824" i="2"/>
  <c r="N1824" i="2"/>
  <c r="M1824" i="2"/>
  <c r="L1824" i="2"/>
  <c r="O1823" i="2"/>
  <c r="N1823" i="2"/>
  <c r="M1823" i="2"/>
  <c r="L1823" i="2"/>
  <c r="O1822" i="2"/>
  <c r="N1822" i="2"/>
  <c r="M1822" i="2"/>
  <c r="L1822" i="2"/>
  <c r="O1821" i="2"/>
  <c r="N1821" i="2"/>
  <c r="M1821" i="2"/>
  <c r="L1821" i="2"/>
  <c r="O1820" i="2"/>
  <c r="N1820" i="2"/>
  <c r="M1820" i="2"/>
  <c r="L1820" i="2"/>
  <c r="O1819" i="2"/>
  <c r="N1819" i="2"/>
  <c r="M1819" i="2"/>
  <c r="L1819" i="2"/>
  <c r="O1818" i="2"/>
  <c r="N1818" i="2"/>
  <c r="M1818" i="2"/>
  <c r="L1818" i="2"/>
  <c r="O1817" i="2"/>
  <c r="N1817" i="2"/>
  <c r="M1817" i="2"/>
  <c r="L1817" i="2"/>
  <c r="O1816" i="2"/>
  <c r="N1816" i="2"/>
  <c r="M1816" i="2"/>
  <c r="L1816" i="2"/>
  <c r="O1815" i="2"/>
  <c r="N1815" i="2"/>
  <c r="M1815" i="2"/>
  <c r="L1815" i="2"/>
  <c r="O1814" i="2"/>
  <c r="N1814" i="2"/>
  <c r="M1814" i="2"/>
  <c r="L1814" i="2"/>
  <c r="O1813" i="2"/>
  <c r="N1813" i="2"/>
  <c r="M1813" i="2"/>
  <c r="L1813" i="2"/>
  <c r="O1812" i="2"/>
  <c r="N1812" i="2"/>
  <c r="M1812" i="2"/>
  <c r="L1812" i="2"/>
  <c r="O1811" i="2"/>
  <c r="N1811" i="2"/>
  <c r="M1811" i="2"/>
  <c r="L1811" i="2"/>
  <c r="O1810" i="2"/>
  <c r="N1810" i="2"/>
  <c r="M1810" i="2"/>
  <c r="L1810" i="2"/>
  <c r="O1809" i="2"/>
  <c r="N1809" i="2"/>
  <c r="M1809" i="2"/>
  <c r="L1809" i="2"/>
  <c r="O1808" i="2"/>
  <c r="N1808" i="2"/>
  <c r="M1808" i="2"/>
  <c r="L1808" i="2"/>
  <c r="O1807" i="2"/>
  <c r="N1807" i="2"/>
  <c r="M1807" i="2"/>
  <c r="L1807" i="2"/>
  <c r="O1806" i="2"/>
  <c r="N1806" i="2"/>
  <c r="M1806" i="2"/>
  <c r="L1806" i="2"/>
  <c r="O1805" i="2"/>
  <c r="N1805" i="2"/>
  <c r="M1805" i="2"/>
  <c r="L1805" i="2"/>
  <c r="O1804" i="2"/>
  <c r="N1804" i="2"/>
  <c r="M1804" i="2"/>
  <c r="L1804" i="2"/>
  <c r="O1803" i="2"/>
  <c r="N1803" i="2"/>
  <c r="M1803" i="2"/>
  <c r="L1803" i="2"/>
  <c r="O1802" i="2"/>
  <c r="N1802" i="2"/>
  <c r="M1802" i="2"/>
  <c r="L1802" i="2"/>
  <c r="O1801" i="2"/>
  <c r="N1801" i="2"/>
  <c r="M1801" i="2"/>
  <c r="L1801" i="2"/>
  <c r="O1800" i="2"/>
  <c r="N1800" i="2"/>
  <c r="M1800" i="2"/>
  <c r="L1800" i="2"/>
  <c r="O1799" i="2"/>
  <c r="N1799" i="2"/>
  <c r="M1799" i="2"/>
  <c r="L1799" i="2"/>
  <c r="O1798" i="2"/>
  <c r="N1798" i="2"/>
  <c r="M1798" i="2"/>
  <c r="L1798" i="2"/>
  <c r="O1797" i="2"/>
  <c r="N1797" i="2"/>
  <c r="M1797" i="2"/>
  <c r="L1797" i="2"/>
  <c r="O1796" i="2"/>
  <c r="N1796" i="2"/>
  <c r="M1796" i="2"/>
  <c r="L1796" i="2"/>
  <c r="O1795" i="2"/>
  <c r="N1795" i="2"/>
  <c r="M1795" i="2"/>
  <c r="L1795" i="2"/>
  <c r="O1794" i="2"/>
  <c r="N1794" i="2"/>
  <c r="M1794" i="2"/>
  <c r="L1794" i="2"/>
  <c r="O1793" i="2"/>
  <c r="N1793" i="2"/>
  <c r="M1793" i="2"/>
  <c r="L1793" i="2"/>
  <c r="O1792" i="2"/>
  <c r="N1792" i="2"/>
  <c r="M1792" i="2"/>
  <c r="L1792" i="2"/>
  <c r="O1791" i="2"/>
  <c r="N1791" i="2"/>
  <c r="M1791" i="2"/>
  <c r="L1791" i="2"/>
  <c r="O1790" i="2"/>
  <c r="N1790" i="2"/>
  <c r="M1790" i="2"/>
  <c r="L1790" i="2"/>
  <c r="O1789" i="2"/>
  <c r="N1789" i="2"/>
  <c r="M1789" i="2"/>
  <c r="L1789" i="2"/>
  <c r="O1788" i="2"/>
  <c r="N1788" i="2"/>
  <c r="M1788" i="2"/>
  <c r="L1788" i="2"/>
  <c r="O1787" i="2"/>
  <c r="N1787" i="2"/>
  <c r="M1787" i="2"/>
  <c r="L1787" i="2"/>
  <c r="O1786" i="2"/>
  <c r="N1786" i="2"/>
  <c r="M1786" i="2"/>
  <c r="L1786" i="2"/>
  <c r="O1785" i="2"/>
  <c r="N1785" i="2"/>
  <c r="M1785" i="2"/>
  <c r="L1785" i="2"/>
  <c r="O1784" i="2"/>
  <c r="N1784" i="2"/>
  <c r="M1784" i="2"/>
  <c r="L1784" i="2"/>
  <c r="O1783" i="2"/>
  <c r="N1783" i="2"/>
  <c r="M1783" i="2"/>
  <c r="L1783" i="2"/>
  <c r="O1782" i="2"/>
  <c r="N1782" i="2"/>
  <c r="M1782" i="2"/>
  <c r="L1782" i="2"/>
  <c r="O1781" i="2"/>
  <c r="N1781" i="2"/>
  <c r="M1781" i="2"/>
  <c r="L1781" i="2"/>
  <c r="O1780" i="2"/>
  <c r="N1780" i="2"/>
  <c r="M1780" i="2"/>
  <c r="L1780" i="2"/>
  <c r="O1779" i="2"/>
  <c r="N1779" i="2"/>
  <c r="M1779" i="2"/>
  <c r="L1779" i="2"/>
  <c r="O1778" i="2"/>
  <c r="N1778" i="2"/>
  <c r="M1778" i="2"/>
  <c r="L1778" i="2"/>
  <c r="O1777" i="2"/>
  <c r="N1777" i="2"/>
  <c r="M1777" i="2"/>
  <c r="L1777" i="2"/>
  <c r="O1776" i="2"/>
  <c r="N1776" i="2"/>
  <c r="M1776" i="2"/>
  <c r="L1776" i="2"/>
  <c r="O1775" i="2"/>
  <c r="N1775" i="2"/>
  <c r="M1775" i="2"/>
  <c r="L1775" i="2"/>
  <c r="O1774" i="2"/>
  <c r="N1774" i="2"/>
  <c r="M1774" i="2"/>
  <c r="L1774" i="2"/>
  <c r="O1773" i="2"/>
  <c r="N1773" i="2"/>
  <c r="M1773" i="2"/>
  <c r="L1773" i="2"/>
  <c r="O1772" i="2"/>
  <c r="N1772" i="2"/>
  <c r="M1772" i="2"/>
  <c r="L1772" i="2"/>
  <c r="O1771" i="2"/>
  <c r="N1771" i="2"/>
  <c r="M1771" i="2"/>
  <c r="L1771" i="2"/>
  <c r="O1770" i="2"/>
  <c r="N1770" i="2"/>
  <c r="M1770" i="2"/>
  <c r="L1770" i="2"/>
  <c r="O1769" i="2"/>
  <c r="N1769" i="2"/>
  <c r="M1769" i="2"/>
  <c r="L1769" i="2"/>
  <c r="O1768" i="2"/>
  <c r="N1768" i="2"/>
  <c r="M1768" i="2"/>
  <c r="L1768" i="2"/>
  <c r="O1767" i="2"/>
  <c r="N1767" i="2"/>
  <c r="M1767" i="2"/>
  <c r="L1767" i="2"/>
  <c r="O1766" i="2"/>
  <c r="N1766" i="2"/>
  <c r="M1766" i="2"/>
  <c r="L1766" i="2"/>
  <c r="O1765" i="2"/>
  <c r="N1765" i="2"/>
  <c r="M1765" i="2"/>
  <c r="L1765" i="2"/>
  <c r="O1764" i="2"/>
  <c r="N1764" i="2"/>
  <c r="M1764" i="2"/>
  <c r="L1764" i="2"/>
  <c r="O1763" i="2"/>
  <c r="N1763" i="2"/>
  <c r="M1763" i="2"/>
  <c r="L1763" i="2"/>
  <c r="O1762" i="2"/>
  <c r="N1762" i="2"/>
  <c r="M1762" i="2"/>
  <c r="L1762" i="2"/>
  <c r="O1761" i="2"/>
  <c r="N1761" i="2"/>
  <c r="M1761" i="2"/>
  <c r="L1761" i="2"/>
  <c r="O1760" i="2"/>
  <c r="N1760" i="2"/>
  <c r="M1760" i="2"/>
  <c r="L1760" i="2"/>
  <c r="O1759" i="2"/>
  <c r="N1759" i="2"/>
  <c r="M1759" i="2"/>
  <c r="L1759" i="2"/>
  <c r="O1758" i="2"/>
  <c r="N1758" i="2"/>
  <c r="M1758" i="2"/>
  <c r="L1758" i="2"/>
  <c r="O1757" i="2"/>
  <c r="N1757" i="2"/>
  <c r="M1757" i="2"/>
  <c r="L1757" i="2"/>
  <c r="O1756" i="2"/>
  <c r="N1756" i="2"/>
  <c r="M1756" i="2"/>
  <c r="L1756" i="2"/>
  <c r="O1755" i="2"/>
  <c r="N1755" i="2"/>
  <c r="M1755" i="2"/>
  <c r="L1755" i="2"/>
  <c r="O1754" i="2"/>
  <c r="N1754" i="2"/>
  <c r="M1754" i="2"/>
  <c r="L1754" i="2"/>
  <c r="O1753" i="2"/>
  <c r="N1753" i="2"/>
  <c r="M1753" i="2"/>
  <c r="L1753" i="2"/>
  <c r="O1752" i="2"/>
  <c r="N1752" i="2"/>
  <c r="M1752" i="2"/>
  <c r="L1752" i="2"/>
  <c r="O1751" i="2"/>
  <c r="N1751" i="2"/>
  <c r="M1751" i="2"/>
  <c r="L1751" i="2"/>
  <c r="O1750" i="2"/>
  <c r="N1750" i="2"/>
  <c r="M1750" i="2"/>
  <c r="L1750" i="2"/>
  <c r="O1749" i="2"/>
  <c r="N1749" i="2"/>
  <c r="M1749" i="2"/>
  <c r="L1749" i="2"/>
  <c r="O1748" i="2"/>
  <c r="N1748" i="2"/>
  <c r="M1748" i="2"/>
  <c r="L1748" i="2"/>
  <c r="O1747" i="2"/>
  <c r="N1747" i="2"/>
  <c r="M1747" i="2"/>
  <c r="L1747" i="2"/>
  <c r="O1746" i="2"/>
  <c r="N1746" i="2"/>
  <c r="M1746" i="2"/>
  <c r="L1746" i="2"/>
  <c r="O1745" i="2"/>
  <c r="N1745" i="2"/>
  <c r="M1745" i="2"/>
  <c r="L1745" i="2"/>
  <c r="O1744" i="2"/>
  <c r="N1744" i="2"/>
  <c r="M1744" i="2"/>
  <c r="L1744" i="2"/>
  <c r="O1743" i="2"/>
  <c r="N1743" i="2"/>
  <c r="M1743" i="2"/>
  <c r="L1743" i="2"/>
  <c r="O1742" i="2"/>
  <c r="N1742" i="2"/>
  <c r="M1742" i="2"/>
  <c r="L1742" i="2"/>
  <c r="O1741" i="2"/>
  <c r="N1741" i="2"/>
  <c r="M1741" i="2"/>
  <c r="L1741" i="2"/>
  <c r="O1740" i="2"/>
  <c r="N1740" i="2"/>
  <c r="M1740" i="2"/>
  <c r="L1740" i="2"/>
  <c r="O1739" i="2"/>
  <c r="N1739" i="2"/>
  <c r="M1739" i="2"/>
  <c r="L1739" i="2"/>
  <c r="O1738" i="2"/>
  <c r="N1738" i="2"/>
  <c r="M1738" i="2"/>
  <c r="L1738" i="2"/>
  <c r="O1737" i="2"/>
  <c r="N1737" i="2"/>
  <c r="M1737" i="2"/>
  <c r="L1737" i="2"/>
  <c r="O1736" i="2"/>
  <c r="N1736" i="2"/>
  <c r="M1736" i="2"/>
  <c r="L1736" i="2"/>
  <c r="O1735" i="2"/>
  <c r="N1735" i="2"/>
  <c r="M1735" i="2"/>
  <c r="L1735" i="2"/>
  <c r="O1734" i="2"/>
  <c r="N1734" i="2"/>
  <c r="M1734" i="2"/>
  <c r="L1734" i="2"/>
  <c r="O1733" i="2"/>
  <c r="N1733" i="2"/>
  <c r="M1733" i="2"/>
  <c r="L1733" i="2"/>
  <c r="O1732" i="2"/>
  <c r="N1732" i="2"/>
  <c r="M1732" i="2"/>
  <c r="L1732" i="2"/>
  <c r="O1731" i="2"/>
  <c r="N1731" i="2"/>
  <c r="M1731" i="2"/>
  <c r="L1731" i="2"/>
  <c r="O1730" i="2"/>
  <c r="N1730" i="2"/>
  <c r="M1730" i="2"/>
  <c r="L1730" i="2"/>
  <c r="O1729" i="2"/>
  <c r="N1729" i="2"/>
  <c r="M1729" i="2"/>
  <c r="L1729" i="2"/>
  <c r="O1728" i="2"/>
  <c r="N1728" i="2"/>
  <c r="M1728" i="2"/>
  <c r="L1728" i="2"/>
  <c r="O1727" i="2"/>
  <c r="N1727" i="2"/>
  <c r="M1727" i="2"/>
  <c r="L1727" i="2"/>
  <c r="O1726" i="2"/>
  <c r="N1726" i="2"/>
  <c r="M1726" i="2"/>
  <c r="L1726" i="2"/>
  <c r="O1725" i="2"/>
  <c r="N1725" i="2"/>
  <c r="M1725" i="2"/>
  <c r="L1725" i="2"/>
  <c r="O1724" i="2"/>
  <c r="N1724" i="2"/>
  <c r="M1724" i="2"/>
  <c r="L1724" i="2"/>
  <c r="O1723" i="2"/>
  <c r="N1723" i="2"/>
  <c r="M1723" i="2"/>
  <c r="L1723" i="2"/>
  <c r="O1722" i="2"/>
  <c r="N1722" i="2"/>
  <c r="M1722" i="2"/>
  <c r="L1722" i="2"/>
  <c r="O1721" i="2"/>
  <c r="N1721" i="2"/>
  <c r="M1721" i="2"/>
  <c r="L1721" i="2"/>
  <c r="O1720" i="2"/>
  <c r="N1720" i="2"/>
  <c r="M1720" i="2"/>
  <c r="L1720" i="2"/>
  <c r="O1719" i="2"/>
  <c r="N1719" i="2"/>
  <c r="M1719" i="2"/>
  <c r="L1719" i="2"/>
  <c r="O1718" i="2"/>
  <c r="N1718" i="2"/>
  <c r="M1718" i="2"/>
  <c r="L1718" i="2"/>
  <c r="O1717" i="2"/>
  <c r="N1717" i="2"/>
  <c r="M1717" i="2"/>
  <c r="L1717" i="2"/>
  <c r="O1716" i="2"/>
  <c r="N1716" i="2"/>
  <c r="M1716" i="2"/>
  <c r="L1716" i="2"/>
  <c r="O1715" i="2"/>
  <c r="N1715" i="2"/>
  <c r="M1715" i="2"/>
  <c r="L1715" i="2"/>
  <c r="O1714" i="2"/>
  <c r="N1714" i="2"/>
  <c r="M1714" i="2"/>
  <c r="L1714" i="2"/>
  <c r="O1713" i="2"/>
  <c r="N1713" i="2"/>
  <c r="M1713" i="2"/>
  <c r="L1713" i="2"/>
  <c r="O1712" i="2"/>
  <c r="N1712" i="2"/>
  <c r="M1712" i="2"/>
  <c r="L1712" i="2"/>
  <c r="O1711" i="2"/>
  <c r="N1711" i="2"/>
  <c r="M1711" i="2"/>
  <c r="L1711" i="2"/>
  <c r="O1710" i="2"/>
  <c r="N1710" i="2"/>
  <c r="M1710" i="2"/>
  <c r="L1710" i="2"/>
  <c r="O1709" i="2"/>
  <c r="N1709" i="2"/>
  <c r="M1709" i="2"/>
  <c r="L1709" i="2"/>
  <c r="O1708" i="2"/>
  <c r="N1708" i="2"/>
  <c r="M1708" i="2"/>
  <c r="L1708" i="2"/>
  <c r="O1707" i="2"/>
  <c r="N1707" i="2"/>
  <c r="M1707" i="2"/>
  <c r="L1707" i="2"/>
  <c r="O1706" i="2"/>
  <c r="N1706" i="2"/>
  <c r="M1706" i="2"/>
  <c r="L1706" i="2"/>
  <c r="O1705" i="2"/>
  <c r="N1705" i="2"/>
  <c r="M1705" i="2"/>
  <c r="L1705" i="2"/>
  <c r="O1704" i="2"/>
  <c r="N1704" i="2"/>
  <c r="M1704" i="2"/>
  <c r="L1704" i="2"/>
  <c r="O1703" i="2"/>
  <c r="N1703" i="2"/>
  <c r="M1703" i="2"/>
  <c r="L1703" i="2"/>
  <c r="O1702" i="2"/>
  <c r="N1702" i="2"/>
  <c r="M1702" i="2"/>
  <c r="L1702" i="2"/>
  <c r="O1701" i="2"/>
  <c r="N1701" i="2"/>
  <c r="M1701" i="2"/>
  <c r="L1701" i="2"/>
  <c r="O1700" i="2"/>
  <c r="N1700" i="2"/>
  <c r="M1700" i="2"/>
  <c r="L1700" i="2"/>
  <c r="O1699" i="2"/>
  <c r="N1699" i="2"/>
  <c r="M1699" i="2"/>
  <c r="L1699" i="2"/>
  <c r="O1698" i="2"/>
  <c r="N1698" i="2"/>
  <c r="M1698" i="2"/>
  <c r="L1698" i="2"/>
  <c r="O1697" i="2"/>
  <c r="N1697" i="2"/>
  <c r="M1697" i="2"/>
  <c r="L1697" i="2"/>
  <c r="O1696" i="2"/>
  <c r="N1696" i="2"/>
  <c r="M1696" i="2"/>
  <c r="L1696" i="2"/>
  <c r="O1695" i="2"/>
  <c r="N1695" i="2"/>
  <c r="M1695" i="2"/>
  <c r="L1695" i="2"/>
  <c r="O1694" i="2"/>
  <c r="N1694" i="2"/>
  <c r="M1694" i="2"/>
  <c r="L1694" i="2"/>
  <c r="O1693" i="2"/>
  <c r="N1693" i="2"/>
  <c r="M1693" i="2"/>
  <c r="L1693" i="2"/>
  <c r="O1692" i="2"/>
  <c r="N1692" i="2"/>
  <c r="M1692" i="2"/>
  <c r="L1692" i="2"/>
  <c r="O1691" i="2"/>
  <c r="N1691" i="2"/>
  <c r="M1691" i="2"/>
  <c r="L1691" i="2"/>
  <c r="O1690" i="2"/>
  <c r="N1690" i="2"/>
  <c r="M1690" i="2"/>
  <c r="L1690" i="2"/>
  <c r="O1689" i="2"/>
  <c r="N1689" i="2"/>
  <c r="M1689" i="2"/>
  <c r="L1689" i="2"/>
  <c r="O1688" i="2"/>
  <c r="N1688" i="2"/>
  <c r="M1688" i="2"/>
  <c r="L1688" i="2"/>
  <c r="O1687" i="2"/>
  <c r="N1687" i="2"/>
  <c r="M1687" i="2"/>
  <c r="L1687" i="2"/>
  <c r="O1686" i="2"/>
  <c r="N1686" i="2"/>
  <c r="M1686" i="2"/>
  <c r="L1686" i="2"/>
  <c r="O1685" i="2"/>
  <c r="N1685" i="2"/>
  <c r="M1685" i="2"/>
  <c r="L1685" i="2"/>
  <c r="O1684" i="2"/>
  <c r="N1684" i="2"/>
  <c r="M1684" i="2"/>
  <c r="L1684" i="2"/>
  <c r="O1683" i="2"/>
  <c r="N1683" i="2"/>
  <c r="M1683" i="2"/>
  <c r="L1683" i="2"/>
  <c r="O1682" i="2"/>
  <c r="N1682" i="2"/>
  <c r="M1682" i="2"/>
  <c r="L1682" i="2"/>
  <c r="O1681" i="2"/>
  <c r="N1681" i="2"/>
  <c r="M1681" i="2"/>
  <c r="L1681" i="2"/>
  <c r="O1680" i="2"/>
  <c r="N1680" i="2"/>
  <c r="M1680" i="2"/>
  <c r="L1680" i="2"/>
  <c r="O1679" i="2"/>
  <c r="N1679" i="2"/>
  <c r="M1679" i="2"/>
  <c r="L1679" i="2"/>
  <c r="O1678" i="2"/>
  <c r="N1678" i="2"/>
  <c r="M1678" i="2"/>
  <c r="L1678" i="2"/>
  <c r="O1677" i="2"/>
  <c r="N1677" i="2"/>
  <c r="M1677" i="2"/>
  <c r="L1677" i="2"/>
  <c r="O1676" i="2"/>
  <c r="N1676" i="2"/>
  <c r="M1676" i="2"/>
  <c r="L1676" i="2"/>
  <c r="O1675" i="2"/>
  <c r="N1675" i="2"/>
  <c r="M1675" i="2"/>
  <c r="L1675" i="2"/>
  <c r="O1674" i="2"/>
  <c r="N1674" i="2"/>
  <c r="M1674" i="2"/>
  <c r="L1674" i="2"/>
  <c r="O1673" i="2"/>
  <c r="N1673" i="2"/>
  <c r="M1673" i="2"/>
  <c r="L1673" i="2"/>
  <c r="O1672" i="2"/>
  <c r="N1672" i="2"/>
  <c r="M1672" i="2"/>
  <c r="L1672" i="2"/>
  <c r="O1671" i="2"/>
  <c r="N1671" i="2"/>
  <c r="M1671" i="2"/>
  <c r="L1671" i="2"/>
  <c r="O1670" i="2"/>
  <c r="N1670" i="2"/>
  <c r="M1670" i="2"/>
  <c r="L1670" i="2"/>
  <c r="O1669" i="2"/>
  <c r="N1669" i="2"/>
  <c r="M1669" i="2"/>
  <c r="L1669" i="2"/>
  <c r="O1668" i="2"/>
  <c r="N1668" i="2"/>
  <c r="M1668" i="2"/>
  <c r="L1668" i="2"/>
  <c r="O1667" i="2"/>
  <c r="N1667" i="2"/>
  <c r="M1667" i="2"/>
  <c r="L1667" i="2"/>
  <c r="O1666" i="2"/>
  <c r="N1666" i="2"/>
  <c r="M1666" i="2"/>
  <c r="L1666" i="2"/>
  <c r="O1665" i="2"/>
  <c r="N1665" i="2"/>
  <c r="M1665" i="2"/>
  <c r="L1665" i="2"/>
  <c r="O1664" i="2"/>
  <c r="N1664" i="2"/>
  <c r="M1664" i="2"/>
  <c r="L1664" i="2"/>
  <c r="O1663" i="2"/>
  <c r="N1663" i="2"/>
  <c r="M1663" i="2"/>
  <c r="L1663" i="2"/>
  <c r="O1662" i="2"/>
  <c r="N1662" i="2"/>
  <c r="M1662" i="2"/>
  <c r="L1662" i="2"/>
  <c r="O1661" i="2"/>
  <c r="N1661" i="2"/>
  <c r="M1661" i="2"/>
  <c r="L1661" i="2"/>
  <c r="O1660" i="2"/>
  <c r="N1660" i="2"/>
  <c r="M1660" i="2"/>
  <c r="L1660" i="2"/>
  <c r="O1659" i="2"/>
  <c r="N1659" i="2"/>
  <c r="M1659" i="2"/>
  <c r="L1659" i="2"/>
  <c r="O1658" i="2"/>
  <c r="N1658" i="2"/>
  <c r="M1658" i="2"/>
  <c r="L1658" i="2"/>
  <c r="O1657" i="2"/>
  <c r="N1657" i="2"/>
  <c r="M1657" i="2"/>
  <c r="L1657" i="2"/>
  <c r="O1656" i="2"/>
  <c r="N1656" i="2"/>
  <c r="M1656" i="2"/>
  <c r="L1656" i="2"/>
  <c r="O1655" i="2"/>
  <c r="N1655" i="2"/>
  <c r="M1655" i="2"/>
  <c r="L1655" i="2"/>
  <c r="O1654" i="2"/>
  <c r="N1654" i="2"/>
  <c r="M1654" i="2"/>
  <c r="L1654" i="2"/>
  <c r="O1653" i="2"/>
  <c r="N1653" i="2"/>
  <c r="M1653" i="2"/>
  <c r="L1653" i="2"/>
  <c r="O1652" i="2"/>
  <c r="N1652" i="2"/>
  <c r="M1652" i="2"/>
  <c r="L1652" i="2"/>
  <c r="O1651" i="2"/>
  <c r="N1651" i="2"/>
  <c r="M1651" i="2"/>
  <c r="L1651" i="2"/>
  <c r="O1650" i="2"/>
  <c r="N1650" i="2"/>
  <c r="M1650" i="2"/>
  <c r="L1650" i="2"/>
  <c r="O1649" i="2"/>
  <c r="N1649" i="2"/>
  <c r="M1649" i="2"/>
  <c r="L1649" i="2"/>
  <c r="O1648" i="2"/>
  <c r="N1648" i="2"/>
  <c r="M1648" i="2"/>
  <c r="L1648" i="2"/>
  <c r="O1647" i="2"/>
  <c r="N1647" i="2"/>
  <c r="M1647" i="2"/>
  <c r="L1647" i="2"/>
  <c r="O1646" i="2"/>
  <c r="N1646" i="2"/>
  <c r="M1646" i="2"/>
  <c r="L1646" i="2"/>
  <c r="O1645" i="2"/>
  <c r="N1645" i="2"/>
  <c r="M1645" i="2"/>
  <c r="L1645" i="2"/>
  <c r="O1644" i="2"/>
  <c r="N1644" i="2"/>
  <c r="M1644" i="2"/>
  <c r="L1644" i="2"/>
  <c r="O1643" i="2"/>
  <c r="N1643" i="2"/>
  <c r="M1643" i="2"/>
  <c r="L1643" i="2"/>
  <c r="O1642" i="2"/>
  <c r="N1642" i="2"/>
  <c r="M1642" i="2"/>
  <c r="L1642" i="2"/>
  <c r="O1641" i="2"/>
  <c r="N1641" i="2"/>
  <c r="M1641" i="2"/>
  <c r="L1641" i="2"/>
  <c r="O1640" i="2"/>
  <c r="N1640" i="2"/>
  <c r="M1640" i="2"/>
  <c r="L1640" i="2"/>
  <c r="O1639" i="2"/>
  <c r="N1639" i="2"/>
  <c r="M1639" i="2"/>
  <c r="L1639" i="2"/>
  <c r="O1638" i="2"/>
  <c r="N1638" i="2"/>
  <c r="M1638" i="2"/>
  <c r="L1638" i="2"/>
  <c r="O1637" i="2"/>
  <c r="N1637" i="2"/>
  <c r="M1637" i="2"/>
  <c r="L1637" i="2"/>
  <c r="O1636" i="2"/>
  <c r="N1636" i="2"/>
  <c r="M1636" i="2"/>
  <c r="L1636" i="2"/>
  <c r="O1635" i="2"/>
  <c r="N1635" i="2"/>
  <c r="M1635" i="2"/>
  <c r="L1635" i="2"/>
  <c r="O1634" i="2"/>
  <c r="N1634" i="2"/>
  <c r="M1634" i="2"/>
  <c r="L1634" i="2"/>
  <c r="O1633" i="2"/>
  <c r="N1633" i="2"/>
  <c r="M1633" i="2"/>
  <c r="L1633" i="2"/>
  <c r="O1632" i="2"/>
  <c r="N1632" i="2"/>
  <c r="M1632" i="2"/>
  <c r="L1632" i="2"/>
  <c r="O1631" i="2"/>
  <c r="N1631" i="2"/>
  <c r="M1631" i="2"/>
  <c r="L1631" i="2"/>
  <c r="O1630" i="2"/>
  <c r="N1630" i="2"/>
  <c r="M1630" i="2"/>
  <c r="L1630" i="2"/>
  <c r="O1629" i="2"/>
  <c r="N1629" i="2"/>
  <c r="M1629" i="2"/>
  <c r="L1629" i="2"/>
  <c r="O1628" i="2"/>
  <c r="N1628" i="2"/>
  <c r="M1628" i="2"/>
  <c r="L1628" i="2"/>
  <c r="O1627" i="2"/>
  <c r="N1627" i="2"/>
  <c r="M1627" i="2"/>
  <c r="L1627" i="2"/>
  <c r="O1626" i="2"/>
  <c r="N1626" i="2"/>
  <c r="M1626" i="2"/>
  <c r="L1626" i="2"/>
  <c r="O1625" i="2"/>
  <c r="N1625" i="2"/>
  <c r="M1625" i="2"/>
  <c r="L1625" i="2"/>
  <c r="O1624" i="2"/>
  <c r="N1624" i="2"/>
  <c r="M1624" i="2"/>
  <c r="L1624" i="2"/>
  <c r="O1623" i="2"/>
  <c r="N1623" i="2"/>
  <c r="M1623" i="2"/>
  <c r="L1623" i="2"/>
  <c r="O1622" i="2"/>
  <c r="N1622" i="2"/>
  <c r="M1622" i="2"/>
  <c r="L1622" i="2"/>
  <c r="O1621" i="2"/>
  <c r="N1621" i="2"/>
  <c r="M1621" i="2"/>
  <c r="L1621" i="2"/>
  <c r="O1620" i="2"/>
  <c r="N1620" i="2"/>
  <c r="M1620" i="2"/>
  <c r="L1620" i="2"/>
  <c r="O1619" i="2"/>
  <c r="N1619" i="2"/>
  <c r="M1619" i="2"/>
  <c r="L1619" i="2"/>
  <c r="O1618" i="2"/>
  <c r="N1618" i="2"/>
  <c r="M1618" i="2"/>
  <c r="L1618" i="2"/>
  <c r="O1617" i="2"/>
  <c r="N1617" i="2"/>
  <c r="M1617" i="2"/>
  <c r="L1617" i="2"/>
  <c r="O1616" i="2"/>
  <c r="N1616" i="2"/>
  <c r="M1616" i="2"/>
  <c r="L1616" i="2"/>
  <c r="O1615" i="2"/>
  <c r="N1615" i="2"/>
  <c r="M1615" i="2"/>
  <c r="L1615" i="2"/>
  <c r="O1614" i="2"/>
  <c r="N1614" i="2"/>
  <c r="M1614" i="2"/>
  <c r="L1614" i="2"/>
  <c r="O1613" i="2"/>
  <c r="N1613" i="2"/>
  <c r="M1613" i="2"/>
  <c r="L1613" i="2"/>
  <c r="O1612" i="2"/>
  <c r="N1612" i="2"/>
  <c r="M1612" i="2"/>
  <c r="L1612" i="2"/>
  <c r="O1611" i="2"/>
  <c r="N1611" i="2"/>
  <c r="M1611" i="2"/>
  <c r="L1611" i="2"/>
  <c r="O1610" i="2"/>
  <c r="N1610" i="2"/>
  <c r="M1610" i="2"/>
  <c r="L1610" i="2"/>
  <c r="O1609" i="2"/>
  <c r="N1609" i="2"/>
  <c r="M1609" i="2"/>
  <c r="L1609" i="2"/>
  <c r="O1608" i="2"/>
  <c r="N1608" i="2"/>
  <c r="M1608" i="2"/>
  <c r="L1608" i="2"/>
  <c r="O1607" i="2"/>
  <c r="N1607" i="2"/>
  <c r="M1607" i="2"/>
  <c r="L1607" i="2"/>
  <c r="O1606" i="2"/>
  <c r="N1606" i="2"/>
  <c r="M1606" i="2"/>
  <c r="L1606" i="2"/>
  <c r="O1605" i="2"/>
  <c r="N1605" i="2"/>
  <c r="M1605" i="2"/>
  <c r="L1605" i="2"/>
  <c r="O1604" i="2"/>
  <c r="N1604" i="2"/>
  <c r="M1604" i="2"/>
  <c r="L1604" i="2"/>
  <c r="O1603" i="2"/>
  <c r="N1603" i="2"/>
  <c r="M1603" i="2"/>
  <c r="L1603" i="2"/>
  <c r="O1602" i="2"/>
  <c r="N1602" i="2"/>
  <c r="M1602" i="2"/>
  <c r="L1602" i="2"/>
  <c r="O1601" i="2"/>
  <c r="N1601" i="2"/>
  <c r="M1601" i="2"/>
  <c r="L1601" i="2"/>
  <c r="O1600" i="2"/>
  <c r="N1600" i="2"/>
  <c r="M1600" i="2"/>
  <c r="L1600" i="2"/>
  <c r="O1599" i="2"/>
  <c r="N1599" i="2"/>
  <c r="M1599" i="2"/>
  <c r="L1599" i="2"/>
  <c r="O1598" i="2"/>
  <c r="N1598" i="2"/>
  <c r="M1598" i="2"/>
  <c r="L1598" i="2"/>
  <c r="O1597" i="2"/>
  <c r="N1597" i="2"/>
  <c r="M1597" i="2"/>
  <c r="L1597" i="2"/>
  <c r="O1596" i="2"/>
  <c r="N1596" i="2"/>
  <c r="M1596" i="2"/>
  <c r="L1596" i="2"/>
  <c r="O1595" i="2"/>
  <c r="N1595" i="2"/>
  <c r="M1595" i="2"/>
  <c r="L1595" i="2"/>
  <c r="O1594" i="2"/>
  <c r="N1594" i="2"/>
  <c r="M1594" i="2"/>
  <c r="L1594" i="2"/>
  <c r="O1593" i="2"/>
  <c r="N1593" i="2"/>
  <c r="M1593" i="2"/>
  <c r="L1593" i="2"/>
  <c r="O1592" i="2"/>
  <c r="N1592" i="2"/>
  <c r="M1592" i="2"/>
  <c r="L1592" i="2"/>
  <c r="O1591" i="2"/>
  <c r="N1591" i="2"/>
  <c r="M1591" i="2"/>
  <c r="L1591" i="2"/>
  <c r="O1590" i="2"/>
  <c r="N1590" i="2"/>
  <c r="M1590" i="2"/>
  <c r="L1590" i="2"/>
  <c r="O1589" i="2"/>
  <c r="N1589" i="2"/>
  <c r="M1589" i="2"/>
  <c r="L1589" i="2"/>
  <c r="O1588" i="2"/>
  <c r="N1588" i="2"/>
  <c r="M1588" i="2"/>
  <c r="L1588" i="2"/>
  <c r="O1587" i="2"/>
  <c r="N1587" i="2"/>
  <c r="M1587" i="2"/>
  <c r="L1587" i="2"/>
  <c r="O1586" i="2"/>
  <c r="N1586" i="2"/>
  <c r="M1586" i="2"/>
  <c r="L1586" i="2"/>
  <c r="O1585" i="2"/>
  <c r="N1585" i="2"/>
  <c r="M1585" i="2"/>
  <c r="L1585" i="2"/>
  <c r="O1584" i="2"/>
  <c r="N1584" i="2"/>
  <c r="M1584" i="2"/>
  <c r="L1584" i="2"/>
  <c r="O1583" i="2"/>
  <c r="N1583" i="2"/>
  <c r="M1583" i="2"/>
  <c r="L1583" i="2"/>
  <c r="O1582" i="2"/>
  <c r="N1582" i="2"/>
  <c r="M1582" i="2"/>
  <c r="L1582" i="2"/>
  <c r="O1581" i="2"/>
  <c r="N1581" i="2"/>
  <c r="M1581" i="2"/>
  <c r="L1581" i="2"/>
  <c r="O1580" i="2"/>
  <c r="N1580" i="2"/>
  <c r="M1580" i="2"/>
  <c r="L1580" i="2"/>
  <c r="O1579" i="2"/>
  <c r="N1579" i="2"/>
  <c r="M1579" i="2"/>
  <c r="L1579" i="2"/>
  <c r="O1578" i="2"/>
  <c r="N1578" i="2"/>
  <c r="M1578" i="2"/>
  <c r="L1578" i="2"/>
  <c r="O1577" i="2"/>
  <c r="N1577" i="2"/>
  <c r="M1577" i="2"/>
  <c r="L1577" i="2"/>
  <c r="O1576" i="2"/>
  <c r="N1576" i="2"/>
  <c r="M1576" i="2"/>
  <c r="L1576" i="2"/>
  <c r="O1575" i="2"/>
  <c r="N1575" i="2"/>
  <c r="M1575" i="2"/>
  <c r="L1575" i="2"/>
  <c r="O1574" i="2"/>
  <c r="N1574" i="2"/>
  <c r="M1574" i="2"/>
  <c r="L1574" i="2"/>
  <c r="O1573" i="2"/>
  <c r="N1573" i="2"/>
  <c r="M1573" i="2"/>
  <c r="L1573" i="2"/>
  <c r="O1572" i="2"/>
  <c r="N1572" i="2"/>
  <c r="M1572" i="2"/>
  <c r="L1572" i="2"/>
  <c r="O1571" i="2"/>
  <c r="N1571" i="2"/>
  <c r="M1571" i="2"/>
  <c r="L1571" i="2"/>
  <c r="O1570" i="2"/>
  <c r="N1570" i="2"/>
  <c r="M1570" i="2"/>
  <c r="L1570" i="2"/>
  <c r="O1569" i="2"/>
  <c r="N1569" i="2"/>
  <c r="M1569" i="2"/>
  <c r="L1569" i="2"/>
  <c r="O1568" i="2"/>
  <c r="N1568" i="2"/>
  <c r="M1568" i="2"/>
  <c r="L1568" i="2"/>
  <c r="O1567" i="2"/>
  <c r="N1567" i="2"/>
  <c r="M1567" i="2"/>
  <c r="L1567" i="2"/>
  <c r="O1566" i="2"/>
  <c r="N1566" i="2"/>
  <c r="M1566" i="2"/>
  <c r="L1566" i="2"/>
  <c r="O1565" i="2"/>
  <c r="N1565" i="2"/>
  <c r="M1565" i="2"/>
  <c r="L1565" i="2"/>
  <c r="O1564" i="2"/>
  <c r="N1564" i="2"/>
  <c r="M1564" i="2"/>
  <c r="L1564" i="2"/>
  <c r="O1563" i="2"/>
  <c r="N1563" i="2"/>
  <c r="M1563" i="2"/>
  <c r="L1563" i="2"/>
  <c r="O1562" i="2"/>
  <c r="N1562" i="2"/>
  <c r="M1562" i="2"/>
  <c r="L1562" i="2"/>
  <c r="O1561" i="2"/>
  <c r="N1561" i="2"/>
  <c r="M1561" i="2"/>
  <c r="L1561" i="2"/>
  <c r="O1560" i="2"/>
  <c r="N1560" i="2"/>
  <c r="M1560" i="2"/>
  <c r="L1560" i="2"/>
  <c r="O1559" i="2"/>
  <c r="N1559" i="2"/>
  <c r="M1559" i="2"/>
  <c r="L1559" i="2"/>
  <c r="O1558" i="2"/>
  <c r="N1558" i="2"/>
  <c r="M1558" i="2"/>
  <c r="L1558" i="2"/>
  <c r="O1557" i="2"/>
  <c r="N1557" i="2"/>
  <c r="M1557" i="2"/>
  <c r="L1557" i="2"/>
  <c r="O1556" i="2"/>
  <c r="N1556" i="2"/>
  <c r="M1556" i="2"/>
  <c r="L1556" i="2"/>
  <c r="O1555" i="2"/>
  <c r="N1555" i="2"/>
  <c r="M1555" i="2"/>
  <c r="L1555" i="2"/>
  <c r="O1554" i="2"/>
  <c r="N1554" i="2"/>
  <c r="M1554" i="2"/>
  <c r="L1554" i="2"/>
  <c r="O1553" i="2"/>
  <c r="N1553" i="2"/>
  <c r="M1553" i="2"/>
  <c r="L1553" i="2"/>
  <c r="O1552" i="2"/>
  <c r="N1552" i="2"/>
  <c r="M1552" i="2"/>
  <c r="L1552" i="2"/>
  <c r="O1551" i="2"/>
  <c r="N1551" i="2"/>
  <c r="M1551" i="2"/>
  <c r="L1551" i="2"/>
  <c r="O1550" i="2"/>
  <c r="N1550" i="2"/>
  <c r="M1550" i="2"/>
  <c r="L1550" i="2"/>
  <c r="O1549" i="2"/>
  <c r="N1549" i="2"/>
  <c r="M1549" i="2"/>
  <c r="L1549" i="2"/>
  <c r="O1548" i="2"/>
  <c r="N1548" i="2"/>
  <c r="M1548" i="2"/>
  <c r="L1548" i="2"/>
  <c r="O1547" i="2"/>
  <c r="N1547" i="2"/>
  <c r="M1547" i="2"/>
  <c r="L1547" i="2"/>
  <c r="O1546" i="2"/>
  <c r="N1546" i="2"/>
  <c r="M1546" i="2"/>
  <c r="L1546" i="2"/>
  <c r="O1545" i="2"/>
  <c r="N1545" i="2"/>
  <c r="M1545" i="2"/>
  <c r="L1545" i="2"/>
  <c r="O1544" i="2"/>
  <c r="N1544" i="2"/>
  <c r="M1544" i="2"/>
  <c r="L1544" i="2"/>
  <c r="O1543" i="2"/>
  <c r="N1543" i="2"/>
  <c r="M1543" i="2"/>
  <c r="L1543" i="2"/>
  <c r="O1542" i="2"/>
  <c r="N1542" i="2"/>
  <c r="M1542" i="2"/>
  <c r="L1542" i="2"/>
  <c r="O1541" i="2"/>
  <c r="N1541" i="2"/>
  <c r="M1541" i="2"/>
  <c r="L1541" i="2"/>
  <c r="O1540" i="2"/>
  <c r="N1540" i="2"/>
  <c r="M1540" i="2"/>
  <c r="L1540" i="2"/>
  <c r="O1539" i="2"/>
  <c r="N1539" i="2"/>
  <c r="M1539" i="2"/>
  <c r="L1539" i="2"/>
  <c r="O1538" i="2"/>
  <c r="N1538" i="2"/>
  <c r="M1538" i="2"/>
  <c r="L1538" i="2"/>
  <c r="O1537" i="2"/>
  <c r="N1537" i="2"/>
  <c r="M1537" i="2"/>
  <c r="L1537" i="2"/>
  <c r="O1536" i="2"/>
  <c r="N1536" i="2"/>
  <c r="M1536" i="2"/>
  <c r="L1536" i="2"/>
  <c r="O1535" i="2"/>
  <c r="N1535" i="2"/>
  <c r="M1535" i="2"/>
  <c r="L1535" i="2"/>
  <c r="O1534" i="2"/>
  <c r="N1534" i="2"/>
  <c r="M1534" i="2"/>
  <c r="L1534" i="2"/>
  <c r="O1533" i="2"/>
  <c r="N1533" i="2"/>
  <c r="M1533" i="2"/>
  <c r="L1533" i="2"/>
  <c r="O1532" i="2"/>
  <c r="N1532" i="2"/>
  <c r="M1532" i="2"/>
  <c r="L1532" i="2"/>
  <c r="O1531" i="2"/>
  <c r="N1531" i="2"/>
  <c r="M1531" i="2"/>
  <c r="L1531" i="2"/>
  <c r="O1530" i="2"/>
  <c r="N1530" i="2"/>
  <c r="M1530" i="2"/>
  <c r="L1530" i="2"/>
  <c r="O1529" i="2"/>
  <c r="N1529" i="2"/>
  <c r="M1529" i="2"/>
  <c r="L1529" i="2"/>
  <c r="O1528" i="2"/>
  <c r="N1528" i="2"/>
  <c r="M1528" i="2"/>
  <c r="L1528" i="2"/>
  <c r="O1527" i="2"/>
  <c r="N1527" i="2"/>
  <c r="M1527" i="2"/>
  <c r="L1527" i="2"/>
  <c r="O1526" i="2"/>
  <c r="N1526" i="2"/>
  <c r="M1526" i="2"/>
  <c r="L1526" i="2"/>
  <c r="O1525" i="2"/>
  <c r="N1525" i="2"/>
  <c r="M1525" i="2"/>
  <c r="L1525" i="2"/>
  <c r="O1524" i="2"/>
  <c r="N1524" i="2"/>
  <c r="M1524" i="2"/>
  <c r="L1524" i="2"/>
  <c r="O1523" i="2"/>
  <c r="N1523" i="2"/>
  <c r="M1523" i="2"/>
  <c r="L1523" i="2"/>
  <c r="O1522" i="2"/>
  <c r="N1522" i="2"/>
  <c r="M1522" i="2"/>
  <c r="L1522" i="2"/>
  <c r="O1521" i="2"/>
  <c r="N1521" i="2"/>
  <c r="M1521" i="2"/>
  <c r="L1521" i="2"/>
  <c r="O1520" i="2"/>
  <c r="N1520" i="2"/>
  <c r="M1520" i="2"/>
  <c r="L1520" i="2"/>
  <c r="O1519" i="2"/>
  <c r="N1519" i="2"/>
  <c r="M1519" i="2"/>
  <c r="L1519" i="2"/>
  <c r="O1518" i="2"/>
  <c r="N1518" i="2"/>
  <c r="M1518" i="2"/>
  <c r="L1518" i="2"/>
  <c r="O1517" i="2"/>
  <c r="N1517" i="2"/>
  <c r="M1517" i="2"/>
  <c r="L1517" i="2"/>
  <c r="O1516" i="2"/>
  <c r="N1516" i="2"/>
  <c r="M1516" i="2"/>
  <c r="L1516" i="2"/>
  <c r="O1515" i="2"/>
  <c r="N1515" i="2"/>
  <c r="M1515" i="2"/>
  <c r="L1515" i="2"/>
  <c r="O1514" i="2"/>
  <c r="N1514" i="2"/>
  <c r="M1514" i="2"/>
  <c r="L1514" i="2"/>
  <c r="O1513" i="2"/>
  <c r="N1513" i="2"/>
  <c r="M1513" i="2"/>
  <c r="L1513" i="2"/>
  <c r="O1512" i="2"/>
  <c r="N1512" i="2"/>
  <c r="M1512" i="2"/>
  <c r="L1512" i="2"/>
  <c r="O1511" i="2"/>
  <c r="N1511" i="2"/>
  <c r="M1511" i="2"/>
  <c r="L1511" i="2"/>
  <c r="O1510" i="2"/>
  <c r="N1510" i="2"/>
  <c r="M1510" i="2"/>
  <c r="L1510" i="2"/>
  <c r="O1509" i="2"/>
  <c r="N1509" i="2"/>
  <c r="M1509" i="2"/>
  <c r="L1509" i="2"/>
  <c r="O1508" i="2"/>
  <c r="N1508" i="2"/>
  <c r="M1508" i="2"/>
  <c r="L1508" i="2"/>
  <c r="O1507" i="2"/>
  <c r="N1507" i="2"/>
  <c r="M1507" i="2"/>
  <c r="L1507" i="2"/>
  <c r="O1506" i="2"/>
  <c r="N1506" i="2"/>
  <c r="M1506" i="2"/>
  <c r="L1506" i="2"/>
  <c r="O1505" i="2"/>
  <c r="N1505" i="2"/>
  <c r="M1505" i="2"/>
  <c r="L1505" i="2"/>
  <c r="O1504" i="2"/>
  <c r="N1504" i="2"/>
  <c r="M1504" i="2"/>
  <c r="L1504" i="2"/>
  <c r="O1503" i="2"/>
  <c r="N1503" i="2"/>
  <c r="M1503" i="2"/>
  <c r="L1503" i="2"/>
  <c r="O1502" i="2"/>
  <c r="N1502" i="2"/>
  <c r="M1502" i="2"/>
  <c r="L1502" i="2"/>
  <c r="O1501" i="2"/>
  <c r="N1501" i="2"/>
  <c r="M1501" i="2"/>
  <c r="L1501" i="2"/>
  <c r="O1500" i="2"/>
  <c r="N1500" i="2"/>
  <c r="M1500" i="2"/>
  <c r="L1500" i="2"/>
  <c r="O1499" i="2"/>
  <c r="N1499" i="2"/>
  <c r="M1499" i="2"/>
  <c r="L1499" i="2"/>
  <c r="O1498" i="2"/>
  <c r="N1498" i="2"/>
  <c r="M1498" i="2"/>
  <c r="L1498" i="2"/>
  <c r="O1497" i="2"/>
  <c r="N1497" i="2"/>
  <c r="M1497" i="2"/>
  <c r="L1497" i="2"/>
  <c r="O1496" i="2"/>
  <c r="N1496" i="2"/>
  <c r="M1496" i="2"/>
  <c r="L1496" i="2"/>
  <c r="O1495" i="2"/>
  <c r="N1495" i="2"/>
  <c r="M1495" i="2"/>
  <c r="L1495" i="2"/>
  <c r="O1494" i="2"/>
  <c r="N1494" i="2"/>
  <c r="M1494" i="2"/>
  <c r="L1494" i="2"/>
  <c r="O1493" i="2"/>
  <c r="N1493" i="2"/>
  <c r="M1493" i="2"/>
  <c r="L1493" i="2"/>
  <c r="O1492" i="2"/>
  <c r="N1492" i="2"/>
  <c r="M1492" i="2"/>
  <c r="L1492" i="2"/>
  <c r="O1491" i="2"/>
  <c r="N1491" i="2"/>
  <c r="M1491" i="2"/>
  <c r="L1491" i="2"/>
  <c r="O1490" i="2"/>
  <c r="N1490" i="2"/>
  <c r="M1490" i="2"/>
  <c r="L1490" i="2"/>
  <c r="O1489" i="2"/>
  <c r="N1489" i="2"/>
  <c r="M1489" i="2"/>
  <c r="L1489" i="2"/>
  <c r="O1488" i="2"/>
  <c r="N1488" i="2"/>
  <c r="M1488" i="2"/>
  <c r="L1488" i="2"/>
  <c r="O1487" i="2"/>
  <c r="N1487" i="2"/>
  <c r="M1487" i="2"/>
  <c r="L1487" i="2"/>
  <c r="O1486" i="2"/>
  <c r="N1486" i="2"/>
  <c r="M1486" i="2"/>
  <c r="L1486" i="2"/>
  <c r="O1485" i="2"/>
  <c r="N1485" i="2"/>
  <c r="M1485" i="2"/>
  <c r="L1485" i="2"/>
  <c r="O1484" i="2"/>
  <c r="N1484" i="2"/>
  <c r="M1484" i="2"/>
  <c r="L1484" i="2"/>
  <c r="O1483" i="2"/>
  <c r="N1483" i="2"/>
  <c r="M1483" i="2"/>
  <c r="L1483" i="2"/>
  <c r="O1482" i="2"/>
  <c r="N1482" i="2"/>
  <c r="M1482" i="2"/>
  <c r="L1482" i="2"/>
  <c r="O1481" i="2"/>
  <c r="N1481" i="2"/>
  <c r="M1481" i="2"/>
  <c r="L1481" i="2"/>
  <c r="O1480" i="2"/>
  <c r="N1480" i="2"/>
  <c r="M1480" i="2"/>
  <c r="L1480" i="2"/>
  <c r="O1479" i="2"/>
  <c r="N1479" i="2"/>
  <c r="M1479" i="2"/>
  <c r="L1479" i="2"/>
  <c r="O1478" i="2"/>
  <c r="N1478" i="2"/>
  <c r="M1478" i="2"/>
  <c r="L1478" i="2"/>
  <c r="O1477" i="2"/>
  <c r="N1477" i="2"/>
  <c r="M1477" i="2"/>
  <c r="L1477" i="2"/>
  <c r="O1476" i="2"/>
  <c r="N1476" i="2"/>
  <c r="M1476" i="2"/>
  <c r="L1476" i="2"/>
  <c r="O1475" i="2"/>
  <c r="N1475" i="2"/>
  <c r="M1475" i="2"/>
  <c r="L1475" i="2"/>
  <c r="O1474" i="2"/>
  <c r="N1474" i="2"/>
  <c r="M1474" i="2"/>
  <c r="L1474" i="2"/>
  <c r="O1473" i="2"/>
  <c r="N1473" i="2"/>
  <c r="M1473" i="2"/>
  <c r="L1473" i="2"/>
  <c r="O1472" i="2"/>
  <c r="N1472" i="2"/>
  <c r="M1472" i="2"/>
  <c r="L1472" i="2"/>
  <c r="O1471" i="2"/>
  <c r="N1471" i="2"/>
  <c r="M1471" i="2"/>
  <c r="L1471" i="2"/>
  <c r="O1470" i="2"/>
  <c r="N1470" i="2"/>
  <c r="M1470" i="2"/>
  <c r="L1470" i="2"/>
  <c r="O1469" i="2"/>
  <c r="N1469" i="2"/>
  <c r="M1469" i="2"/>
  <c r="L1469" i="2"/>
  <c r="O1468" i="2"/>
  <c r="N1468" i="2"/>
  <c r="M1468" i="2"/>
  <c r="L1468" i="2"/>
  <c r="O1467" i="2"/>
  <c r="N1467" i="2"/>
  <c r="M1467" i="2"/>
  <c r="L1467" i="2"/>
  <c r="O1466" i="2"/>
  <c r="N1466" i="2"/>
  <c r="M1466" i="2"/>
  <c r="L1466" i="2"/>
  <c r="O1465" i="2"/>
  <c r="N1465" i="2"/>
  <c r="M1465" i="2"/>
  <c r="L1465" i="2"/>
  <c r="O1464" i="2"/>
  <c r="N1464" i="2"/>
  <c r="M1464" i="2"/>
  <c r="L1464" i="2"/>
  <c r="O1463" i="2"/>
  <c r="N1463" i="2"/>
  <c r="M1463" i="2"/>
  <c r="L1463" i="2"/>
  <c r="O1462" i="2"/>
  <c r="N1462" i="2"/>
  <c r="M1462" i="2"/>
  <c r="L1462" i="2"/>
  <c r="O1461" i="2"/>
  <c r="N1461" i="2"/>
  <c r="M1461" i="2"/>
  <c r="L1461" i="2"/>
  <c r="O1460" i="2"/>
  <c r="N1460" i="2"/>
  <c r="M1460" i="2"/>
  <c r="L1460" i="2"/>
  <c r="O1459" i="2"/>
  <c r="N1459" i="2"/>
  <c r="M1459" i="2"/>
  <c r="L1459" i="2"/>
  <c r="O1458" i="2"/>
  <c r="N1458" i="2"/>
  <c r="M1458" i="2"/>
  <c r="L1458" i="2"/>
  <c r="O1457" i="2"/>
  <c r="N1457" i="2"/>
  <c r="M1457" i="2"/>
  <c r="L1457" i="2"/>
  <c r="O1456" i="2"/>
  <c r="N1456" i="2"/>
  <c r="M1456" i="2"/>
  <c r="L1456" i="2"/>
  <c r="O1455" i="2"/>
  <c r="N1455" i="2"/>
  <c r="M1455" i="2"/>
  <c r="L1455" i="2"/>
  <c r="O1454" i="2"/>
  <c r="N1454" i="2"/>
  <c r="M1454" i="2"/>
  <c r="L1454" i="2"/>
  <c r="O1453" i="2"/>
  <c r="N1453" i="2"/>
  <c r="M1453" i="2"/>
  <c r="L1453" i="2"/>
  <c r="O1452" i="2"/>
  <c r="N1452" i="2"/>
  <c r="M1452" i="2"/>
  <c r="L1452" i="2"/>
  <c r="O1451" i="2"/>
  <c r="N1451" i="2"/>
  <c r="M1451" i="2"/>
  <c r="L1451" i="2"/>
  <c r="O1450" i="2"/>
  <c r="N1450" i="2"/>
  <c r="M1450" i="2"/>
  <c r="L1450" i="2"/>
  <c r="O1449" i="2"/>
  <c r="N1449" i="2"/>
  <c r="M1449" i="2"/>
  <c r="L1449" i="2"/>
  <c r="O1448" i="2"/>
  <c r="N1448" i="2"/>
  <c r="M1448" i="2"/>
  <c r="L1448" i="2"/>
  <c r="O1447" i="2"/>
  <c r="N1447" i="2"/>
  <c r="M1447" i="2"/>
  <c r="L1447" i="2"/>
  <c r="O1446" i="2"/>
  <c r="N1446" i="2"/>
  <c r="M1446" i="2"/>
  <c r="L1446" i="2"/>
  <c r="O1445" i="2"/>
  <c r="N1445" i="2"/>
  <c r="M1445" i="2"/>
  <c r="L1445" i="2"/>
  <c r="O1444" i="2"/>
  <c r="N1444" i="2"/>
  <c r="M1444" i="2"/>
  <c r="L1444" i="2"/>
  <c r="O1443" i="2"/>
  <c r="N1443" i="2"/>
  <c r="M1443" i="2"/>
  <c r="L1443" i="2"/>
  <c r="O1442" i="2"/>
  <c r="N1442" i="2"/>
  <c r="M1442" i="2"/>
  <c r="L1442" i="2"/>
  <c r="O1441" i="2"/>
  <c r="N1441" i="2"/>
  <c r="M1441" i="2"/>
  <c r="L1441" i="2"/>
  <c r="O1440" i="2"/>
  <c r="N1440" i="2"/>
  <c r="M1440" i="2"/>
  <c r="L1440" i="2"/>
  <c r="O1439" i="2"/>
  <c r="N1439" i="2"/>
  <c r="M1439" i="2"/>
  <c r="L1439" i="2"/>
  <c r="O1438" i="2"/>
  <c r="N1438" i="2"/>
  <c r="M1438" i="2"/>
  <c r="L1438" i="2"/>
  <c r="O1437" i="2"/>
  <c r="N1437" i="2"/>
  <c r="M1437" i="2"/>
  <c r="L1437" i="2"/>
  <c r="O1436" i="2"/>
  <c r="N1436" i="2"/>
  <c r="M1436" i="2"/>
  <c r="L1436" i="2"/>
  <c r="O1435" i="2"/>
  <c r="N1435" i="2"/>
  <c r="M1435" i="2"/>
  <c r="L1435" i="2"/>
  <c r="O1434" i="2"/>
  <c r="N1434" i="2"/>
  <c r="M1434" i="2"/>
  <c r="L1434" i="2"/>
  <c r="O1433" i="2"/>
  <c r="N1433" i="2"/>
  <c r="M1433" i="2"/>
  <c r="L1433" i="2"/>
  <c r="O1432" i="2"/>
  <c r="N1432" i="2"/>
  <c r="M1432" i="2"/>
  <c r="L1432" i="2"/>
  <c r="O1431" i="2"/>
  <c r="N1431" i="2"/>
  <c r="M1431" i="2"/>
  <c r="L1431" i="2"/>
  <c r="O1430" i="2"/>
  <c r="N1430" i="2"/>
  <c r="M1430" i="2"/>
  <c r="L1430" i="2"/>
  <c r="O1429" i="2"/>
  <c r="N1429" i="2"/>
  <c r="M1429" i="2"/>
  <c r="L1429" i="2"/>
  <c r="O1428" i="2"/>
  <c r="N1428" i="2"/>
  <c r="M1428" i="2"/>
  <c r="L1428" i="2"/>
  <c r="O1427" i="2"/>
  <c r="N1427" i="2"/>
  <c r="M1427" i="2"/>
  <c r="L1427" i="2"/>
  <c r="O1426" i="2"/>
  <c r="N1426" i="2"/>
  <c r="M1426" i="2"/>
  <c r="L1426" i="2"/>
  <c r="O1425" i="2"/>
  <c r="N1425" i="2"/>
  <c r="M1425" i="2"/>
  <c r="L1425" i="2"/>
  <c r="O1424" i="2"/>
  <c r="N1424" i="2"/>
  <c r="M1424" i="2"/>
  <c r="L1424" i="2"/>
  <c r="O1423" i="2"/>
  <c r="N1423" i="2"/>
  <c r="M1423" i="2"/>
  <c r="L1423" i="2"/>
  <c r="O1422" i="2"/>
  <c r="N1422" i="2"/>
  <c r="M1422" i="2"/>
  <c r="L1422" i="2"/>
  <c r="O1421" i="2"/>
  <c r="N1421" i="2"/>
  <c r="M1421" i="2"/>
  <c r="L1421" i="2"/>
  <c r="O1420" i="2"/>
  <c r="N1420" i="2"/>
  <c r="M1420" i="2"/>
  <c r="L1420" i="2"/>
  <c r="O1419" i="2"/>
  <c r="N1419" i="2"/>
  <c r="M1419" i="2"/>
  <c r="L1419" i="2"/>
  <c r="O1418" i="2"/>
  <c r="N1418" i="2"/>
  <c r="M1418" i="2"/>
  <c r="L1418" i="2"/>
  <c r="O1417" i="2"/>
  <c r="N1417" i="2"/>
  <c r="M1417" i="2"/>
  <c r="L1417" i="2"/>
  <c r="O1416" i="2"/>
  <c r="N1416" i="2"/>
  <c r="M1416" i="2"/>
  <c r="L1416" i="2"/>
  <c r="O1415" i="2"/>
  <c r="N1415" i="2"/>
  <c r="M1415" i="2"/>
  <c r="L1415" i="2"/>
  <c r="O1414" i="2"/>
  <c r="N1414" i="2"/>
  <c r="M1414" i="2"/>
  <c r="L1414" i="2"/>
  <c r="O1413" i="2"/>
  <c r="N1413" i="2"/>
  <c r="M1413" i="2"/>
  <c r="L1413" i="2"/>
  <c r="O1412" i="2"/>
  <c r="N1412" i="2"/>
  <c r="M1412" i="2"/>
  <c r="L1412" i="2"/>
  <c r="O1411" i="2"/>
  <c r="N1411" i="2"/>
  <c r="M1411" i="2"/>
  <c r="L1411" i="2"/>
  <c r="O1410" i="2"/>
  <c r="N1410" i="2"/>
  <c r="M1410" i="2"/>
  <c r="L1410" i="2"/>
  <c r="O1409" i="2"/>
  <c r="N1409" i="2"/>
  <c r="M1409" i="2"/>
  <c r="L1409" i="2"/>
  <c r="O1408" i="2"/>
  <c r="N1408" i="2"/>
  <c r="M1408" i="2"/>
  <c r="L1408" i="2"/>
  <c r="O1407" i="2"/>
  <c r="N1407" i="2"/>
  <c r="M1407" i="2"/>
  <c r="L1407" i="2"/>
  <c r="O1406" i="2"/>
  <c r="N1406" i="2"/>
  <c r="M1406" i="2"/>
  <c r="L1406" i="2"/>
  <c r="O1405" i="2"/>
  <c r="N1405" i="2"/>
  <c r="M1405" i="2"/>
  <c r="L1405" i="2"/>
  <c r="O1404" i="2"/>
  <c r="N1404" i="2"/>
  <c r="M1404" i="2"/>
  <c r="L1404" i="2"/>
  <c r="O1403" i="2"/>
  <c r="N1403" i="2"/>
  <c r="M1403" i="2"/>
  <c r="L1403" i="2"/>
  <c r="O1402" i="2"/>
  <c r="N1402" i="2"/>
  <c r="M1402" i="2"/>
  <c r="L1402" i="2"/>
  <c r="O1401" i="2"/>
  <c r="N1401" i="2"/>
  <c r="M1401" i="2"/>
  <c r="L1401" i="2"/>
  <c r="O1400" i="2"/>
  <c r="N1400" i="2"/>
  <c r="M1400" i="2"/>
  <c r="L1400" i="2"/>
  <c r="O1399" i="2"/>
  <c r="N1399" i="2"/>
  <c r="M1399" i="2"/>
  <c r="L1399" i="2"/>
  <c r="O1398" i="2"/>
  <c r="N1398" i="2"/>
  <c r="M1398" i="2"/>
  <c r="L1398" i="2"/>
  <c r="O1397" i="2"/>
  <c r="N1397" i="2"/>
  <c r="M1397" i="2"/>
  <c r="L1397" i="2"/>
  <c r="O1396" i="2"/>
  <c r="N1396" i="2"/>
  <c r="M1396" i="2"/>
  <c r="L1396" i="2"/>
  <c r="O1395" i="2"/>
  <c r="N1395" i="2"/>
  <c r="M1395" i="2"/>
  <c r="L1395" i="2"/>
  <c r="O1394" i="2"/>
  <c r="N1394" i="2"/>
  <c r="M1394" i="2"/>
  <c r="L1394" i="2"/>
  <c r="O1393" i="2"/>
  <c r="N1393" i="2"/>
  <c r="M1393" i="2"/>
  <c r="L1393" i="2"/>
  <c r="O1392" i="2"/>
  <c r="N1392" i="2"/>
  <c r="M1392" i="2"/>
  <c r="L1392" i="2"/>
  <c r="O1391" i="2"/>
  <c r="N1391" i="2"/>
  <c r="M1391" i="2"/>
  <c r="L1391" i="2"/>
  <c r="O1390" i="2"/>
  <c r="N1390" i="2"/>
  <c r="M1390" i="2"/>
  <c r="L1390" i="2"/>
  <c r="O1389" i="2"/>
  <c r="N1389" i="2"/>
  <c r="M1389" i="2"/>
  <c r="L1389" i="2"/>
  <c r="O1388" i="2"/>
  <c r="N1388" i="2"/>
  <c r="M1388" i="2"/>
  <c r="L1388" i="2"/>
  <c r="O1387" i="2"/>
  <c r="N1387" i="2"/>
  <c r="M1387" i="2"/>
  <c r="L1387" i="2"/>
  <c r="O1386" i="2"/>
  <c r="N1386" i="2"/>
  <c r="M1386" i="2"/>
  <c r="L1386" i="2"/>
  <c r="O1385" i="2"/>
  <c r="N1385" i="2"/>
  <c r="M1385" i="2"/>
  <c r="L1385" i="2"/>
  <c r="O1384" i="2"/>
  <c r="N1384" i="2"/>
  <c r="M1384" i="2"/>
  <c r="L1384" i="2"/>
  <c r="O1383" i="2"/>
  <c r="N1383" i="2"/>
  <c r="M1383" i="2"/>
  <c r="L1383" i="2"/>
  <c r="O1382" i="2"/>
  <c r="N1382" i="2"/>
  <c r="M1382" i="2"/>
  <c r="L1382" i="2"/>
  <c r="O1381" i="2"/>
  <c r="N1381" i="2"/>
  <c r="M1381" i="2"/>
  <c r="L1381" i="2"/>
  <c r="O1380" i="2"/>
  <c r="N1380" i="2"/>
  <c r="M1380" i="2"/>
  <c r="L1380" i="2"/>
  <c r="O1379" i="2"/>
  <c r="N1379" i="2"/>
  <c r="M1379" i="2"/>
  <c r="L1379" i="2"/>
  <c r="O1378" i="2"/>
  <c r="N1378" i="2"/>
  <c r="M1378" i="2"/>
  <c r="L1378" i="2"/>
  <c r="O1377" i="2"/>
  <c r="N1377" i="2"/>
  <c r="M1377" i="2"/>
  <c r="L1377" i="2"/>
  <c r="O1376" i="2"/>
  <c r="N1376" i="2"/>
  <c r="M1376" i="2"/>
  <c r="L1376" i="2"/>
  <c r="O1375" i="2"/>
  <c r="N1375" i="2"/>
  <c r="M1375" i="2"/>
  <c r="L1375" i="2"/>
  <c r="O1374" i="2"/>
  <c r="N1374" i="2"/>
  <c r="M1374" i="2"/>
  <c r="L1374" i="2"/>
  <c r="O1373" i="2"/>
  <c r="N1373" i="2"/>
  <c r="M1373" i="2"/>
  <c r="L1373" i="2"/>
  <c r="O1372" i="2"/>
  <c r="N1372" i="2"/>
  <c r="M1372" i="2"/>
  <c r="L1372" i="2"/>
  <c r="O1371" i="2"/>
  <c r="N1371" i="2"/>
  <c r="M1371" i="2"/>
  <c r="L1371" i="2"/>
  <c r="O1370" i="2"/>
  <c r="N1370" i="2"/>
  <c r="M1370" i="2"/>
  <c r="L1370" i="2"/>
  <c r="O1369" i="2"/>
  <c r="N1369" i="2"/>
  <c r="M1369" i="2"/>
  <c r="L1369" i="2"/>
  <c r="O1368" i="2"/>
  <c r="N1368" i="2"/>
  <c r="M1368" i="2"/>
  <c r="L1368" i="2"/>
  <c r="O1367" i="2"/>
  <c r="N1367" i="2"/>
  <c r="M1367" i="2"/>
  <c r="L1367" i="2"/>
  <c r="O1366" i="2"/>
  <c r="N1366" i="2"/>
  <c r="M1366" i="2"/>
  <c r="L1366" i="2"/>
  <c r="O1365" i="2"/>
  <c r="N1365" i="2"/>
  <c r="M1365" i="2"/>
  <c r="L1365" i="2"/>
  <c r="O1364" i="2"/>
  <c r="N1364" i="2"/>
  <c r="M1364" i="2"/>
  <c r="L1364" i="2"/>
  <c r="O1363" i="2"/>
  <c r="N1363" i="2"/>
  <c r="M1363" i="2"/>
  <c r="L1363" i="2"/>
  <c r="O1362" i="2"/>
  <c r="N1362" i="2"/>
  <c r="M1362" i="2"/>
  <c r="L1362" i="2"/>
  <c r="O1361" i="2"/>
  <c r="N1361" i="2"/>
  <c r="M1361" i="2"/>
  <c r="L1361" i="2"/>
  <c r="O1360" i="2"/>
  <c r="N1360" i="2"/>
  <c r="M1360" i="2"/>
  <c r="L1360" i="2"/>
  <c r="O1359" i="2"/>
  <c r="N1359" i="2"/>
  <c r="M1359" i="2"/>
  <c r="L1359" i="2"/>
  <c r="O1358" i="2"/>
  <c r="N1358" i="2"/>
  <c r="M1358" i="2"/>
  <c r="L1358" i="2"/>
  <c r="O1357" i="2"/>
  <c r="N1357" i="2"/>
  <c r="M1357" i="2"/>
  <c r="L1357" i="2"/>
  <c r="O1356" i="2"/>
  <c r="N1356" i="2"/>
  <c r="M1356" i="2"/>
  <c r="L1356" i="2"/>
  <c r="O1355" i="2"/>
  <c r="N1355" i="2"/>
  <c r="M1355" i="2"/>
  <c r="L1355" i="2"/>
  <c r="O1354" i="2"/>
  <c r="N1354" i="2"/>
  <c r="M1354" i="2"/>
  <c r="L1354" i="2"/>
  <c r="O1353" i="2"/>
  <c r="N1353" i="2"/>
  <c r="M1353" i="2"/>
  <c r="L1353" i="2"/>
  <c r="O1352" i="2"/>
  <c r="N1352" i="2"/>
  <c r="M1352" i="2"/>
  <c r="L1352" i="2"/>
  <c r="O1351" i="2"/>
  <c r="N1351" i="2"/>
  <c r="M1351" i="2"/>
  <c r="L1351" i="2"/>
  <c r="O1350" i="2"/>
  <c r="N1350" i="2"/>
  <c r="M1350" i="2"/>
  <c r="L1350" i="2"/>
  <c r="O1349" i="2"/>
  <c r="N1349" i="2"/>
  <c r="M1349" i="2"/>
  <c r="L1349" i="2"/>
  <c r="O1348" i="2"/>
  <c r="N1348" i="2"/>
  <c r="M1348" i="2"/>
  <c r="L1348" i="2"/>
  <c r="O1347" i="2"/>
  <c r="N1347" i="2"/>
  <c r="M1347" i="2"/>
  <c r="L1347" i="2"/>
  <c r="O1346" i="2"/>
  <c r="N1346" i="2"/>
  <c r="M1346" i="2"/>
  <c r="L1346" i="2"/>
  <c r="O1345" i="2"/>
  <c r="N1345" i="2"/>
  <c r="M1345" i="2"/>
  <c r="L1345" i="2"/>
  <c r="O1344" i="2"/>
  <c r="N1344" i="2"/>
  <c r="M1344" i="2"/>
  <c r="L1344" i="2"/>
  <c r="O1343" i="2"/>
  <c r="N1343" i="2"/>
  <c r="M1343" i="2"/>
  <c r="L1343" i="2"/>
  <c r="O1342" i="2"/>
  <c r="N1342" i="2"/>
  <c r="M1342" i="2"/>
  <c r="L1342" i="2"/>
  <c r="O1341" i="2"/>
  <c r="N1341" i="2"/>
  <c r="M1341" i="2"/>
  <c r="L1341" i="2"/>
  <c r="O1340" i="2"/>
  <c r="N1340" i="2"/>
  <c r="M1340" i="2"/>
  <c r="L1340" i="2"/>
  <c r="O1339" i="2"/>
  <c r="N1339" i="2"/>
  <c r="M1339" i="2"/>
  <c r="L1339" i="2"/>
  <c r="O1338" i="2"/>
  <c r="N1338" i="2"/>
  <c r="M1338" i="2"/>
  <c r="L1338" i="2"/>
  <c r="O1337" i="2"/>
  <c r="N1337" i="2"/>
  <c r="M1337" i="2"/>
  <c r="L1337" i="2"/>
  <c r="O1336" i="2"/>
  <c r="N1336" i="2"/>
  <c r="M1336" i="2"/>
  <c r="L1336" i="2"/>
  <c r="O1335" i="2"/>
  <c r="N1335" i="2"/>
  <c r="M1335" i="2"/>
  <c r="L1335" i="2"/>
  <c r="O1334" i="2"/>
  <c r="N1334" i="2"/>
  <c r="M1334" i="2"/>
  <c r="L1334" i="2"/>
  <c r="O1333" i="2"/>
  <c r="N1333" i="2"/>
  <c r="M1333" i="2"/>
  <c r="L1333" i="2"/>
  <c r="O1332" i="2"/>
  <c r="N1332" i="2"/>
  <c r="M1332" i="2"/>
  <c r="L1332" i="2"/>
  <c r="O1331" i="2"/>
  <c r="N1331" i="2"/>
  <c r="M1331" i="2"/>
  <c r="L1331" i="2"/>
  <c r="O1330" i="2"/>
  <c r="N1330" i="2"/>
  <c r="M1330" i="2"/>
  <c r="L1330" i="2"/>
  <c r="O1329" i="2"/>
  <c r="N1329" i="2"/>
  <c r="M1329" i="2"/>
  <c r="L1329" i="2"/>
  <c r="O1328" i="2"/>
  <c r="N1328" i="2"/>
  <c r="M1328" i="2"/>
  <c r="L1328" i="2"/>
  <c r="O1327" i="2"/>
  <c r="N1327" i="2"/>
  <c r="M1327" i="2"/>
  <c r="L1327" i="2"/>
  <c r="O1326" i="2"/>
  <c r="N1326" i="2"/>
  <c r="M1326" i="2"/>
  <c r="L1326" i="2"/>
  <c r="O1325" i="2"/>
  <c r="N1325" i="2"/>
  <c r="M1325" i="2"/>
  <c r="L1325" i="2"/>
  <c r="O1324" i="2"/>
  <c r="N1324" i="2"/>
  <c r="M1324" i="2"/>
  <c r="L1324" i="2"/>
  <c r="O1323" i="2"/>
  <c r="N1323" i="2"/>
  <c r="M1323" i="2"/>
  <c r="L1323" i="2"/>
  <c r="O1322" i="2"/>
  <c r="N1322" i="2"/>
  <c r="M1322" i="2"/>
  <c r="L1322" i="2"/>
  <c r="O1321" i="2"/>
  <c r="N1321" i="2"/>
  <c r="M1321" i="2"/>
  <c r="L1321" i="2"/>
  <c r="O1320" i="2"/>
  <c r="N1320" i="2"/>
  <c r="M1320" i="2"/>
  <c r="L1320" i="2"/>
  <c r="O1319" i="2"/>
  <c r="N1319" i="2"/>
  <c r="M1319" i="2"/>
  <c r="L1319" i="2"/>
  <c r="O1318" i="2"/>
  <c r="N1318" i="2"/>
  <c r="M1318" i="2"/>
  <c r="L1318" i="2"/>
  <c r="O1317" i="2"/>
  <c r="N1317" i="2"/>
  <c r="M1317" i="2"/>
  <c r="L1317" i="2"/>
  <c r="O1316" i="2"/>
  <c r="N1316" i="2"/>
  <c r="M1316" i="2"/>
  <c r="L1316" i="2"/>
  <c r="O1315" i="2"/>
  <c r="N1315" i="2"/>
  <c r="M1315" i="2"/>
  <c r="L1315" i="2"/>
  <c r="O1314" i="2"/>
  <c r="N1314" i="2"/>
  <c r="M1314" i="2"/>
  <c r="L1314" i="2"/>
  <c r="O1313" i="2"/>
  <c r="N1313" i="2"/>
  <c r="M1313" i="2"/>
  <c r="L1313" i="2"/>
  <c r="O1312" i="2"/>
  <c r="N1312" i="2"/>
  <c r="M1312" i="2"/>
  <c r="L1312" i="2"/>
  <c r="O1311" i="2"/>
  <c r="N1311" i="2"/>
  <c r="M1311" i="2"/>
  <c r="L1311" i="2"/>
  <c r="O1310" i="2"/>
  <c r="N1310" i="2"/>
  <c r="M1310" i="2"/>
  <c r="L1310" i="2"/>
  <c r="O1309" i="2"/>
  <c r="N1309" i="2"/>
  <c r="M1309" i="2"/>
  <c r="L1309" i="2"/>
  <c r="O1308" i="2"/>
  <c r="N1308" i="2"/>
  <c r="M1308" i="2"/>
  <c r="L1308" i="2"/>
  <c r="O1307" i="2"/>
  <c r="N1307" i="2"/>
  <c r="M1307" i="2"/>
  <c r="L1307" i="2"/>
  <c r="O1306" i="2"/>
  <c r="N1306" i="2"/>
  <c r="M1306" i="2"/>
  <c r="L1306" i="2"/>
  <c r="O1305" i="2"/>
  <c r="N1305" i="2"/>
  <c r="M1305" i="2"/>
  <c r="L1305" i="2"/>
  <c r="O1304" i="2"/>
  <c r="N1304" i="2"/>
  <c r="M1304" i="2"/>
  <c r="L1304" i="2"/>
  <c r="O1303" i="2"/>
  <c r="N1303" i="2"/>
  <c r="M1303" i="2"/>
  <c r="L1303" i="2"/>
  <c r="O1302" i="2"/>
  <c r="N1302" i="2"/>
  <c r="M1302" i="2"/>
  <c r="L1302" i="2"/>
  <c r="O1301" i="2"/>
  <c r="N1301" i="2"/>
  <c r="M1301" i="2"/>
  <c r="L1301" i="2"/>
  <c r="O1300" i="2"/>
  <c r="N1300" i="2"/>
  <c r="M1300" i="2"/>
  <c r="L1300" i="2"/>
  <c r="O1299" i="2"/>
  <c r="N1299" i="2"/>
  <c r="M1299" i="2"/>
  <c r="L1299" i="2"/>
  <c r="O1298" i="2"/>
  <c r="N1298" i="2"/>
  <c r="M1298" i="2"/>
  <c r="L1298" i="2"/>
  <c r="O1297" i="2"/>
  <c r="N1297" i="2"/>
  <c r="M1297" i="2"/>
  <c r="L1297" i="2"/>
  <c r="O1296" i="2"/>
  <c r="N1296" i="2"/>
  <c r="M1296" i="2"/>
  <c r="L1296" i="2"/>
  <c r="O1295" i="2"/>
  <c r="N1295" i="2"/>
  <c r="M1295" i="2"/>
  <c r="L1295" i="2"/>
  <c r="O1294" i="2"/>
  <c r="N1294" i="2"/>
  <c r="M1294" i="2"/>
  <c r="L1294" i="2"/>
  <c r="O1293" i="2"/>
  <c r="N1293" i="2"/>
  <c r="M1293" i="2"/>
  <c r="L1293" i="2"/>
  <c r="O1292" i="2"/>
  <c r="N1292" i="2"/>
  <c r="M1292" i="2"/>
  <c r="L1292" i="2"/>
  <c r="O1291" i="2"/>
  <c r="N1291" i="2"/>
  <c r="M1291" i="2"/>
  <c r="L1291" i="2"/>
  <c r="O1290" i="2"/>
  <c r="N1290" i="2"/>
  <c r="M1290" i="2"/>
  <c r="L1290" i="2"/>
  <c r="O1289" i="2"/>
  <c r="N1289" i="2"/>
  <c r="M1289" i="2"/>
  <c r="L1289" i="2"/>
  <c r="O1288" i="2"/>
  <c r="N1288" i="2"/>
  <c r="M1288" i="2"/>
  <c r="L1288" i="2"/>
  <c r="O1287" i="2"/>
  <c r="N1287" i="2"/>
  <c r="M1287" i="2"/>
  <c r="L1287" i="2"/>
  <c r="O1286" i="2"/>
  <c r="N1286" i="2"/>
  <c r="M1286" i="2"/>
  <c r="L1286" i="2"/>
  <c r="O1285" i="2"/>
  <c r="N1285" i="2"/>
  <c r="M1285" i="2"/>
  <c r="L1285" i="2"/>
  <c r="O1284" i="2"/>
  <c r="N1284" i="2"/>
  <c r="M1284" i="2"/>
  <c r="L1284" i="2"/>
  <c r="O1283" i="2"/>
  <c r="N1283" i="2"/>
  <c r="M1283" i="2"/>
  <c r="L1283" i="2"/>
  <c r="O1282" i="2"/>
  <c r="N1282" i="2"/>
  <c r="M1282" i="2"/>
  <c r="L1282" i="2"/>
  <c r="O1281" i="2"/>
  <c r="N1281" i="2"/>
  <c r="M1281" i="2"/>
  <c r="L1281" i="2"/>
  <c r="O1280" i="2"/>
  <c r="N1280" i="2"/>
  <c r="M1280" i="2"/>
  <c r="L1280" i="2"/>
  <c r="O1279" i="2"/>
  <c r="N1279" i="2"/>
  <c r="M1279" i="2"/>
  <c r="L1279" i="2"/>
  <c r="O1278" i="2"/>
  <c r="N1278" i="2"/>
  <c r="M1278" i="2"/>
  <c r="L1278" i="2"/>
  <c r="O1277" i="2"/>
  <c r="N1277" i="2"/>
  <c r="M1277" i="2"/>
  <c r="L1277" i="2"/>
  <c r="O1276" i="2"/>
  <c r="N1276" i="2"/>
  <c r="M1276" i="2"/>
  <c r="L1276" i="2"/>
  <c r="O1275" i="2"/>
  <c r="N1275" i="2"/>
  <c r="M1275" i="2"/>
  <c r="L1275" i="2"/>
  <c r="O1274" i="2"/>
  <c r="N1274" i="2"/>
  <c r="M1274" i="2"/>
  <c r="L1274" i="2"/>
  <c r="O1273" i="2"/>
  <c r="N1273" i="2"/>
  <c r="M1273" i="2"/>
  <c r="L1273" i="2"/>
  <c r="O1272" i="2"/>
  <c r="N1272" i="2"/>
  <c r="M1272" i="2"/>
  <c r="L1272" i="2"/>
  <c r="O1271" i="2"/>
  <c r="N1271" i="2"/>
  <c r="M1271" i="2"/>
  <c r="L1271" i="2"/>
  <c r="O1270" i="2"/>
  <c r="N1270" i="2"/>
  <c r="M1270" i="2"/>
  <c r="L1270" i="2"/>
  <c r="O1269" i="2"/>
  <c r="N1269" i="2"/>
  <c r="M1269" i="2"/>
  <c r="L1269" i="2"/>
  <c r="O1268" i="2"/>
  <c r="N1268" i="2"/>
  <c r="M1268" i="2"/>
  <c r="L1268" i="2"/>
  <c r="O1267" i="2"/>
  <c r="N1267" i="2"/>
  <c r="M1267" i="2"/>
  <c r="L1267" i="2"/>
  <c r="O1266" i="2"/>
  <c r="N1266" i="2"/>
  <c r="M1266" i="2"/>
  <c r="L1266" i="2"/>
  <c r="O1265" i="2"/>
  <c r="N1265" i="2"/>
  <c r="M1265" i="2"/>
  <c r="L1265" i="2"/>
  <c r="O1264" i="2"/>
  <c r="N1264" i="2"/>
  <c r="M1264" i="2"/>
  <c r="L1264" i="2"/>
  <c r="O1263" i="2"/>
  <c r="N1263" i="2"/>
  <c r="M1263" i="2"/>
  <c r="L1263" i="2"/>
  <c r="O1262" i="2"/>
  <c r="N1262" i="2"/>
  <c r="M1262" i="2"/>
  <c r="L1262" i="2"/>
  <c r="O1261" i="2"/>
  <c r="N1261" i="2"/>
  <c r="M1261" i="2"/>
  <c r="L1261" i="2"/>
  <c r="O1260" i="2"/>
  <c r="N1260" i="2"/>
  <c r="M1260" i="2"/>
  <c r="L1260" i="2"/>
  <c r="O1259" i="2"/>
  <c r="N1259" i="2"/>
  <c r="M1259" i="2"/>
  <c r="L1259" i="2"/>
  <c r="O1258" i="2"/>
  <c r="N1258" i="2"/>
  <c r="M1258" i="2"/>
  <c r="L1258" i="2"/>
  <c r="O1257" i="2"/>
  <c r="N1257" i="2"/>
  <c r="M1257" i="2"/>
  <c r="L1257" i="2"/>
  <c r="O1256" i="2"/>
  <c r="N1256" i="2"/>
  <c r="M1256" i="2"/>
  <c r="L1256" i="2"/>
  <c r="O1255" i="2"/>
  <c r="N1255" i="2"/>
  <c r="M1255" i="2"/>
  <c r="L1255" i="2"/>
  <c r="O1254" i="2"/>
  <c r="N1254" i="2"/>
  <c r="M1254" i="2"/>
  <c r="L1254" i="2"/>
  <c r="O1253" i="2"/>
  <c r="N1253" i="2"/>
  <c r="M1253" i="2"/>
  <c r="L1253" i="2"/>
  <c r="O1252" i="2"/>
  <c r="N1252" i="2"/>
  <c r="M1252" i="2"/>
  <c r="L1252" i="2"/>
  <c r="O1251" i="2"/>
  <c r="N1251" i="2"/>
  <c r="M1251" i="2"/>
  <c r="L1251" i="2"/>
  <c r="O1250" i="2"/>
  <c r="N1250" i="2"/>
  <c r="M1250" i="2"/>
  <c r="L1250" i="2"/>
  <c r="O1249" i="2"/>
  <c r="N1249" i="2"/>
  <c r="M1249" i="2"/>
  <c r="L1249" i="2"/>
  <c r="O1248" i="2"/>
  <c r="N1248" i="2"/>
  <c r="M1248" i="2"/>
  <c r="L1248" i="2"/>
  <c r="O1247" i="2"/>
  <c r="N1247" i="2"/>
  <c r="M1247" i="2"/>
  <c r="L1247" i="2"/>
  <c r="O1246" i="2"/>
  <c r="N1246" i="2"/>
  <c r="M1246" i="2"/>
  <c r="L1246" i="2"/>
  <c r="O1245" i="2"/>
  <c r="N1245" i="2"/>
  <c r="M1245" i="2"/>
  <c r="L1245" i="2"/>
  <c r="O1244" i="2"/>
  <c r="N1244" i="2"/>
  <c r="M1244" i="2"/>
  <c r="L1244" i="2"/>
  <c r="O1243" i="2"/>
  <c r="N1243" i="2"/>
  <c r="M1243" i="2"/>
  <c r="L1243" i="2"/>
  <c r="O1242" i="2"/>
  <c r="N1242" i="2"/>
  <c r="M1242" i="2"/>
  <c r="L1242" i="2"/>
  <c r="O1241" i="2"/>
  <c r="N1241" i="2"/>
  <c r="M1241" i="2"/>
  <c r="L1241" i="2"/>
  <c r="O1240" i="2"/>
  <c r="N1240" i="2"/>
  <c r="M1240" i="2"/>
  <c r="L1240" i="2"/>
  <c r="O1239" i="2"/>
  <c r="N1239" i="2"/>
  <c r="M1239" i="2"/>
  <c r="L1239" i="2"/>
  <c r="O1238" i="2"/>
  <c r="N1238" i="2"/>
  <c r="M1238" i="2"/>
  <c r="L1238" i="2"/>
  <c r="O1237" i="2"/>
  <c r="N1237" i="2"/>
  <c r="M1237" i="2"/>
  <c r="L1237" i="2"/>
  <c r="O1236" i="2"/>
  <c r="N1236" i="2"/>
  <c r="M1236" i="2"/>
  <c r="L1236" i="2"/>
  <c r="O1235" i="2"/>
  <c r="N1235" i="2"/>
  <c r="M1235" i="2"/>
  <c r="L1235" i="2"/>
  <c r="O1234" i="2"/>
  <c r="N1234" i="2"/>
  <c r="M1234" i="2"/>
  <c r="L1234" i="2"/>
  <c r="O1233" i="2"/>
  <c r="N1233" i="2"/>
  <c r="M1233" i="2"/>
  <c r="L1233" i="2"/>
  <c r="O1232" i="2"/>
  <c r="N1232" i="2"/>
  <c r="M1232" i="2"/>
  <c r="L1232" i="2"/>
  <c r="O1231" i="2"/>
  <c r="N1231" i="2"/>
  <c r="M1231" i="2"/>
  <c r="L1231" i="2"/>
  <c r="O1230" i="2"/>
  <c r="N1230" i="2"/>
  <c r="M1230" i="2"/>
  <c r="L1230" i="2"/>
  <c r="O1229" i="2"/>
  <c r="N1229" i="2"/>
  <c r="M1229" i="2"/>
  <c r="L1229" i="2"/>
  <c r="O1228" i="2"/>
  <c r="N1228" i="2"/>
  <c r="M1228" i="2"/>
  <c r="L1228" i="2"/>
  <c r="O1227" i="2"/>
  <c r="N1227" i="2"/>
  <c r="M1227" i="2"/>
  <c r="L1227" i="2"/>
  <c r="O1226" i="2"/>
  <c r="N1226" i="2"/>
  <c r="M1226" i="2"/>
  <c r="L1226" i="2"/>
  <c r="O1225" i="2"/>
  <c r="N1225" i="2"/>
  <c r="M1225" i="2"/>
  <c r="L1225" i="2"/>
  <c r="O1224" i="2"/>
  <c r="N1224" i="2"/>
  <c r="M1224" i="2"/>
  <c r="L1224" i="2"/>
  <c r="O1223" i="2"/>
  <c r="N1223" i="2"/>
  <c r="M1223" i="2"/>
  <c r="L1223" i="2"/>
  <c r="O1222" i="2"/>
  <c r="N1222" i="2"/>
  <c r="M1222" i="2"/>
  <c r="L1222" i="2"/>
  <c r="O1221" i="2"/>
  <c r="N1221" i="2"/>
  <c r="M1221" i="2"/>
  <c r="L1221" i="2"/>
  <c r="O1220" i="2"/>
  <c r="N1220" i="2"/>
  <c r="M1220" i="2"/>
  <c r="L1220" i="2"/>
  <c r="O1219" i="2"/>
  <c r="N1219" i="2"/>
  <c r="M1219" i="2"/>
  <c r="L1219" i="2"/>
  <c r="O1218" i="2"/>
  <c r="N1218" i="2"/>
  <c r="M1218" i="2"/>
  <c r="L1218" i="2"/>
  <c r="O1217" i="2"/>
  <c r="N1217" i="2"/>
  <c r="M1217" i="2"/>
  <c r="L1217" i="2"/>
  <c r="O1216" i="2"/>
  <c r="N1216" i="2"/>
  <c r="M1216" i="2"/>
  <c r="L1216" i="2"/>
  <c r="O1215" i="2"/>
  <c r="N1215" i="2"/>
  <c r="M1215" i="2"/>
  <c r="L1215" i="2"/>
  <c r="O1214" i="2"/>
  <c r="N1214" i="2"/>
  <c r="M1214" i="2"/>
  <c r="L1214" i="2"/>
  <c r="O1213" i="2"/>
  <c r="N1213" i="2"/>
  <c r="M1213" i="2"/>
  <c r="L1213" i="2"/>
  <c r="O1212" i="2"/>
  <c r="N1212" i="2"/>
  <c r="M1212" i="2"/>
  <c r="L1212" i="2"/>
  <c r="O1211" i="2"/>
  <c r="N1211" i="2"/>
  <c r="M1211" i="2"/>
  <c r="L1211" i="2"/>
  <c r="O1210" i="2"/>
  <c r="N1210" i="2"/>
  <c r="M1210" i="2"/>
  <c r="L1210" i="2"/>
  <c r="O1209" i="2"/>
  <c r="N1209" i="2"/>
  <c r="M1209" i="2"/>
  <c r="L1209" i="2"/>
  <c r="O1208" i="2"/>
  <c r="N1208" i="2"/>
  <c r="M1208" i="2"/>
  <c r="L1208" i="2"/>
  <c r="O1207" i="2"/>
  <c r="N1207" i="2"/>
  <c r="M1207" i="2"/>
  <c r="L1207" i="2"/>
  <c r="O1206" i="2"/>
  <c r="N1206" i="2"/>
  <c r="M1206" i="2"/>
  <c r="L1206" i="2"/>
  <c r="O1205" i="2"/>
  <c r="N1205" i="2"/>
  <c r="M1205" i="2"/>
  <c r="L1205" i="2"/>
  <c r="O1204" i="2"/>
  <c r="N1204" i="2"/>
  <c r="M1204" i="2"/>
  <c r="L1204" i="2"/>
  <c r="O1203" i="2"/>
  <c r="N1203" i="2"/>
  <c r="M1203" i="2"/>
  <c r="L1203" i="2"/>
  <c r="O1202" i="2"/>
  <c r="N1202" i="2"/>
  <c r="M1202" i="2"/>
  <c r="L1202" i="2"/>
  <c r="O1201" i="2"/>
  <c r="N1201" i="2"/>
  <c r="M1201" i="2"/>
  <c r="L1201" i="2"/>
  <c r="O1200" i="2"/>
  <c r="N1200" i="2"/>
  <c r="M1200" i="2"/>
  <c r="L1200" i="2"/>
  <c r="O1199" i="2"/>
  <c r="N1199" i="2"/>
  <c r="M1199" i="2"/>
  <c r="L1199" i="2"/>
  <c r="O1198" i="2"/>
  <c r="N1198" i="2"/>
  <c r="M1198" i="2"/>
  <c r="L1198" i="2"/>
  <c r="O1197" i="2"/>
  <c r="N1197" i="2"/>
  <c r="M1197" i="2"/>
  <c r="L1197" i="2"/>
  <c r="O1196" i="2"/>
  <c r="N1196" i="2"/>
  <c r="M1196" i="2"/>
  <c r="L1196" i="2"/>
  <c r="O1195" i="2"/>
  <c r="N1195" i="2"/>
  <c r="M1195" i="2"/>
  <c r="L1195" i="2"/>
  <c r="O1194" i="2"/>
  <c r="N1194" i="2"/>
  <c r="M1194" i="2"/>
  <c r="L1194" i="2"/>
  <c r="O1193" i="2"/>
  <c r="N1193" i="2"/>
  <c r="M1193" i="2"/>
  <c r="L1193" i="2"/>
  <c r="O1192" i="2"/>
  <c r="N1192" i="2"/>
  <c r="M1192" i="2"/>
  <c r="L1192" i="2"/>
  <c r="O1191" i="2"/>
  <c r="N1191" i="2"/>
  <c r="M1191" i="2"/>
  <c r="L1191" i="2"/>
  <c r="O1190" i="2"/>
  <c r="N1190" i="2"/>
  <c r="M1190" i="2"/>
  <c r="L1190" i="2"/>
  <c r="O1189" i="2"/>
  <c r="N1189" i="2"/>
  <c r="M1189" i="2"/>
  <c r="L1189" i="2"/>
  <c r="O1188" i="2"/>
  <c r="N1188" i="2"/>
  <c r="M1188" i="2"/>
  <c r="L1188" i="2"/>
  <c r="O1187" i="2"/>
  <c r="N1187" i="2"/>
  <c r="M1187" i="2"/>
  <c r="L1187" i="2"/>
  <c r="O1186" i="2"/>
  <c r="N1186" i="2"/>
  <c r="M1186" i="2"/>
  <c r="L1186" i="2"/>
  <c r="O1185" i="2"/>
  <c r="N1185" i="2"/>
  <c r="M1185" i="2"/>
  <c r="L1185" i="2"/>
  <c r="O1184" i="2"/>
  <c r="N1184" i="2"/>
  <c r="M1184" i="2"/>
  <c r="L1184" i="2"/>
  <c r="O1183" i="2"/>
  <c r="N1183" i="2"/>
  <c r="M1183" i="2"/>
  <c r="L1183" i="2"/>
  <c r="O1182" i="2"/>
  <c r="N1182" i="2"/>
  <c r="M1182" i="2"/>
  <c r="L1182" i="2"/>
  <c r="O1181" i="2"/>
  <c r="N1181" i="2"/>
  <c r="M1181" i="2"/>
  <c r="L1181" i="2"/>
  <c r="O1180" i="2"/>
  <c r="N1180" i="2"/>
  <c r="M1180" i="2"/>
  <c r="L1180" i="2"/>
  <c r="O1179" i="2"/>
  <c r="N1179" i="2"/>
  <c r="M1179" i="2"/>
  <c r="L1179" i="2"/>
  <c r="O1178" i="2"/>
  <c r="N1178" i="2"/>
  <c r="M1178" i="2"/>
  <c r="L1178" i="2"/>
  <c r="O1177" i="2"/>
  <c r="N1177" i="2"/>
  <c r="M1177" i="2"/>
  <c r="L1177" i="2"/>
  <c r="O1176" i="2"/>
  <c r="N1176" i="2"/>
  <c r="M1176" i="2"/>
  <c r="L1176" i="2"/>
  <c r="O1175" i="2"/>
  <c r="N1175" i="2"/>
  <c r="M1175" i="2"/>
  <c r="L1175" i="2"/>
  <c r="O1174" i="2"/>
  <c r="N1174" i="2"/>
  <c r="M1174" i="2"/>
  <c r="L1174" i="2"/>
  <c r="O1173" i="2"/>
  <c r="N1173" i="2"/>
  <c r="M1173" i="2"/>
  <c r="L1173" i="2"/>
  <c r="O1172" i="2"/>
  <c r="N1172" i="2"/>
  <c r="M1172" i="2"/>
  <c r="L1172" i="2"/>
  <c r="O1171" i="2"/>
  <c r="N1171" i="2"/>
  <c r="M1171" i="2"/>
  <c r="L1171" i="2"/>
  <c r="O1170" i="2"/>
  <c r="N1170" i="2"/>
  <c r="M1170" i="2"/>
  <c r="L1170" i="2"/>
  <c r="O1169" i="2"/>
  <c r="N1169" i="2"/>
  <c r="M1169" i="2"/>
  <c r="L1169" i="2"/>
  <c r="O1168" i="2"/>
  <c r="N1168" i="2"/>
  <c r="M1168" i="2"/>
  <c r="L1168" i="2"/>
  <c r="O1167" i="2"/>
  <c r="N1167" i="2"/>
  <c r="M1167" i="2"/>
  <c r="L1167" i="2"/>
  <c r="O1166" i="2"/>
  <c r="N1166" i="2"/>
  <c r="M1166" i="2"/>
  <c r="L1166" i="2"/>
  <c r="O1165" i="2"/>
  <c r="N1165" i="2"/>
  <c r="M1165" i="2"/>
  <c r="L1165" i="2"/>
  <c r="O1164" i="2"/>
  <c r="N1164" i="2"/>
  <c r="M1164" i="2"/>
  <c r="L1164" i="2"/>
  <c r="O1163" i="2"/>
  <c r="N1163" i="2"/>
  <c r="M1163" i="2"/>
  <c r="L1163" i="2"/>
  <c r="O1162" i="2"/>
  <c r="N1162" i="2"/>
  <c r="M1162" i="2"/>
  <c r="L1162" i="2"/>
  <c r="O1161" i="2"/>
  <c r="N1161" i="2"/>
  <c r="M1161" i="2"/>
  <c r="L1161" i="2"/>
  <c r="O1160" i="2"/>
  <c r="N1160" i="2"/>
  <c r="M1160" i="2"/>
  <c r="L1160" i="2"/>
  <c r="O1159" i="2"/>
  <c r="N1159" i="2"/>
  <c r="M1159" i="2"/>
  <c r="L1159" i="2"/>
  <c r="O1158" i="2"/>
  <c r="N1158" i="2"/>
  <c r="M1158" i="2"/>
  <c r="L1158" i="2"/>
  <c r="O1157" i="2"/>
  <c r="N1157" i="2"/>
  <c r="M1157" i="2"/>
  <c r="L1157" i="2"/>
  <c r="O1156" i="2"/>
  <c r="N1156" i="2"/>
  <c r="M1156" i="2"/>
  <c r="L1156" i="2"/>
  <c r="O1155" i="2"/>
  <c r="N1155" i="2"/>
  <c r="M1155" i="2"/>
  <c r="L1155" i="2"/>
  <c r="O1154" i="2"/>
  <c r="N1154" i="2"/>
  <c r="M1154" i="2"/>
  <c r="L1154" i="2"/>
  <c r="O1153" i="2"/>
  <c r="N1153" i="2"/>
  <c r="M1153" i="2"/>
  <c r="L1153" i="2"/>
  <c r="O1152" i="2"/>
  <c r="N1152" i="2"/>
  <c r="M1152" i="2"/>
  <c r="L1152" i="2"/>
  <c r="O1151" i="2"/>
  <c r="N1151" i="2"/>
  <c r="M1151" i="2"/>
  <c r="L1151" i="2"/>
  <c r="O1150" i="2"/>
  <c r="N1150" i="2"/>
  <c r="M1150" i="2"/>
  <c r="L1150" i="2"/>
  <c r="O1149" i="2"/>
  <c r="N1149" i="2"/>
  <c r="M1149" i="2"/>
  <c r="L1149" i="2"/>
  <c r="O1148" i="2"/>
  <c r="N1148" i="2"/>
  <c r="M1148" i="2"/>
  <c r="L1148" i="2"/>
  <c r="O1147" i="2"/>
  <c r="N1147" i="2"/>
  <c r="M1147" i="2"/>
  <c r="L1147" i="2"/>
  <c r="O1146" i="2"/>
  <c r="N1146" i="2"/>
  <c r="M1146" i="2"/>
  <c r="L1146" i="2"/>
  <c r="O1145" i="2"/>
  <c r="N1145" i="2"/>
  <c r="M1145" i="2"/>
  <c r="L1145" i="2"/>
  <c r="O1144" i="2"/>
  <c r="N1144" i="2"/>
  <c r="M1144" i="2"/>
  <c r="L1144" i="2"/>
  <c r="O1143" i="2"/>
  <c r="N1143" i="2"/>
  <c r="M1143" i="2"/>
  <c r="L1143" i="2"/>
  <c r="O1142" i="2"/>
  <c r="N1142" i="2"/>
  <c r="M1142" i="2"/>
  <c r="L1142" i="2"/>
  <c r="O1141" i="2"/>
  <c r="N1141" i="2"/>
  <c r="M1141" i="2"/>
  <c r="L1141" i="2"/>
  <c r="O1140" i="2"/>
  <c r="N1140" i="2"/>
  <c r="M1140" i="2"/>
  <c r="L1140" i="2"/>
  <c r="O1139" i="2"/>
  <c r="N1139" i="2"/>
  <c r="M1139" i="2"/>
  <c r="L1139" i="2"/>
  <c r="O1138" i="2"/>
  <c r="N1138" i="2"/>
  <c r="M1138" i="2"/>
  <c r="L1138" i="2"/>
  <c r="O1137" i="2"/>
  <c r="N1137" i="2"/>
  <c r="M1137" i="2"/>
  <c r="L1137" i="2"/>
  <c r="O1136" i="2"/>
  <c r="N1136" i="2"/>
  <c r="M1136" i="2"/>
  <c r="L1136" i="2"/>
  <c r="O1135" i="2"/>
  <c r="N1135" i="2"/>
  <c r="M1135" i="2"/>
  <c r="L1135" i="2"/>
  <c r="O1134" i="2"/>
  <c r="N1134" i="2"/>
  <c r="M1134" i="2"/>
  <c r="L1134" i="2"/>
  <c r="O1133" i="2"/>
  <c r="N1133" i="2"/>
  <c r="M1133" i="2"/>
  <c r="L1133" i="2"/>
  <c r="O1132" i="2"/>
  <c r="N1132" i="2"/>
  <c r="M1132" i="2"/>
  <c r="L1132" i="2"/>
  <c r="O1131" i="2"/>
  <c r="N1131" i="2"/>
  <c r="M1131" i="2"/>
  <c r="L1131" i="2"/>
  <c r="O1130" i="2"/>
  <c r="N1130" i="2"/>
  <c r="M1130" i="2"/>
  <c r="L1130" i="2"/>
  <c r="O1129" i="2"/>
  <c r="N1129" i="2"/>
  <c r="M1129" i="2"/>
  <c r="L1129" i="2"/>
  <c r="O1128" i="2"/>
  <c r="N1128" i="2"/>
  <c r="M1128" i="2"/>
  <c r="L1128" i="2"/>
  <c r="O1127" i="2"/>
  <c r="N1127" i="2"/>
  <c r="M1127" i="2"/>
  <c r="L1127" i="2"/>
  <c r="O1126" i="2"/>
  <c r="N1126" i="2"/>
  <c r="M1126" i="2"/>
  <c r="L1126" i="2"/>
  <c r="O1125" i="2"/>
  <c r="N1125" i="2"/>
  <c r="M1125" i="2"/>
  <c r="L1125" i="2"/>
  <c r="O1124" i="2"/>
  <c r="N1124" i="2"/>
  <c r="M1124" i="2"/>
  <c r="L1124" i="2"/>
  <c r="O1123" i="2"/>
  <c r="N1123" i="2"/>
  <c r="M1123" i="2"/>
  <c r="L1123" i="2"/>
  <c r="O1122" i="2"/>
  <c r="N1122" i="2"/>
  <c r="M1122" i="2"/>
  <c r="L1122" i="2"/>
  <c r="O1121" i="2"/>
  <c r="N1121" i="2"/>
  <c r="M1121" i="2"/>
  <c r="L1121" i="2"/>
  <c r="O1120" i="2"/>
  <c r="N1120" i="2"/>
  <c r="M1120" i="2"/>
  <c r="L1120" i="2"/>
  <c r="O1119" i="2"/>
  <c r="N1119" i="2"/>
  <c r="M1119" i="2"/>
  <c r="L1119" i="2"/>
  <c r="O1118" i="2"/>
  <c r="N1118" i="2"/>
  <c r="M1118" i="2"/>
  <c r="L1118" i="2"/>
  <c r="O1117" i="2"/>
  <c r="N1117" i="2"/>
  <c r="M1117" i="2"/>
  <c r="L1117" i="2"/>
  <c r="O1116" i="2"/>
  <c r="N1116" i="2"/>
  <c r="M1116" i="2"/>
  <c r="L1116" i="2"/>
  <c r="O1115" i="2"/>
  <c r="N1115" i="2"/>
  <c r="M1115" i="2"/>
  <c r="L1115" i="2"/>
  <c r="O1114" i="2"/>
  <c r="N1114" i="2"/>
  <c r="M1114" i="2"/>
  <c r="L1114" i="2"/>
  <c r="O1113" i="2"/>
  <c r="N1113" i="2"/>
  <c r="M1113" i="2"/>
  <c r="L1113" i="2"/>
  <c r="O1112" i="2"/>
  <c r="N1112" i="2"/>
  <c r="M1112" i="2"/>
  <c r="L1112" i="2"/>
  <c r="O1111" i="2"/>
  <c r="N1111" i="2"/>
  <c r="M1111" i="2"/>
  <c r="L1111" i="2"/>
  <c r="O1110" i="2"/>
  <c r="N1110" i="2"/>
  <c r="M1110" i="2"/>
  <c r="L1110" i="2"/>
  <c r="O1109" i="2"/>
  <c r="N1109" i="2"/>
  <c r="M1109" i="2"/>
  <c r="L1109" i="2"/>
  <c r="O1108" i="2"/>
  <c r="N1108" i="2"/>
  <c r="M1108" i="2"/>
  <c r="L1108" i="2"/>
  <c r="O1107" i="2"/>
  <c r="N1107" i="2"/>
  <c r="M1107" i="2"/>
  <c r="L1107" i="2"/>
  <c r="O1106" i="2"/>
  <c r="N1106" i="2"/>
  <c r="M1106" i="2"/>
  <c r="L1106" i="2"/>
  <c r="O1105" i="2"/>
  <c r="N1105" i="2"/>
  <c r="M1105" i="2"/>
  <c r="L1105" i="2"/>
  <c r="O1104" i="2"/>
  <c r="N1104" i="2"/>
  <c r="M1104" i="2"/>
  <c r="L1104" i="2"/>
  <c r="O1103" i="2"/>
  <c r="N1103" i="2"/>
  <c r="M1103" i="2"/>
  <c r="L1103" i="2"/>
  <c r="O1102" i="2"/>
  <c r="N1102" i="2"/>
  <c r="M1102" i="2"/>
  <c r="L1102" i="2"/>
  <c r="O1101" i="2"/>
  <c r="N1101" i="2"/>
  <c r="M1101" i="2"/>
  <c r="L1101" i="2"/>
  <c r="O1100" i="2"/>
  <c r="N1100" i="2"/>
  <c r="M1100" i="2"/>
  <c r="L1100" i="2"/>
  <c r="O1099" i="2"/>
  <c r="N1099" i="2"/>
  <c r="M1099" i="2"/>
  <c r="L1099" i="2"/>
  <c r="O1098" i="2"/>
  <c r="N1098" i="2"/>
  <c r="M1098" i="2"/>
  <c r="L1098" i="2"/>
  <c r="O1097" i="2"/>
  <c r="N1097" i="2"/>
  <c r="M1097" i="2"/>
  <c r="L1097" i="2"/>
  <c r="O1096" i="2"/>
  <c r="N1096" i="2"/>
  <c r="M1096" i="2"/>
  <c r="L1096" i="2"/>
  <c r="O1095" i="2"/>
  <c r="N1095" i="2"/>
  <c r="M1095" i="2"/>
  <c r="L1095" i="2"/>
  <c r="O1094" i="2"/>
  <c r="N1094" i="2"/>
  <c r="M1094" i="2"/>
  <c r="L1094" i="2"/>
  <c r="O1093" i="2"/>
  <c r="N1093" i="2"/>
  <c r="M1093" i="2"/>
  <c r="L1093" i="2"/>
  <c r="O1092" i="2"/>
  <c r="N1092" i="2"/>
  <c r="M1092" i="2"/>
  <c r="L1092" i="2"/>
  <c r="O1091" i="2"/>
  <c r="N1091" i="2"/>
  <c r="M1091" i="2"/>
  <c r="L1091" i="2"/>
  <c r="O1090" i="2"/>
  <c r="N1090" i="2"/>
  <c r="M1090" i="2"/>
  <c r="L1090" i="2"/>
  <c r="O1089" i="2"/>
  <c r="N1089" i="2"/>
  <c r="M1089" i="2"/>
  <c r="L1089" i="2"/>
  <c r="O1088" i="2"/>
  <c r="N1088" i="2"/>
  <c r="M1088" i="2"/>
  <c r="L1088" i="2"/>
  <c r="O1087" i="2"/>
  <c r="N1087" i="2"/>
  <c r="M1087" i="2"/>
  <c r="L1087" i="2"/>
  <c r="O1086" i="2"/>
  <c r="N1086" i="2"/>
  <c r="M1086" i="2"/>
  <c r="L1086" i="2"/>
  <c r="O1085" i="2"/>
  <c r="N1085" i="2"/>
  <c r="M1085" i="2"/>
  <c r="L1085" i="2"/>
  <c r="O1084" i="2"/>
  <c r="N1084" i="2"/>
  <c r="M1084" i="2"/>
  <c r="L1084" i="2"/>
  <c r="O1083" i="2"/>
  <c r="N1083" i="2"/>
  <c r="M1083" i="2"/>
  <c r="L1083" i="2"/>
  <c r="O1082" i="2"/>
  <c r="N1082" i="2"/>
  <c r="M1082" i="2"/>
  <c r="L1082" i="2"/>
  <c r="O1081" i="2"/>
  <c r="N1081" i="2"/>
  <c r="M1081" i="2"/>
  <c r="L1081" i="2"/>
  <c r="O1080" i="2"/>
  <c r="N1080" i="2"/>
  <c r="M1080" i="2"/>
  <c r="L1080" i="2"/>
  <c r="O1079" i="2"/>
  <c r="N1079" i="2"/>
  <c r="M1079" i="2"/>
  <c r="L1079" i="2"/>
  <c r="O1078" i="2"/>
  <c r="N1078" i="2"/>
  <c r="M1078" i="2"/>
  <c r="L1078" i="2"/>
  <c r="O1077" i="2"/>
  <c r="N1077" i="2"/>
  <c r="M1077" i="2"/>
  <c r="L1077" i="2"/>
  <c r="O1076" i="2"/>
  <c r="N1076" i="2"/>
  <c r="M1076" i="2"/>
  <c r="L1076" i="2"/>
  <c r="O1075" i="2"/>
  <c r="N1075" i="2"/>
  <c r="M1075" i="2"/>
  <c r="L1075" i="2"/>
  <c r="O1074" i="2"/>
  <c r="N1074" i="2"/>
  <c r="M1074" i="2"/>
  <c r="L1074" i="2"/>
  <c r="O1073" i="2"/>
  <c r="N1073" i="2"/>
  <c r="M1073" i="2"/>
  <c r="L1073" i="2"/>
  <c r="O1072" i="2"/>
  <c r="N1072" i="2"/>
  <c r="M1072" i="2"/>
  <c r="L1072" i="2"/>
  <c r="O1071" i="2"/>
  <c r="N1071" i="2"/>
  <c r="M1071" i="2"/>
  <c r="L1071" i="2"/>
  <c r="O1070" i="2"/>
  <c r="N1070" i="2"/>
  <c r="M1070" i="2"/>
  <c r="L1070" i="2"/>
  <c r="O1069" i="2"/>
  <c r="N1069" i="2"/>
  <c r="M1069" i="2"/>
  <c r="L1069" i="2"/>
  <c r="O1068" i="2"/>
  <c r="N1068" i="2"/>
  <c r="M1068" i="2"/>
  <c r="L1068" i="2"/>
  <c r="O1067" i="2"/>
  <c r="N1067" i="2"/>
  <c r="M1067" i="2"/>
  <c r="L1067" i="2"/>
  <c r="O1066" i="2"/>
  <c r="N1066" i="2"/>
  <c r="M1066" i="2"/>
  <c r="L1066" i="2"/>
  <c r="O1065" i="2"/>
  <c r="N1065" i="2"/>
  <c r="M1065" i="2"/>
  <c r="L1065" i="2"/>
  <c r="O1064" i="2"/>
  <c r="N1064" i="2"/>
  <c r="M1064" i="2"/>
  <c r="L1064" i="2"/>
  <c r="O1063" i="2"/>
  <c r="N1063" i="2"/>
  <c r="M1063" i="2"/>
  <c r="L1063" i="2"/>
  <c r="O1062" i="2"/>
  <c r="N1062" i="2"/>
  <c r="M1062" i="2"/>
  <c r="L1062" i="2"/>
  <c r="O1061" i="2"/>
  <c r="N1061" i="2"/>
  <c r="M1061" i="2"/>
  <c r="L1061" i="2"/>
  <c r="O1060" i="2"/>
  <c r="N1060" i="2"/>
  <c r="M1060" i="2"/>
  <c r="L1060" i="2"/>
  <c r="O1059" i="2"/>
  <c r="N1059" i="2"/>
  <c r="M1059" i="2"/>
  <c r="L1059" i="2"/>
  <c r="O1058" i="2"/>
  <c r="N1058" i="2"/>
  <c r="M1058" i="2"/>
  <c r="L1058" i="2"/>
  <c r="O1057" i="2"/>
  <c r="N1057" i="2"/>
  <c r="M1057" i="2"/>
  <c r="L1057" i="2"/>
  <c r="O1056" i="2"/>
  <c r="N1056" i="2"/>
  <c r="M1056" i="2"/>
  <c r="L1056" i="2"/>
  <c r="O1055" i="2"/>
  <c r="N1055" i="2"/>
  <c r="M1055" i="2"/>
  <c r="L1055" i="2"/>
  <c r="O1054" i="2"/>
  <c r="N1054" i="2"/>
  <c r="M1054" i="2"/>
  <c r="L1054" i="2"/>
  <c r="O1053" i="2"/>
  <c r="N1053" i="2"/>
  <c r="M1053" i="2"/>
  <c r="L1053" i="2"/>
  <c r="O1052" i="2"/>
  <c r="N1052" i="2"/>
  <c r="M1052" i="2"/>
  <c r="L1052" i="2"/>
  <c r="O1051" i="2"/>
  <c r="N1051" i="2"/>
  <c r="M1051" i="2"/>
  <c r="L1051" i="2"/>
  <c r="O1050" i="2"/>
  <c r="N1050" i="2"/>
  <c r="M1050" i="2"/>
  <c r="L1050" i="2"/>
  <c r="O1049" i="2"/>
  <c r="N1049" i="2"/>
  <c r="M1049" i="2"/>
  <c r="L1049" i="2"/>
  <c r="O1048" i="2"/>
  <c r="N1048" i="2"/>
  <c r="M1048" i="2"/>
  <c r="L1048" i="2"/>
  <c r="O1047" i="2"/>
  <c r="N1047" i="2"/>
  <c r="M1047" i="2"/>
  <c r="L1047" i="2"/>
  <c r="O1046" i="2"/>
  <c r="N1046" i="2"/>
  <c r="M1046" i="2"/>
  <c r="L1046" i="2"/>
  <c r="O1045" i="2"/>
  <c r="N1045" i="2"/>
  <c r="M1045" i="2"/>
  <c r="L1045" i="2"/>
  <c r="O1044" i="2"/>
  <c r="N1044" i="2"/>
  <c r="M1044" i="2"/>
  <c r="L1044" i="2"/>
  <c r="O1043" i="2"/>
  <c r="N1043" i="2"/>
  <c r="M1043" i="2"/>
  <c r="L1043" i="2"/>
  <c r="O1042" i="2"/>
  <c r="N1042" i="2"/>
  <c r="M1042" i="2"/>
  <c r="L1042" i="2"/>
  <c r="O1041" i="2"/>
  <c r="N1041" i="2"/>
  <c r="M1041" i="2"/>
  <c r="L1041" i="2"/>
  <c r="O1040" i="2"/>
  <c r="N1040" i="2"/>
  <c r="M1040" i="2"/>
  <c r="L1040" i="2"/>
  <c r="O1039" i="2"/>
  <c r="N1039" i="2"/>
  <c r="M1039" i="2"/>
  <c r="L1039" i="2"/>
  <c r="O1038" i="2"/>
  <c r="N1038" i="2"/>
  <c r="M1038" i="2"/>
  <c r="L1038" i="2"/>
  <c r="O1037" i="2"/>
  <c r="N1037" i="2"/>
  <c r="M1037" i="2"/>
  <c r="L1037" i="2"/>
  <c r="O1036" i="2"/>
  <c r="N1036" i="2"/>
  <c r="M1036" i="2"/>
  <c r="L1036" i="2"/>
  <c r="O1035" i="2"/>
  <c r="N1035" i="2"/>
  <c r="M1035" i="2"/>
  <c r="L1035" i="2"/>
  <c r="O1034" i="2"/>
  <c r="N1034" i="2"/>
  <c r="M1034" i="2"/>
  <c r="L1034" i="2"/>
  <c r="O1033" i="2"/>
  <c r="N1033" i="2"/>
  <c r="M1033" i="2"/>
  <c r="L1033" i="2"/>
  <c r="O1032" i="2"/>
  <c r="N1032" i="2"/>
  <c r="M1032" i="2"/>
  <c r="L1032" i="2"/>
  <c r="O1031" i="2"/>
  <c r="N1031" i="2"/>
  <c r="M1031" i="2"/>
  <c r="L1031" i="2"/>
  <c r="O1030" i="2"/>
  <c r="N1030" i="2"/>
  <c r="M1030" i="2"/>
  <c r="L1030" i="2"/>
  <c r="O1029" i="2"/>
  <c r="N1029" i="2"/>
  <c r="M1029" i="2"/>
  <c r="L1029" i="2"/>
  <c r="O1028" i="2"/>
  <c r="N1028" i="2"/>
  <c r="M1028" i="2"/>
  <c r="L1028" i="2"/>
  <c r="O1027" i="2"/>
  <c r="N1027" i="2"/>
  <c r="M1027" i="2"/>
  <c r="L1027" i="2"/>
  <c r="O1026" i="2"/>
  <c r="N1026" i="2"/>
  <c r="M1026" i="2"/>
  <c r="L1026" i="2"/>
  <c r="O1025" i="2"/>
  <c r="N1025" i="2"/>
  <c r="M1025" i="2"/>
  <c r="L1025" i="2"/>
  <c r="O1024" i="2"/>
  <c r="N1024" i="2"/>
  <c r="M1024" i="2"/>
  <c r="L1024" i="2"/>
  <c r="O1023" i="2"/>
  <c r="N1023" i="2"/>
  <c r="M1023" i="2"/>
  <c r="L1023" i="2"/>
  <c r="O1022" i="2"/>
  <c r="N1022" i="2"/>
  <c r="M1022" i="2"/>
  <c r="L1022" i="2"/>
  <c r="O1021" i="2"/>
  <c r="N1021" i="2"/>
  <c r="M1021" i="2"/>
  <c r="L1021" i="2"/>
  <c r="O1020" i="2"/>
  <c r="N1020" i="2"/>
  <c r="M1020" i="2"/>
  <c r="L1020" i="2"/>
  <c r="O1019" i="2"/>
  <c r="N1019" i="2"/>
  <c r="M1019" i="2"/>
  <c r="L1019" i="2"/>
  <c r="O1018" i="2"/>
  <c r="N1018" i="2"/>
  <c r="M1018" i="2"/>
  <c r="L1018" i="2"/>
  <c r="O1017" i="2"/>
  <c r="N1017" i="2"/>
  <c r="M1017" i="2"/>
  <c r="L1017" i="2"/>
  <c r="O1016" i="2"/>
  <c r="N1016" i="2"/>
  <c r="M1016" i="2"/>
  <c r="L1016" i="2"/>
  <c r="O1015" i="2"/>
  <c r="N1015" i="2"/>
  <c r="M1015" i="2"/>
  <c r="L1015" i="2"/>
  <c r="O1014" i="2"/>
  <c r="N1014" i="2"/>
  <c r="M1014" i="2"/>
  <c r="L1014" i="2"/>
  <c r="O1013" i="2"/>
  <c r="N1013" i="2"/>
  <c r="M1013" i="2"/>
  <c r="L1013" i="2"/>
  <c r="O1012" i="2"/>
  <c r="N1012" i="2"/>
  <c r="M1012" i="2"/>
  <c r="L1012" i="2"/>
  <c r="O1011" i="2"/>
  <c r="N1011" i="2"/>
  <c r="M1011" i="2"/>
  <c r="L1011" i="2"/>
  <c r="O1010" i="2"/>
  <c r="N1010" i="2"/>
  <c r="M1010" i="2"/>
  <c r="L1010" i="2"/>
  <c r="O1009" i="2"/>
  <c r="N1009" i="2"/>
  <c r="M1009" i="2"/>
  <c r="L1009" i="2"/>
  <c r="O1008" i="2"/>
  <c r="N1008" i="2"/>
  <c r="M1008" i="2"/>
  <c r="L1008" i="2"/>
  <c r="O1007" i="2"/>
  <c r="N1007" i="2"/>
  <c r="M1007" i="2"/>
  <c r="L1007" i="2"/>
  <c r="O1006" i="2"/>
  <c r="N1006" i="2"/>
  <c r="M1006" i="2"/>
  <c r="L1006" i="2"/>
  <c r="O1005" i="2"/>
  <c r="N1005" i="2"/>
  <c r="M1005" i="2"/>
  <c r="L1005" i="2"/>
  <c r="O1004" i="2"/>
  <c r="N1004" i="2"/>
  <c r="M1004" i="2"/>
  <c r="L1004" i="2"/>
  <c r="O1003" i="2"/>
  <c r="N1003" i="2"/>
  <c r="M1003" i="2"/>
  <c r="L1003" i="2"/>
  <c r="O1002" i="2"/>
  <c r="N1002" i="2"/>
  <c r="M1002" i="2"/>
  <c r="L1002" i="2"/>
  <c r="O1001" i="2"/>
  <c r="N1001" i="2"/>
  <c r="M1001" i="2"/>
  <c r="L1001" i="2"/>
  <c r="O1000" i="2"/>
  <c r="N1000" i="2"/>
  <c r="M1000" i="2"/>
  <c r="L1000" i="2"/>
  <c r="O999" i="2"/>
  <c r="N999" i="2"/>
  <c r="M999" i="2"/>
  <c r="L999" i="2"/>
  <c r="O998" i="2"/>
  <c r="N998" i="2"/>
  <c r="M998" i="2"/>
  <c r="L998" i="2"/>
  <c r="O997" i="2"/>
  <c r="N997" i="2"/>
  <c r="M997" i="2"/>
  <c r="L997" i="2"/>
  <c r="O996" i="2"/>
  <c r="N996" i="2"/>
  <c r="M996" i="2"/>
  <c r="L996" i="2"/>
  <c r="O995" i="2"/>
  <c r="N995" i="2"/>
  <c r="M995" i="2"/>
  <c r="L995" i="2"/>
  <c r="O994" i="2"/>
  <c r="N994" i="2"/>
  <c r="M994" i="2"/>
  <c r="L994" i="2"/>
  <c r="O993" i="2"/>
  <c r="N993" i="2"/>
  <c r="M993" i="2"/>
  <c r="L993" i="2"/>
  <c r="O992" i="2"/>
  <c r="N992" i="2"/>
  <c r="M992" i="2"/>
  <c r="L992" i="2"/>
  <c r="O991" i="2"/>
  <c r="N991" i="2"/>
  <c r="M991" i="2"/>
  <c r="L991" i="2"/>
  <c r="O990" i="2"/>
  <c r="N990" i="2"/>
  <c r="M990" i="2"/>
  <c r="L990" i="2"/>
  <c r="O989" i="2"/>
  <c r="N989" i="2"/>
  <c r="M989" i="2"/>
  <c r="L989" i="2"/>
  <c r="O988" i="2"/>
  <c r="N988" i="2"/>
  <c r="M988" i="2"/>
  <c r="L988" i="2"/>
  <c r="O987" i="2"/>
  <c r="N987" i="2"/>
  <c r="M987" i="2"/>
  <c r="L987" i="2"/>
  <c r="O986" i="2"/>
  <c r="N986" i="2"/>
  <c r="M986" i="2"/>
  <c r="L986" i="2"/>
  <c r="O985" i="2"/>
  <c r="N985" i="2"/>
  <c r="M985" i="2"/>
  <c r="L985" i="2"/>
  <c r="O984" i="2"/>
  <c r="N984" i="2"/>
  <c r="M984" i="2"/>
  <c r="L984" i="2"/>
  <c r="O983" i="2"/>
  <c r="N983" i="2"/>
  <c r="M983" i="2"/>
  <c r="L983" i="2"/>
  <c r="O982" i="2"/>
  <c r="N982" i="2"/>
  <c r="M982" i="2"/>
  <c r="L982" i="2"/>
  <c r="O981" i="2"/>
  <c r="N981" i="2"/>
  <c r="M981" i="2"/>
  <c r="L981" i="2"/>
  <c r="O980" i="2"/>
  <c r="N980" i="2"/>
  <c r="M980" i="2"/>
  <c r="L980" i="2"/>
  <c r="O979" i="2"/>
  <c r="N979" i="2"/>
  <c r="M979" i="2"/>
  <c r="L979" i="2"/>
  <c r="O978" i="2"/>
  <c r="N978" i="2"/>
  <c r="M978" i="2"/>
  <c r="L978" i="2"/>
  <c r="O977" i="2"/>
  <c r="N977" i="2"/>
  <c r="M977" i="2"/>
  <c r="L977" i="2"/>
  <c r="O976" i="2"/>
  <c r="N976" i="2"/>
  <c r="M976" i="2"/>
  <c r="L976" i="2"/>
  <c r="O975" i="2"/>
  <c r="N975" i="2"/>
  <c r="M975" i="2"/>
  <c r="L975" i="2"/>
  <c r="O974" i="2"/>
  <c r="N974" i="2"/>
  <c r="M974" i="2"/>
  <c r="L974" i="2"/>
  <c r="O973" i="2"/>
  <c r="N973" i="2"/>
  <c r="M973" i="2"/>
  <c r="L973" i="2"/>
  <c r="O972" i="2"/>
  <c r="N972" i="2"/>
  <c r="M972" i="2"/>
  <c r="L972" i="2"/>
  <c r="O971" i="2"/>
  <c r="N971" i="2"/>
  <c r="M971" i="2"/>
  <c r="L971" i="2"/>
  <c r="O970" i="2"/>
  <c r="N970" i="2"/>
  <c r="M970" i="2"/>
  <c r="L970" i="2"/>
  <c r="O969" i="2"/>
  <c r="N969" i="2"/>
  <c r="M969" i="2"/>
  <c r="L969" i="2"/>
  <c r="O968" i="2"/>
  <c r="N968" i="2"/>
  <c r="M968" i="2"/>
  <c r="L968" i="2"/>
  <c r="O967" i="2"/>
  <c r="N967" i="2"/>
  <c r="M967" i="2"/>
  <c r="L967" i="2"/>
  <c r="O966" i="2"/>
  <c r="N966" i="2"/>
  <c r="M966" i="2"/>
  <c r="L966" i="2"/>
  <c r="O965" i="2"/>
  <c r="N965" i="2"/>
  <c r="M965" i="2"/>
  <c r="L965" i="2"/>
  <c r="O964" i="2"/>
  <c r="N964" i="2"/>
  <c r="M964" i="2"/>
  <c r="L964" i="2"/>
  <c r="O963" i="2"/>
  <c r="N963" i="2"/>
  <c r="M963" i="2"/>
  <c r="L963" i="2"/>
  <c r="O962" i="2"/>
  <c r="N962" i="2"/>
  <c r="M962" i="2"/>
  <c r="L962" i="2"/>
  <c r="O961" i="2"/>
  <c r="N961" i="2"/>
  <c r="M961" i="2"/>
  <c r="L961" i="2"/>
  <c r="O960" i="2"/>
  <c r="N960" i="2"/>
  <c r="M960" i="2"/>
  <c r="L960" i="2"/>
  <c r="O959" i="2"/>
  <c r="N959" i="2"/>
  <c r="M959" i="2"/>
  <c r="L959" i="2"/>
  <c r="O958" i="2"/>
  <c r="N958" i="2"/>
  <c r="M958" i="2"/>
  <c r="L958" i="2"/>
  <c r="O957" i="2"/>
  <c r="N957" i="2"/>
  <c r="M957" i="2"/>
  <c r="L957" i="2"/>
  <c r="O956" i="2"/>
  <c r="N956" i="2"/>
  <c r="M956" i="2"/>
  <c r="L956" i="2"/>
  <c r="O955" i="2"/>
  <c r="N955" i="2"/>
  <c r="M955" i="2"/>
  <c r="L955" i="2"/>
  <c r="O954" i="2"/>
  <c r="N954" i="2"/>
  <c r="M954" i="2"/>
  <c r="L954" i="2"/>
  <c r="O953" i="2"/>
  <c r="N953" i="2"/>
  <c r="M953" i="2"/>
  <c r="L953" i="2"/>
  <c r="O952" i="2"/>
  <c r="N952" i="2"/>
  <c r="M952" i="2"/>
  <c r="L952" i="2"/>
  <c r="O951" i="2"/>
  <c r="N951" i="2"/>
  <c r="M951" i="2"/>
  <c r="L951" i="2"/>
  <c r="O950" i="2"/>
  <c r="N950" i="2"/>
  <c r="M950" i="2"/>
  <c r="L950" i="2"/>
  <c r="O949" i="2"/>
  <c r="N949" i="2"/>
  <c r="M949" i="2"/>
  <c r="L949" i="2"/>
  <c r="O948" i="2"/>
  <c r="N948" i="2"/>
  <c r="M948" i="2"/>
  <c r="L948" i="2"/>
  <c r="O947" i="2"/>
  <c r="N947" i="2"/>
  <c r="M947" i="2"/>
  <c r="L947" i="2"/>
  <c r="O946" i="2"/>
  <c r="N946" i="2"/>
  <c r="M946" i="2"/>
  <c r="L946" i="2"/>
  <c r="O945" i="2"/>
  <c r="N945" i="2"/>
  <c r="M945" i="2"/>
  <c r="L945" i="2"/>
  <c r="O944" i="2"/>
  <c r="N944" i="2"/>
  <c r="M944" i="2"/>
  <c r="L944" i="2"/>
  <c r="O943" i="2"/>
  <c r="N943" i="2"/>
  <c r="M943" i="2"/>
  <c r="L943" i="2"/>
  <c r="O942" i="2"/>
  <c r="N942" i="2"/>
  <c r="M942" i="2"/>
  <c r="L942" i="2"/>
  <c r="O941" i="2"/>
  <c r="N941" i="2"/>
  <c r="M941" i="2"/>
  <c r="L941" i="2"/>
  <c r="O940" i="2"/>
  <c r="N940" i="2"/>
  <c r="M940" i="2"/>
  <c r="L940" i="2"/>
  <c r="O939" i="2"/>
  <c r="N939" i="2"/>
  <c r="M939" i="2"/>
  <c r="L939" i="2"/>
  <c r="O938" i="2"/>
  <c r="N938" i="2"/>
  <c r="M938" i="2"/>
  <c r="L938" i="2"/>
  <c r="O937" i="2"/>
  <c r="N937" i="2"/>
  <c r="M937" i="2"/>
  <c r="L937" i="2"/>
  <c r="O936" i="2"/>
  <c r="N936" i="2"/>
  <c r="M936" i="2"/>
  <c r="L936" i="2"/>
  <c r="O935" i="2"/>
  <c r="N935" i="2"/>
  <c r="M935" i="2"/>
  <c r="L935" i="2"/>
  <c r="O934" i="2"/>
  <c r="N934" i="2"/>
  <c r="M934" i="2"/>
  <c r="L934" i="2"/>
  <c r="O933" i="2"/>
  <c r="N933" i="2"/>
  <c r="M933" i="2"/>
  <c r="L933" i="2"/>
  <c r="O932" i="2"/>
  <c r="N932" i="2"/>
  <c r="M932" i="2"/>
  <c r="L932" i="2"/>
  <c r="O931" i="2"/>
  <c r="N931" i="2"/>
  <c r="M931" i="2"/>
  <c r="L931" i="2"/>
  <c r="O930" i="2"/>
  <c r="N930" i="2"/>
  <c r="M930" i="2"/>
  <c r="L930" i="2"/>
  <c r="O929" i="2"/>
  <c r="N929" i="2"/>
  <c r="M929" i="2"/>
  <c r="L929" i="2"/>
  <c r="O928" i="2"/>
  <c r="N928" i="2"/>
  <c r="M928" i="2"/>
  <c r="L928" i="2"/>
  <c r="O927" i="2"/>
  <c r="N927" i="2"/>
  <c r="M927" i="2"/>
  <c r="L927" i="2"/>
  <c r="O926" i="2"/>
  <c r="N926" i="2"/>
  <c r="M926" i="2"/>
  <c r="L926" i="2"/>
  <c r="O925" i="2"/>
  <c r="N925" i="2"/>
  <c r="M925" i="2"/>
  <c r="L925" i="2"/>
  <c r="O924" i="2"/>
  <c r="N924" i="2"/>
  <c r="M924" i="2"/>
  <c r="L924" i="2"/>
  <c r="O923" i="2"/>
  <c r="N923" i="2"/>
  <c r="M923" i="2"/>
  <c r="L923" i="2"/>
  <c r="O922" i="2"/>
  <c r="N922" i="2"/>
  <c r="M922" i="2"/>
  <c r="L922" i="2"/>
  <c r="O921" i="2"/>
  <c r="N921" i="2"/>
  <c r="M921" i="2"/>
  <c r="L921" i="2"/>
  <c r="O920" i="2"/>
  <c r="N920" i="2"/>
  <c r="M920" i="2"/>
  <c r="L920" i="2"/>
  <c r="O919" i="2"/>
  <c r="N919" i="2"/>
  <c r="M919" i="2"/>
  <c r="L919" i="2"/>
  <c r="O918" i="2"/>
  <c r="N918" i="2"/>
  <c r="M918" i="2"/>
  <c r="L918" i="2"/>
  <c r="O917" i="2"/>
  <c r="N917" i="2"/>
  <c r="M917" i="2"/>
  <c r="L917" i="2"/>
  <c r="O916" i="2"/>
  <c r="N916" i="2"/>
  <c r="M916" i="2"/>
  <c r="L916" i="2"/>
  <c r="O915" i="2"/>
  <c r="N915" i="2"/>
  <c r="M915" i="2"/>
  <c r="L915" i="2"/>
  <c r="O914" i="2"/>
  <c r="N914" i="2"/>
  <c r="M914" i="2"/>
  <c r="L914" i="2"/>
  <c r="O913" i="2"/>
  <c r="N913" i="2"/>
  <c r="M913" i="2"/>
  <c r="L913" i="2"/>
  <c r="O912" i="2"/>
  <c r="N912" i="2"/>
  <c r="M912" i="2"/>
  <c r="L912" i="2"/>
  <c r="O911" i="2"/>
  <c r="N911" i="2"/>
  <c r="M911" i="2"/>
  <c r="L911" i="2"/>
  <c r="O910" i="2"/>
  <c r="N910" i="2"/>
  <c r="M910" i="2"/>
  <c r="L910" i="2"/>
  <c r="O909" i="2"/>
  <c r="N909" i="2"/>
  <c r="M909" i="2"/>
  <c r="L909" i="2"/>
  <c r="O908" i="2"/>
  <c r="N908" i="2"/>
  <c r="M908" i="2"/>
  <c r="L908" i="2"/>
  <c r="O907" i="2"/>
  <c r="N907" i="2"/>
  <c r="M907" i="2"/>
  <c r="L907" i="2"/>
  <c r="O906" i="2"/>
  <c r="N906" i="2"/>
  <c r="M906" i="2"/>
  <c r="L906" i="2"/>
  <c r="O905" i="2"/>
  <c r="N905" i="2"/>
  <c r="M905" i="2"/>
  <c r="L905" i="2"/>
  <c r="O904" i="2"/>
  <c r="N904" i="2"/>
  <c r="M904" i="2"/>
  <c r="L904" i="2"/>
  <c r="O903" i="2"/>
  <c r="N903" i="2"/>
  <c r="M903" i="2"/>
  <c r="L903" i="2"/>
  <c r="O902" i="2"/>
  <c r="N902" i="2"/>
  <c r="M902" i="2"/>
  <c r="L902" i="2"/>
  <c r="O901" i="2"/>
  <c r="N901" i="2"/>
  <c r="M901" i="2"/>
  <c r="L901" i="2"/>
  <c r="O900" i="2"/>
  <c r="N900" i="2"/>
  <c r="M900" i="2"/>
  <c r="L900" i="2"/>
  <c r="O899" i="2"/>
  <c r="N899" i="2"/>
  <c r="M899" i="2"/>
  <c r="L899" i="2"/>
  <c r="O898" i="2"/>
  <c r="N898" i="2"/>
  <c r="M898" i="2"/>
  <c r="L898" i="2"/>
  <c r="O897" i="2"/>
  <c r="N897" i="2"/>
  <c r="M897" i="2"/>
  <c r="L897" i="2"/>
  <c r="O896" i="2"/>
  <c r="N896" i="2"/>
  <c r="M896" i="2"/>
  <c r="L896" i="2"/>
  <c r="O895" i="2"/>
  <c r="N895" i="2"/>
  <c r="M895" i="2"/>
  <c r="L895" i="2"/>
  <c r="O894" i="2"/>
  <c r="N894" i="2"/>
  <c r="M894" i="2"/>
  <c r="L894" i="2"/>
  <c r="O893" i="2"/>
  <c r="N893" i="2"/>
  <c r="M893" i="2"/>
  <c r="L893" i="2"/>
  <c r="O892" i="2"/>
  <c r="N892" i="2"/>
  <c r="M892" i="2"/>
  <c r="L892" i="2"/>
  <c r="O891" i="2"/>
  <c r="N891" i="2"/>
  <c r="M891" i="2"/>
  <c r="L891" i="2"/>
  <c r="O890" i="2"/>
  <c r="N890" i="2"/>
  <c r="M890" i="2"/>
  <c r="L890" i="2"/>
  <c r="O889" i="2"/>
  <c r="N889" i="2"/>
  <c r="M889" i="2"/>
  <c r="L889" i="2"/>
  <c r="O888" i="2"/>
  <c r="N888" i="2"/>
  <c r="M888" i="2"/>
  <c r="L888" i="2"/>
  <c r="O887" i="2"/>
  <c r="N887" i="2"/>
  <c r="M887" i="2"/>
  <c r="L887" i="2"/>
  <c r="O886" i="2"/>
  <c r="N886" i="2"/>
  <c r="M886" i="2"/>
  <c r="L886" i="2"/>
  <c r="O885" i="2"/>
  <c r="N885" i="2"/>
  <c r="M885" i="2"/>
  <c r="L885" i="2"/>
  <c r="O884" i="2"/>
  <c r="N884" i="2"/>
  <c r="M884" i="2"/>
  <c r="L884" i="2"/>
  <c r="O883" i="2"/>
  <c r="N883" i="2"/>
  <c r="M883" i="2"/>
  <c r="L883" i="2"/>
  <c r="O882" i="2"/>
  <c r="N882" i="2"/>
  <c r="M882" i="2"/>
  <c r="L882" i="2"/>
  <c r="O881" i="2"/>
  <c r="N881" i="2"/>
  <c r="M881" i="2"/>
  <c r="L881" i="2"/>
  <c r="O880" i="2"/>
  <c r="N880" i="2"/>
  <c r="M880" i="2"/>
  <c r="L880" i="2"/>
  <c r="O879" i="2"/>
  <c r="N879" i="2"/>
  <c r="M879" i="2"/>
  <c r="L879" i="2"/>
  <c r="O878" i="2"/>
  <c r="N878" i="2"/>
  <c r="M878" i="2"/>
  <c r="L878" i="2"/>
  <c r="O877" i="2"/>
  <c r="N877" i="2"/>
  <c r="M877" i="2"/>
  <c r="L877" i="2"/>
  <c r="O876" i="2"/>
  <c r="N876" i="2"/>
  <c r="M876" i="2"/>
  <c r="L876" i="2"/>
  <c r="O875" i="2"/>
  <c r="N875" i="2"/>
  <c r="M875" i="2"/>
  <c r="L875" i="2"/>
  <c r="O874" i="2"/>
  <c r="N874" i="2"/>
  <c r="M874" i="2"/>
  <c r="L874" i="2"/>
  <c r="O873" i="2"/>
  <c r="N873" i="2"/>
  <c r="M873" i="2"/>
  <c r="L873" i="2"/>
  <c r="O872" i="2"/>
  <c r="N872" i="2"/>
  <c r="M872" i="2"/>
  <c r="L872" i="2"/>
  <c r="O871" i="2"/>
  <c r="N871" i="2"/>
  <c r="M871" i="2"/>
  <c r="L871" i="2"/>
  <c r="O870" i="2"/>
  <c r="N870" i="2"/>
  <c r="M870" i="2"/>
  <c r="L870" i="2"/>
  <c r="O869" i="2"/>
  <c r="N869" i="2"/>
  <c r="M869" i="2"/>
  <c r="L869" i="2"/>
  <c r="O868" i="2"/>
  <c r="N868" i="2"/>
  <c r="M868" i="2"/>
  <c r="L868" i="2"/>
  <c r="O867" i="2"/>
  <c r="N867" i="2"/>
  <c r="M867" i="2"/>
  <c r="L867" i="2"/>
  <c r="O866" i="2"/>
  <c r="N866" i="2"/>
  <c r="M866" i="2"/>
  <c r="L866" i="2"/>
  <c r="O865" i="2"/>
  <c r="N865" i="2"/>
  <c r="M865" i="2"/>
  <c r="L865" i="2"/>
  <c r="O864" i="2"/>
  <c r="N864" i="2"/>
  <c r="M864" i="2"/>
  <c r="L864" i="2"/>
  <c r="O863" i="2"/>
  <c r="N863" i="2"/>
  <c r="M863" i="2"/>
  <c r="L863" i="2"/>
  <c r="O862" i="2"/>
  <c r="N862" i="2"/>
  <c r="M862" i="2"/>
  <c r="L862" i="2"/>
  <c r="O861" i="2"/>
  <c r="N861" i="2"/>
  <c r="M861" i="2"/>
  <c r="L861" i="2"/>
  <c r="O860" i="2"/>
  <c r="N860" i="2"/>
  <c r="M860" i="2"/>
  <c r="L860" i="2"/>
  <c r="O859" i="2"/>
  <c r="N859" i="2"/>
  <c r="M859" i="2"/>
  <c r="L859" i="2"/>
  <c r="O858" i="2"/>
  <c r="N858" i="2"/>
  <c r="M858" i="2"/>
  <c r="L858" i="2"/>
  <c r="O857" i="2"/>
  <c r="N857" i="2"/>
  <c r="M857" i="2"/>
  <c r="L857" i="2"/>
  <c r="O856" i="2"/>
  <c r="N856" i="2"/>
  <c r="M856" i="2"/>
  <c r="L856" i="2"/>
  <c r="O855" i="2"/>
  <c r="N855" i="2"/>
  <c r="M855" i="2"/>
  <c r="L855" i="2"/>
  <c r="O854" i="2"/>
  <c r="N854" i="2"/>
  <c r="M854" i="2"/>
  <c r="L854" i="2"/>
  <c r="O853" i="2"/>
  <c r="N853" i="2"/>
  <c r="M853" i="2"/>
  <c r="L853" i="2"/>
  <c r="O852" i="2"/>
  <c r="N852" i="2"/>
  <c r="M852" i="2"/>
  <c r="L852" i="2"/>
  <c r="O851" i="2"/>
  <c r="N851" i="2"/>
  <c r="M851" i="2"/>
  <c r="L851" i="2"/>
  <c r="O850" i="2"/>
  <c r="N850" i="2"/>
  <c r="M850" i="2"/>
  <c r="L850" i="2"/>
  <c r="O849" i="2"/>
  <c r="N849" i="2"/>
  <c r="M849" i="2"/>
  <c r="L849" i="2"/>
  <c r="O848" i="2"/>
  <c r="N848" i="2"/>
  <c r="M848" i="2"/>
  <c r="L848" i="2"/>
  <c r="O847" i="2"/>
  <c r="N847" i="2"/>
  <c r="M847" i="2"/>
  <c r="L847" i="2"/>
  <c r="O846" i="2"/>
  <c r="N846" i="2"/>
  <c r="M846" i="2"/>
  <c r="L846" i="2"/>
  <c r="O845" i="2"/>
  <c r="N845" i="2"/>
  <c r="M845" i="2"/>
  <c r="L845" i="2"/>
  <c r="O844" i="2"/>
  <c r="N844" i="2"/>
  <c r="M844" i="2"/>
  <c r="L844" i="2"/>
  <c r="O843" i="2"/>
  <c r="N843" i="2"/>
  <c r="M843" i="2"/>
  <c r="L843" i="2"/>
  <c r="O842" i="2"/>
  <c r="N842" i="2"/>
  <c r="M842" i="2"/>
  <c r="L842" i="2"/>
  <c r="O841" i="2"/>
  <c r="N841" i="2"/>
  <c r="M841" i="2"/>
  <c r="L841" i="2"/>
  <c r="O840" i="2"/>
  <c r="N840" i="2"/>
  <c r="M840" i="2"/>
  <c r="L840" i="2"/>
  <c r="O839" i="2"/>
  <c r="N839" i="2"/>
  <c r="M839" i="2"/>
  <c r="L839" i="2"/>
  <c r="O838" i="2"/>
  <c r="N838" i="2"/>
  <c r="M838" i="2"/>
  <c r="L838" i="2"/>
  <c r="O837" i="2"/>
  <c r="N837" i="2"/>
  <c r="M837" i="2"/>
  <c r="L837" i="2"/>
  <c r="O836" i="2"/>
  <c r="N836" i="2"/>
  <c r="M836" i="2"/>
  <c r="L836" i="2"/>
  <c r="O835" i="2"/>
  <c r="N835" i="2"/>
  <c r="M835" i="2"/>
  <c r="L835" i="2"/>
  <c r="O834" i="2"/>
  <c r="N834" i="2"/>
  <c r="M834" i="2"/>
  <c r="L834" i="2"/>
  <c r="O833" i="2"/>
  <c r="N833" i="2"/>
  <c r="M833" i="2"/>
  <c r="L833" i="2"/>
  <c r="O832" i="2"/>
  <c r="N832" i="2"/>
  <c r="M832" i="2"/>
  <c r="L832" i="2"/>
  <c r="O831" i="2"/>
  <c r="N831" i="2"/>
  <c r="M831" i="2"/>
  <c r="L831" i="2"/>
  <c r="O830" i="2"/>
  <c r="N830" i="2"/>
  <c r="M830" i="2"/>
  <c r="L830" i="2"/>
  <c r="O829" i="2"/>
  <c r="N829" i="2"/>
  <c r="M829" i="2"/>
  <c r="L829" i="2"/>
  <c r="O828" i="2"/>
  <c r="N828" i="2"/>
  <c r="M828" i="2"/>
  <c r="L828" i="2"/>
  <c r="O827" i="2"/>
  <c r="N827" i="2"/>
  <c r="M827" i="2"/>
  <c r="L827" i="2"/>
  <c r="O826" i="2"/>
  <c r="N826" i="2"/>
  <c r="M826" i="2"/>
  <c r="L826" i="2"/>
  <c r="O825" i="2"/>
  <c r="N825" i="2"/>
  <c r="M825" i="2"/>
  <c r="L825" i="2"/>
  <c r="O824" i="2"/>
  <c r="N824" i="2"/>
  <c r="M824" i="2"/>
  <c r="L824" i="2"/>
  <c r="O823" i="2"/>
  <c r="N823" i="2"/>
  <c r="M823" i="2"/>
  <c r="L823" i="2"/>
  <c r="O822" i="2"/>
  <c r="N822" i="2"/>
  <c r="M822" i="2"/>
  <c r="L822" i="2"/>
  <c r="O821" i="2"/>
  <c r="N821" i="2"/>
  <c r="M821" i="2"/>
  <c r="L821" i="2"/>
  <c r="O820" i="2"/>
  <c r="N820" i="2"/>
  <c r="M820" i="2"/>
  <c r="L820" i="2"/>
  <c r="O819" i="2"/>
  <c r="N819" i="2"/>
  <c r="M819" i="2"/>
  <c r="L819" i="2"/>
  <c r="O818" i="2"/>
  <c r="N818" i="2"/>
  <c r="M818" i="2"/>
  <c r="L818" i="2"/>
  <c r="O817" i="2"/>
  <c r="N817" i="2"/>
  <c r="M817" i="2"/>
  <c r="L817" i="2"/>
  <c r="O816" i="2"/>
  <c r="N816" i="2"/>
  <c r="M816" i="2"/>
  <c r="L816" i="2"/>
  <c r="O815" i="2"/>
  <c r="N815" i="2"/>
  <c r="M815" i="2"/>
  <c r="L815" i="2"/>
  <c r="O814" i="2"/>
  <c r="N814" i="2"/>
  <c r="M814" i="2"/>
  <c r="L814" i="2"/>
  <c r="O813" i="2"/>
  <c r="N813" i="2"/>
  <c r="M813" i="2"/>
  <c r="L813" i="2"/>
  <c r="O812" i="2"/>
  <c r="N812" i="2"/>
  <c r="M812" i="2"/>
  <c r="L812" i="2"/>
  <c r="O811" i="2"/>
  <c r="N811" i="2"/>
  <c r="M811" i="2"/>
  <c r="L811" i="2"/>
  <c r="O810" i="2"/>
  <c r="N810" i="2"/>
  <c r="M810" i="2"/>
  <c r="L810" i="2"/>
  <c r="O809" i="2"/>
  <c r="N809" i="2"/>
  <c r="M809" i="2"/>
  <c r="L809" i="2"/>
  <c r="O808" i="2"/>
  <c r="N808" i="2"/>
  <c r="M808" i="2"/>
  <c r="L808" i="2"/>
  <c r="O807" i="2"/>
  <c r="N807" i="2"/>
  <c r="M807" i="2"/>
  <c r="L807" i="2"/>
  <c r="O806" i="2"/>
  <c r="N806" i="2"/>
  <c r="M806" i="2"/>
  <c r="L806" i="2"/>
  <c r="O805" i="2"/>
  <c r="N805" i="2"/>
  <c r="M805" i="2"/>
  <c r="L805" i="2"/>
  <c r="O804" i="2"/>
  <c r="N804" i="2"/>
  <c r="M804" i="2"/>
  <c r="L804" i="2"/>
  <c r="O803" i="2"/>
  <c r="N803" i="2"/>
  <c r="M803" i="2"/>
  <c r="L803" i="2"/>
  <c r="O802" i="2"/>
  <c r="N802" i="2"/>
  <c r="M802" i="2"/>
  <c r="L802" i="2"/>
  <c r="O801" i="2"/>
  <c r="N801" i="2"/>
  <c r="M801" i="2"/>
  <c r="L801" i="2"/>
  <c r="O800" i="2"/>
  <c r="N800" i="2"/>
  <c r="M800" i="2"/>
  <c r="L800" i="2"/>
  <c r="O799" i="2"/>
  <c r="N799" i="2"/>
  <c r="M799" i="2"/>
  <c r="L799" i="2"/>
  <c r="O798" i="2"/>
  <c r="N798" i="2"/>
  <c r="M798" i="2"/>
  <c r="L798" i="2"/>
  <c r="O797" i="2"/>
  <c r="N797" i="2"/>
  <c r="M797" i="2"/>
  <c r="L797" i="2"/>
  <c r="O796" i="2"/>
  <c r="N796" i="2"/>
  <c r="M796" i="2"/>
  <c r="L796" i="2"/>
  <c r="O795" i="2"/>
  <c r="N795" i="2"/>
  <c r="M795" i="2"/>
  <c r="L795" i="2"/>
  <c r="O794" i="2"/>
  <c r="N794" i="2"/>
  <c r="M794" i="2"/>
  <c r="L794" i="2"/>
  <c r="O793" i="2"/>
  <c r="N793" i="2"/>
  <c r="M793" i="2"/>
  <c r="L793" i="2"/>
  <c r="O792" i="2"/>
  <c r="N792" i="2"/>
  <c r="M792" i="2"/>
  <c r="L792" i="2"/>
  <c r="O791" i="2"/>
  <c r="N791" i="2"/>
  <c r="M791" i="2"/>
  <c r="L791" i="2"/>
  <c r="O790" i="2"/>
  <c r="N790" i="2"/>
  <c r="M790" i="2"/>
  <c r="L790" i="2"/>
  <c r="O789" i="2"/>
  <c r="N789" i="2"/>
  <c r="M789" i="2"/>
  <c r="L789" i="2"/>
  <c r="O788" i="2"/>
  <c r="N788" i="2"/>
  <c r="M788" i="2"/>
  <c r="L788" i="2"/>
  <c r="O787" i="2"/>
  <c r="N787" i="2"/>
  <c r="M787" i="2"/>
  <c r="L787" i="2"/>
  <c r="O786" i="2"/>
  <c r="N786" i="2"/>
  <c r="M786" i="2"/>
  <c r="L786" i="2"/>
  <c r="O785" i="2"/>
  <c r="N785" i="2"/>
  <c r="M785" i="2"/>
  <c r="L785" i="2"/>
  <c r="O784" i="2"/>
  <c r="N784" i="2"/>
  <c r="M784" i="2"/>
  <c r="L784" i="2"/>
  <c r="O783" i="2"/>
  <c r="N783" i="2"/>
  <c r="M783" i="2"/>
  <c r="L783" i="2"/>
  <c r="O782" i="2"/>
  <c r="N782" i="2"/>
  <c r="M782" i="2"/>
  <c r="L782" i="2"/>
  <c r="O781" i="2"/>
  <c r="N781" i="2"/>
  <c r="M781" i="2"/>
  <c r="L781" i="2"/>
  <c r="O780" i="2"/>
  <c r="N780" i="2"/>
  <c r="M780" i="2"/>
  <c r="L780" i="2"/>
  <c r="O779" i="2"/>
  <c r="N779" i="2"/>
  <c r="M779" i="2"/>
  <c r="L779" i="2"/>
  <c r="O778" i="2"/>
  <c r="N778" i="2"/>
  <c r="M778" i="2"/>
  <c r="L778" i="2"/>
  <c r="O777" i="2"/>
  <c r="N777" i="2"/>
  <c r="M777" i="2"/>
  <c r="L777" i="2"/>
  <c r="O776" i="2"/>
  <c r="N776" i="2"/>
  <c r="M776" i="2"/>
  <c r="L776" i="2"/>
  <c r="O775" i="2"/>
  <c r="N775" i="2"/>
  <c r="M775" i="2"/>
  <c r="L775" i="2"/>
  <c r="O774" i="2"/>
  <c r="N774" i="2"/>
  <c r="M774" i="2"/>
  <c r="L774" i="2"/>
  <c r="O773" i="2"/>
  <c r="N773" i="2"/>
  <c r="M773" i="2"/>
  <c r="L773" i="2"/>
  <c r="O772" i="2"/>
  <c r="N772" i="2"/>
  <c r="M772" i="2"/>
  <c r="L772" i="2"/>
  <c r="O771" i="2"/>
  <c r="N771" i="2"/>
  <c r="M771" i="2"/>
  <c r="L771" i="2"/>
  <c r="O770" i="2"/>
  <c r="N770" i="2"/>
  <c r="M770" i="2"/>
  <c r="L770" i="2"/>
  <c r="O769" i="2"/>
  <c r="N769" i="2"/>
  <c r="M769" i="2"/>
  <c r="L769" i="2"/>
  <c r="O768" i="2"/>
  <c r="N768" i="2"/>
  <c r="M768" i="2"/>
  <c r="L768" i="2"/>
  <c r="O767" i="2"/>
  <c r="N767" i="2"/>
  <c r="M767" i="2"/>
  <c r="L767" i="2"/>
  <c r="O766" i="2"/>
  <c r="N766" i="2"/>
  <c r="M766" i="2"/>
  <c r="L766" i="2"/>
  <c r="O765" i="2"/>
  <c r="N765" i="2"/>
  <c r="M765" i="2"/>
  <c r="L765" i="2"/>
  <c r="O764" i="2"/>
  <c r="N764" i="2"/>
  <c r="M764" i="2"/>
  <c r="L764" i="2"/>
  <c r="O763" i="2"/>
  <c r="N763" i="2"/>
  <c r="M763" i="2"/>
  <c r="L763" i="2"/>
  <c r="O762" i="2"/>
  <c r="N762" i="2"/>
  <c r="M762" i="2"/>
  <c r="L762" i="2"/>
  <c r="O761" i="2"/>
  <c r="N761" i="2"/>
  <c r="M761" i="2"/>
  <c r="L761" i="2"/>
  <c r="O760" i="2"/>
  <c r="N760" i="2"/>
  <c r="M760" i="2"/>
  <c r="L760" i="2"/>
  <c r="O759" i="2"/>
  <c r="N759" i="2"/>
  <c r="M759" i="2"/>
  <c r="L759" i="2"/>
  <c r="O758" i="2"/>
  <c r="N758" i="2"/>
  <c r="M758" i="2"/>
  <c r="L758" i="2"/>
  <c r="O757" i="2"/>
  <c r="N757" i="2"/>
  <c r="M757" i="2"/>
  <c r="L757" i="2"/>
  <c r="O756" i="2"/>
  <c r="N756" i="2"/>
  <c r="M756" i="2"/>
  <c r="L756" i="2"/>
  <c r="O755" i="2"/>
  <c r="N755" i="2"/>
  <c r="M755" i="2"/>
  <c r="L755" i="2"/>
  <c r="O754" i="2"/>
  <c r="N754" i="2"/>
  <c r="M754" i="2"/>
  <c r="L754" i="2"/>
  <c r="O753" i="2"/>
  <c r="N753" i="2"/>
  <c r="M753" i="2"/>
  <c r="L753" i="2"/>
  <c r="O752" i="2"/>
  <c r="N752" i="2"/>
  <c r="M752" i="2"/>
  <c r="L752" i="2"/>
  <c r="O751" i="2"/>
  <c r="N751" i="2"/>
  <c r="M751" i="2"/>
  <c r="L751" i="2"/>
  <c r="O750" i="2"/>
  <c r="N750" i="2"/>
  <c r="M750" i="2"/>
  <c r="L750" i="2"/>
  <c r="O749" i="2"/>
  <c r="N749" i="2"/>
  <c r="M749" i="2"/>
  <c r="L749" i="2"/>
  <c r="O748" i="2"/>
  <c r="N748" i="2"/>
  <c r="M748" i="2"/>
  <c r="L748" i="2"/>
  <c r="O747" i="2"/>
  <c r="N747" i="2"/>
  <c r="M747" i="2"/>
  <c r="L747" i="2"/>
  <c r="O746" i="2"/>
  <c r="N746" i="2"/>
  <c r="M746" i="2"/>
  <c r="L746" i="2"/>
  <c r="O745" i="2"/>
  <c r="N745" i="2"/>
  <c r="M745" i="2"/>
  <c r="L745" i="2"/>
  <c r="O744" i="2"/>
  <c r="N744" i="2"/>
  <c r="M744" i="2"/>
  <c r="L744" i="2"/>
  <c r="O743" i="2"/>
  <c r="N743" i="2"/>
  <c r="M743" i="2"/>
  <c r="L743" i="2"/>
  <c r="O742" i="2"/>
  <c r="N742" i="2"/>
  <c r="M742" i="2"/>
  <c r="L742" i="2"/>
  <c r="O741" i="2"/>
  <c r="N741" i="2"/>
  <c r="M741" i="2"/>
  <c r="L741" i="2"/>
  <c r="O740" i="2"/>
  <c r="N740" i="2"/>
  <c r="M740" i="2"/>
  <c r="L740" i="2"/>
  <c r="O739" i="2"/>
  <c r="N739" i="2"/>
  <c r="M739" i="2"/>
  <c r="L739" i="2"/>
  <c r="O738" i="2"/>
  <c r="N738" i="2"/>
  <c r="M738" i="2"/>
  <c r="L738" i="2"/>
  <c r="O737" i="2"/>
  <c r="N737" i="2"/>
  <c r="M737" i="2"/>
  <c r="L737" i="2"/>
  <c r="O736" i="2"/>
  <c r="N736" i="2"/>
  <c r="M736" i="2"/>
  <c r="L736" i="2"/>
  <c r="O735" i="2"/>
  <c r="N735" i="2"/>
  <c r="M735" i="2"/>
  <c r="L735" i="2"/>
  <c r="O734" i="2"/>
  <c r="N734" i="2"/>
  <c r="M734" i="2"/>
  <c r="L734" i="2"/>
  <c r="O733" i="2"/>
  <c r="N733" i="2"/>
  <c r="M733" i="2"/>
  <c r="L733" i="2"/>
  <c r="O732" i="2"/>
  <c r="N732" i="2"/>
  <c r="M732" i="2"/>
  <c r="L732" i="2"/>
  <c r="O731" i="2"/>
  <c r="N731" i="2"/>
  <c r="M731" i="2"/>
  <c r="L731" i="2"/>
  <c r="O730" i="2"/>
  <c r="N730" i="2"/>
  <c r="M730" i="2"/>
  <c r="L730" i="2"/>
  <c r="O729" i="2"/>
  <c r="N729" i="2"/>
  <c r="M729" i="2"/>
  <c r="L729" i="2"/>
  <c r="O728" i="2"/>
  <c r="N728" i="2"/>
  <c r="M728" i="2"/>
  <c r="L728" i="2"/>
  <c r="O727" i="2"/>
  <c r="N727" i="2"/>
  <c r="M727" i="2"/>
  <c r="L727" i="2"/>
  <c r="O726" i="2"/>
  <c r="N726" i="2"/>
  <c r="M726" i="2"/>
  <c r="L726" i="2"/>
  <c r="O725" i="2"/>
  <c r="N725" i="2"/>
  <c r="M725" i="2"/>
  <c r="L725" i="2"/>
  <c r="O724" i="2"/>
  <c r="N724" i="2"/>
  <c r="M724" i="2"/>
  <c r="L724" i="2"/>
  <c r="O723" i="2"/>
  <c r="N723" i="2"/>
  <c r="M723" i="2"/>
  <c r="L723" i="2"/>
  <c r="O722" i="2"/>
  <c r="N722" i="2"/>
  <c r="M722" i="2"/>
  <c r="L722" i="2"/>
  <c r="O721" i="2"/>
  <c r="N721" i="2"/>
  <c r="M721" i="2"/>
  <c r="L721" i="2"/>
  <c r="O720" i="2"/>
  <c r="N720" i="2"/>
  <c r="M720" i="2"/>
  <c r="L720" i="2"/>
  <c r="O719" i="2"/>
  <c r="N719" i="2"/>
  <c r="M719" i="2"/>
  <c r="L719" i="2"/>
  <c r="O718" i="2"/>
  <c r="N718" i="2"/>
  <c r="M718" i="2"/>
  <c r="L718" i="2"/>
  <c r="O717" i="2"/>
  <c r="N717" i="2"/>
  <c r="M717" i="2"/>
  <c r="L717" i="2"/>
  <c r="O716" i="2"/>
  <c r="N716" i="2"/>
  <c r="M716" i="2"/>
  <c r="L716" i="2"/>
  <c r="O715" i="2"/>
  <c r="N715" i="2"/>
  <c r="M715" i="2"/>
  <c r="L715" i="2"/>
  <c r="O714" i="2"/>
  <c r="N714" i="2"/>
  <c r="M714" i="2"/>
  <c r="L714" i="2"/>
  <c r="O713" i="2"/>
  <c r="N713" i="2"/>
  <c r="M713" i="2"/>
  <c r="L713" i="2"/>
  <c r="O712" i="2"/>
  <c r="N712" i="2"/>
  <c r="M712" i="2"/>
  <c r="L712" i="2"/>
  <c r="O711" i="2"/>
  <c r="N711" i="2"/>
  <c r="M711" i="2"/>
  <c r="L711" i="2"/>
  <c r="O710" i="2"/>
  <c r="N710" i="2"/>
  <c r="M710" i="2"/>
  <c r="L710" i="2"/>
  <c r="O709" i="2"/>
  <c r="N709" i="2"/>
  <c r="M709" i="2"/>
  <c r="L709" i="2"/>
  <c r="O708" i="2"/>
  <c r="N708" i="2"/>
  <c r="M708" i="2"/>
  <c r="L708" i="2"/>
  <c r="O707" i="2"/>
  <c r="N707" i="2"/>
  <c r="M707" i="2"/>
  <c r="L707" i="2"/>
  <c r="O706" i="2"/>
  <c r="N706" i="2"/>
  <c r="M706" i="2"/>
  <c r="L706" i="2"/>
  <c r="O705" i="2"/>
  <c r="N705" i="2"/>
  <c r="M705" i="2"/>
  <c r="L705" i="2"/>
  <c r="O704" i="2"/>
  <c r="N704" i="2"/>
  <c r="M704" i="2"/>
  <c r="L704" i="2"/>
  <c r="O703" i="2"/>
  <c r="N703" i="2"/>
  <c r="M703" i="2"/>
  <c r="L703" i="2"/>
  <c r="O702" i="2"/>
  <c r="N702" i="2"/>
  <c r="M702" i="2"/>
  <c r="L702" i="2"/>
  <c r="O701" i="2"/>
  <c r="N701" i="2"/>
  <c r="M701" i="2"/>
  <c r="L701" i="2"/>
  <c r="O700" i="2"/>
  <c r="N700" i="2"/>
  <c r="M700" i="2"/>
  <c r="L700" i="2"/>
  <c r="O699" i="2"/>
  <c r="N699" i="2"/>
  <c r="M699" i="2"/>
  <c r="L699" i="2"/>
  <c r="O698" i="2"/>
  <c r="N698" i="2"/>
  <c r="M698" i="2"/>
  <c r="L698" i="2"/>
  <c r="O697" i="2"/>
  <c r="N697" i="2"/>
  <c r="M697" i="2"/>
  <c r="L697" i="2"/>
  <c r="O696" i="2"/>
  <c r="N696" i="2"/>
  <c r="M696" i="2"/>
  <c r="L696" i="2"/>
  <c r="O695" i="2"/>
  <c r="N695" i="2"/>
  <c r="M695" i="2"/>
  <c r="L695" i="2"/>
  <c r="O694" i="2"/>
  <c r="N694" i="2"/>
  <c r="M694" i="2"/>
  <c r="L694" i="2"/>
  <c r="O693" i="2"/>
  <c r="N693" i="2"/>
  <c r="M693" i="2"/>
  <c r="L693" i="2"/>
  <c r="O692" i="2"/>
  <c r="N692" i="2"/>
  <c r="M692" i="2"/>
  <c r="L692" i="2"/>
  <c r="O691" i="2"/>
  <c r="N691" i="2"/>
  <c r="M691" i="2"/>
  <c r="L691" i="2"/>
  <c r="O690" i="2"/>
  <c r="N690" i="2"/>
  <c r="M690" i="2"/>
  <c r="L690" i="2"/>
  <c r="O689" i="2"/>
  <c r="N689" i="2"/>
  <c r="M689" i="2"/>
  <c r="L689" i="2"/>
  <c r="O688" i="2"/>
  <c r="N688" i="2"/>
  <c r="M688" i="2"/>
  <c r="L688" i="2"/>
  <c r="O687" i="2"/>
  <c r="N687" i="2"/>
  <c r="M687" i="2"/>
  <c r="L687" i="2"/>
  <c r="O686" i="2"/>
  <c r="N686" i="2"/>
  <c r="M686" i="2"/>
  <c r="L686" i="2"/>
  <c r="O685" i="2"/>
  <c r="N685" i="2"/>
  <c r="M685" i="2"/>
  <c r="L685" i="2"/>
  <c r="O684" i="2"/>
  <c r="N684" i="2"/>
  <c r="M684" i="2"/>
  <c r="L684" i="2"/>
  <c r="O683" i="2"/>
  <c r="N683" i="2"/>
  <c r="M683" i="2"/>
  <c r="L683" i="2"/>
  <c r="O682" i="2"/>
  <c r="N682" i="2"/>
  <c r="M682" i="2"/>
  <c r="L682" i="2"/>
  <c r="O681" i="2"/>
  <c r="N681" i="2"/>
  <c r="M681" i="2"/>
  <c r="L681" i="2"/>
  <c r="O680" i="2"/>
  <c r="N680" i="2"/>
  <c r="M680" i="2"/>
  <c r="L680" i="2"/>
  <c r="O679" i="2"/>
  <c r="N679" i="2"/>
  <c r="M679" i="2"/>
  <c r="L679" i="2"/>
  <c r="O678" i="2"/>
  <c r="N678" i="2"/>
  <c r="M678" i="2"/>
  <c r="L678" i="2"/>
  <c r="O677" i="2"/>
  <c r="N677" i="2"/>
  <c r="M677" i="2"/>
  <c r="L677" i="2"/>
  <c r="O676" i="2"/>
  <c r="N676" i="2"/>
  <c r="M676" i="2"/>
  <c r="L676" i="2"/>
  <c r="O675" i="2"/>
  <c r="N675" i="2"/>
  <c r="M675" i="2"/>
  <c r="L675" i="2"/>
  <c r="O674" i="2"/>
  <c r="N674" i="2"/>
  <c r="M674" i="2"/>
  <c r="L674" i="2"/>
  <c r="O673" i="2"/>
  <c r="N673" i="2"/>
  <c r="M673" i="2"/>
  <c r="L673" i="2"/>
  <c r="O672" i="2"/>
  <c r="N672" i="2"/>
  <c r="M672" i="2"/>
  <c r="L672" i="2"/>
  <c r="O671" i="2"/>
  <c r="N671" i="2"/>
  <c r="M671" i="2"/>
  <c r="L671" i="2"/>
  <c r="O670" i="2"/>
  <c r="N670" i="2"/>
  <c r="M670" i="2"/>
  <c r="L670" i="2"/>
  <c r="O669" i="2"/>
  <c r="N669" i="2"/>
  <c r="M669" i="2"/>
  <c r="L669" i="2"/>
  <c r="O668" i="2"/>
  <c r="N668" i="2"/>
  <c r="M668" i="2"/>
  <c r="L668" i="2"/>
  <c r="O667" i="2"/>
  <c r="N667" i="2"/>
  <c r="M667" i="2"/>
  <c r="L667" i="2"/>
  <c r="O666" i="2"/>
  <c r="N666" i="2"/>
  <c r="M666" i="2"/>
  <c r="L666" i="2"/>
  <c r="O665" i="2"/>
  <c r="N665" i="2"/>
  <c r="M665" i="2"/>
  <c r="L665" i="2"/>
  <c r="O664" i="2"/>
  <c r="N664" i="2"/>
  <c r="M664" i="2"/>
  <c r="L664" i="2"/>
  <c r="O663" i="2"/>
  <c r="N663" i="2"/>
  <c r="M663" i="2"/>
  <c r="L663" i="2"/>
  <c r="O662" i="2"/>
  <c r="N662" i="2"/>
  <c r="M662" i="2"/>
  <c r="L662" i="2"/>
  <c r="O661" i="2"/>
  <c r="N661" i="2"/>
  <c r="M661" i="2"/>
  <c r="L661" i="2"/>
  <c r="O660" i="2"/>
  <c r="N660" i="2"/>
  <c r="M660" i="2"/>
  <c r="L660" i="2"/>
  <c r="O659" i="2"/>
  <c r="N659" i="2"/>
  <c r="M659" i="2"/>
  <c r="L659" i="2"/>
  <c r="O658" i="2"/>
  <c r="N658" i="2"/>
  <c r="M658" i="2"/>
  <c r="L658" i="2"/>
  <c r="O657" i="2"/>
  <c r="N657" i="2"/>
  <c r="M657" i="2"/>
  <c r="L657" i="2"/>
  <c r="O656" i="2"/>
  <c r="N656" i="2"/>
  <c r="M656" i="2"/>
  <c r="L656" i="2"/>
  <c r="O655" i="2"/>
  <c r="N655" i="2"/>
  <c r="M655" i="2"/>
  <c r="L655" i="2"/>
  <c r="O654" i="2"/>
  <c r="N654" i="2"/>
  <c r="M654" i="2"/>
  <c r="L654" i="2"/>
  <c r="O653" i="2"/>
  <c r="N653" i="2"/>
  <c r="M653" i="2"/>
  <c r="L653" i="2"/>
  <c r="O652" i="2"/>
  <c r="N652" i="2"/>
  <c r="M652" i="2"/>
  <c r="L652" i="2"/>
  <c r="O651" i="2"/>
  <c r="N651" i="2"/>
  <c r="M651" i="2"/>
  <c r="L651" i="2"/>
  <c r="O650" i="2"/>
  <c r="N650" i="2"/>
  <c r="M650" i="2"/>
  <c r="L650" i="2"/>
  <c r="O649" i="2"/>
  <c r="N649" i="2"/>
  <c r="M649" i="2"/>
  <c r="L649" i="2"/>
  <c r="O648" i="2"/>
  <c r="N648" i="2"/>
  <c r="M648" i="2"/>
  <c r="L648" i="2"/>
  <c r="O647" i="2"/>
  <c r="N647" i="2"/>
  <c r="M647" i="2"/>
  <c r="L647" i="2"/>
  <c r="O646" i="2"/>
  <c r="N646" i="2"/>
  <c r="M646" i="2"/>
  <c r="L646" i="2"/>
  <c r="O645" i="2"/>
  <c r="N645" i="2"/>
  <c r="M645" i="2"/>
  <c r="L645" i="2"/>
  <c r="O644" i="2"/>
  <c r="N644" i="2"/>
  <c r="M644" i="2"/>
  <c r="L644" i="2"/>
  <c r="O643" i="2"/>
  <c r="N643" i="2"/>
  <c r="M643" i="2"/>
  <c r="L643" i="2"/>
  <c r="O642" i="2"/>
  <c r="N642" i="2"/>
  <c r="M642" i="2"/>
  <c r="L642" i="2"/>
  <c r="O641" i="2"/>
  <c r="N641" i="2"/>
  <c r="M641" i="2"/>
  <c r="L641" i="2"/>
  <c r="O640" i="2"/>
  <c r="N640" i="2"/>
  <c r="M640" i="2"/>
  <c r="L640" i="2"/>
  <c r="O639" i="2"/>
  <c r="N639" i="2"/>
  <c r="M639" i="2"/>
  <c r="L639" i="2"/>
  <c r="O638" i="2"/>
  <c r="N638" i="2"/>
  <c r="M638" i="2"/>
  <c r="L638" i="2"/>
  <c r="O637" i="2"/>
  <c r="N637" i="2"/>
  <c r="M637" i="2"/>
  <c r="L637" i="2"/>
  <c r="O636" i="2"/>
  <c r="N636" i="2"/>
  <c r="M636" i="2"/>
  <c r="L636" i="2"/>
  <c r="O635" i="2"/>
  <c r="N635" i="2"/>
  <c r="M635" i="2"/>
  <c r="L635" i="2"/>
  <c r="O634" i="2"/>
  <c r="N634" i="2"/>
  <c r="M634" i="2"/>
  <c r="L634" i="2"/>
  <c r="O633" i="2"/>
  <c r="N633" i="2"/>
  <c r="M633" i="2"/>
  <c r="L633" i="2"/>
  <c r="O632" i="2"/>
  <c r="N632" i="2"/>
  <c r="M632" i="2"/>
  <c r="L632" i="2"/>
  <c r="O631" i="2"/>
  <c r="N631" i="2"/>
  <c r="M631" i="2"/>
  <c r="L631" i="2"/>
  <c r="O630" i="2"/>
  <c r="N630" i="2"/>
  <c r="M630" i="2"/>
  <c r="L630" i="2"/>
  <c r="O629" i="2"/>
  <c r="N629" i="2"/>
  <c r="M629" i="2"/>
  <c r="L629" i="2"/>
  <c r="O628" i="2"/>
  <c r="N628" i="2"/>
  <c r="M628" i="2"/>
  <c r="L628" i="2"/>
  <c r="O627" i="2"/>
  <c r="N627" i="2"/>
  <c r="M627" i="2"/>
  <c r="L627" i="2"/>
  <c r="O626" i="2"/>
  <c r="N626" i="2"/>
  <c r="M626" i="2"/>
  <c r="L626" i="2"/>
  <c r="O625" i="2"/>
  <c r="N625" i="2"/>
  <c r="M625" i="2"/>
  <c r="L625" i="2"/>
  <c r="O624" i="2"/>
  <c r="N624" i="2"/>
  <c r="M624" i="2"/>
  <c r="L624" i="2"/>
  <c r="O623" i="2"/>
  <c r="N623" i="2"/>
  <c r="M623" i="2"/>
  <c r="L623" i="2"/>
  <c r="O622" i="2"/>
  <c r="N622" i="2"/>
  <c r="M622" i="2"/>
  <c r="L622" i="2"/>
  <c r="O621" i="2"/>
  <c r="N621" i="2"/>
  <c r="M621" i="2"/>
  <c r="L621" i="2"/>
  <c r="O620" i="2"/>
  <c r="N620" i="2"/>
  <c r="M620" i="2"/>
  <c r="L620" i="2"/>
  <c r="O619" i="2"/>
  <c r="N619" i="2"/>
  <c r="M619" i="2"/>
  <c r="L619" i="2"/>
  <c r="O618" i="2"/>
  <c r="N618" i="2"/>
  <c r="M618" i="2"/>
  <c r="L618" i="2"/>
  <c r="O617" i="2"/>
  <c r="N617" i="2"/>
  <c r="M617" i="2"/>
  <c r="L617" i="2"/>
  <c r="O616" i="2"/>
  <c r="N616" i="2"/>
  <c r="M616" i="2"/>
  <c r="L616" i="2"/>
  <c r="O615" i="2"/>
  <c r="N615" i="2"/>
  <c r="M615" i="2"/>
  <c r="L615" i="2"/>
  <c r="O614" i="2"/>
  <c r="N614" i="2"/>
  <c r="M614" i="2"/>
  <c r="L614" i="2"/>
  <c r="O613" i="2"/>
  <c r="N613" i="2"/>
  <c r="M613" i="2"/>
  <c r="L613" i="2"/>
  <c r="O612" i="2"/>
  <c r="N612" i="2"/>
  <c r="M612" i="2"/>
  <c r="L612" i="2"/>
  <c r="O611" i="2"/>
  <c r="N611" i="2"/>
  <c r="M611" i="2"/>
  <c r="L611" i="2"/>
  <c r="O610" i="2"/>
  <c r="N610" i="2"/>
  <c r="M610" i="2"/>
  <c r="L610" i="2"/>
  <c r="O609" i="2"/>
  <c r="N609" i="2"/>
  <c r="M609" i="2"/>
  <c r="L609" i="2"/>
  <c r="O608" i="2"/>
  <c r="N608" i="2"/>
  <c r="M608" i="2"/>
  <c r="L608" i="2"/>
  <c r="O607" i="2"/>
  <c r="N607" i="2"/>
  <c r="M607" i="2"/>
  <c r="L607" i="2"/>
  <c r="O606" i="2"/>
  <c r="N606" i="2"/>
  <c r="M606" i="2"/>
  <c r="L606" i="2"/>
  <c r="O605" i="2"/>
  <c r="N605" i="2"/>
  <c r="M605" i="2"/>
  <c r="L605" i="2"/>
  <c r="O604" i="2"/>
  <c r="N604" i="2"/>
  <c r="M604" i="2"/>
  <c r="L604" i="2"/>
  <c r="O603" i="2"/>
  <c r="N603" i="2"/>
  <c r="M603" i="2"/>
  <c r="L603" i="2"/>
  <c r="O602" i="2"/>
  <c r="N602" i="2"/>
  <c r="M602" i="2"/>
  <c r="L602" i="2"/>
  <c r="O601" i="2"/>
  <c r="N601" i="2"/>
  <c r="M601" i="2"/>
  <c r="L601" i="2"/>
  <c r="O600" i="2"/>
  <c r="N600" i="2"/>
  <c r="M600" i="2"/>
  <c r="L600" i="2"/>
  <c r="O599" i="2"/>
  <c r="N599" i="2"/>
  <c r="M599" i="2"/>
  <c r="L599" i="2"/>
  <c r="O598" i="2"/>
  <c r="N598" i="2"/>
  <c r="M598" i="2"/>
  <c r="L598" i="2"/>
  <c r="O597" i="2"/>
  <c r="N597" i="2"/>
  <c r="M597" i="2"/>
  <c r="L597" i="2"/>
  <c r="O596" i="2"/>
  <c r="N596" i="2"/>
  <c r="M596" i="2"/>
  <c r="L596" i="2"/>
  <c r="O595" i="2"/>
  <c r="N595" i="2"/>
  <c r="M595" i="2"/>
  <c r="L595" i="2"/>
  <c r="O594" i="2"/>
  <c r="N594" i="2"/>
  <c r="M594" i="2"/>
  <c r="L594" i="2"/>
  <c r="O593" i="2"/>
  <c r="N593" i="2"/>
  <c r="M593" i="2"/>
  <c r="L593" i="2"/>
  <c r="O592" i="2"/>
  <c r="N592" i="2"/>
  <c r="M592" i="2"/>
  <c r="L592" i="2"/>
  <c r="O591" i="2"/>
  <c r="N591" i="2"/>
  <c r="M591" i="2"/>
  <c r="L591" i="2"/>
  <c r="O590" i="2"/>
  <c r="N590" i="2"/>
  <c r="M590" i="2"/>
  <c r="L590" i="2"/>
  <c r="O589" i="2"/>
  <c r="N589" i="2"/>
  <c r="M589" i="2"/>
  <c r="L589" i="2"/>
  <c r="O588" i="2"/>
  <c r="N588" i="2"/>
  <c r="M588" i="2"/>
  <c r="L588" i="2"/>
  <c r="O587" i="2"/>
  <c r="N587" i="2"/>
  <c r="M587" i="2"/>
  <c r="L587" i="2"/>
  <c r="O586" i="2"/>
  <c r="N586" i="2"/>
  <c r="M586" i="2"/>
  <c r="L586" i="2"/>
  <c r="O585" i="2"/>
  <c r="N585" i="2"/>
  <c r="M585" i="2"/>
  <c r="L585" i="2"/>
  <c r="O584" i="2"/>
  <c r="N584" i="2"/>
  <c r="M584" i="2"/>
  <c r="L584" i="2"/>
  <c r="O583" i="2"/>
  <c r="N583" i="2"/>
  <c r="M583" i="2"/>
  <c r="L583" i="2"/>
  <c r="O582" i="2"/>
  <c r="N582" i="2"/>
  <c r="M582" i="2"/>
  <c r="L582" i="2"/>
  <c r="O581" i="2"/>
  <c r="N581" i="2"/>
  <c r="M581" i="2"/>
  <c r="L581" i="2"/>
  <c r="O580" i="2"/>
  <c r="N580" i="2"/>
  <c r="M580" i="2"/>
  <c r="L580" i="2"/>
  <c r="O579" i="2"/>
  <c r="N579" i="2"/>
  <c r="M579" i="2"/>
  <c r="L579" i="2"/>
  <c r="O578" i="2"/>
  <c r="N578" i="2"/>
  <c r="M578" i="2"/>
  <c r="L578" i="2"/>
  <c r="O577" i="2"/>
  <c r="N577" i="2"/>
  <c r="M577" i="2"/>
  <c r="L577" i="2"/>
  <c r="O576" i="2"/>
  <c r="N576" i="2"/>
  <c r="M576" i="2"/>
  <c r="L576" i="2"/>
  <c r="O575" i="2"/>
  <c r="N575" i="2"/>
  <c r="M575" i="2"/>
  <c r="L575" i="2"/>
  <c r="O574" i="2"/>
  <c r="N574" i="2"/>
  <c r="M574" i="2"/>
  <c r="L574" i="2"/>
  <c r="O573" i="2"/>
  <c r="N573" i="2"/>
  <c r="M573" i="2"/>
  <c r="L573" i="2"/>
  <c r="O572" i="2"/>
  <c r="N572" i="2"/>
  <c r="M572" i="2"/>
  <c r="L572" i="2"/>
  <c r="O571" i="2"/>
  <c r="N571" i="2"/>
  <c r="M571" i="2"/>
  <c r="L571" i="2"/>
  <c r="O570" i="2"/>
  <c r="N570" i="2"/>
  <c r="M570" i="2"/>
  <c r="L570" i="2"/>
  <c r="O569" i="2"/>
  <c r="N569" i="2"/>
  <c r="M569" i="2"/>
  <c r="L569" i="2"/>
  <c r="O568" i="2"/>
  <c r="N568" i="2"/>
  <c r="M568" i="2"/>
  <c r="L568" i="2"/>
  <c r="O567" i="2"/>
  <c r="N567" i="2"/>
  <c r="M567" i="2"/>
  <c r="L567" i="2"/>
  <c r="O566" i="2"/>
  <c r="N566" i="2"/>
  <c r="M566" i="2"/>
  <c r="L566" i="2"/>
  <c r="O565" i="2"/>
  <c r="N565" i="2"/>
  <c r="M565" i="2"/>
  <c r="L565" i="2"/>
  <c r="O564" i="2"/>
  <c r="N564" i="2"/>
  <c r="M564" i="2"/>
  <c r="L564" i="2"/>
  <c r="O563" i="2"/>
  <c r="N563" i="2"/>
  <c r="M563" i="2"/>
  <c r="L563" i="2"/>
  <c r="O562" i="2"/>
  <c r="N562" i="2"/>
  <c r="M562" i="2"/>
  <c r="L562" i="2"/>
  <c r="O561" i="2"/>
  <c r="N561" i="2"/>
  <c r="M561" i="2"/>
  <c r="L561" i="2"/>
  <c r="O560" i="2"/>
  <c r="N560" i="2"/>
  <c r="M560" i="2"/>
  <c r="L560" i="2"/>
  <c r="O559" i="2"/>
  <c r="N559" i="2"/>
  <c r="M559" i="2"/>
  <c r="L559" i="2"/>
  <c r="O558" i="2"/>
  <c r="N558" i="2"/>
  <c r="M558" i="2"/>
  <c r="L558" i="2"/>
  <c r="O557" i="2"/>
  <c r="N557" i="2"/>
  <c r="M557" i="2"/>
  <c r="L557" i="2"/>
  <c r="O556" i="2"/>
  <c r="N556" i="2"/>
  <c r="M556" i="2"/>
  <c r="L556" i="2"/>
  <c r="O555" i="2"/>
  <c r="N555" i="2"/>
  <c r="M555" i="2"/>
  <c r="L555" i="2"/>
  <c r="O554" i="2"/>
  <c r="N554" i="2"/>
  <c r="M554" i="2"/>
  <c r="L554" i="2"/>
  <c r="O553" i="2"/>
  <c r="N553" i="2"/>
  <c r="M553" i="2"/>
  <c r="L553" i="2"/>
  <c r="O552" i="2"/>
  <c r="N552" i="2"/>
  <c r="M552" i="2"/>
  <c r="L552" i="2"/>
  <c r="O551" i="2"/>
  <c r="N551" i="2"/>
  <c r="M551" i="2"/>
  <c r="L551" i="2"/>
  <c r="O550" i="2"/>
  <c r="N550" i="2"/>
  <c r="M550" i="2"/>
  <c r="L550" i="2"/>
  <c r="O549" i="2"/>
  <c r="N549" i="2"/>
  <c r="M549" i="2"/>
  <c r="L549" i="2"/>
  <c r="O548" i="2"/>
  <c r="N548" i="2"/>
  <c r="M548" i="2"/>
  <c r="L548" i="2"/>
  <c r="O547" i="2"/>
  <c r="N547" i="2"/>
  <c r="M547" i="2"/>
  <c r="L547" i="2"/>
  <c r="O546" i="2"/>
  <c r="N546" i="2"/>
  <c r="M546" i="2"/>
  <c r="L546" i="2"/>
  <c r="O545" i="2"/>
  <c r="N545" i="2"/>
  <c r="M545" i="2"/>
  <c r="L545" i="2"/>
  <c r="O544" i="2"/>
  <c r="N544" i="2"/>
  <c r="M544" i="2"/>
  <c r="L544" i="2"/>
  <c r="O543" i="2"/>
  <c r="N543" i="2"/>
  <c r="M543" i="2"/>
  <c r="L543" i="2"/>
  <c r="O542" i="2"/>
  <c r="N542" i="2"/>
  <c r="M542" i="2"/>
  <c r="L542" i="2"/>
  <c r="O541" i="2"/>
  <c r="N541" i="2"/>
  <c r="M541" i="2"/>
  <c r="L541" i="2"/>
  <c r="O540" i="2"/>
  <c r="N540" i="2"/>
  <c r="M540" i="2"/>
  <c r="L540" i="2"/>
  <c r="O539" i="2"/>
  <c r="N539" i="2"/>
  <c r="M539" i="2"/>
  <c r="L539" i="2"/>
  <c r="O538" i="2"/>
  <c r="N538" i="2"/>
  <c r="M538" i="2"/>
  <c r="L538" i="2"/>
  <c r="O537" i="2"/>
  <c r="N537" i="2"/>
  <c r="M537" i="2"/>
  <c r="L537" i="2"/>
  <c r="O536" i="2"/>
  <c r="N536" i="2"/>
  <c r="M536" i="2"/>
  <c r="L536" i="2"/>
  <c r="O535" i="2"/>
  <c r="N535" i="2"/>
  <c r="M535" i="2"/>
  <c r="L535" i="2"/>
  <c r="O534" i="2"/>
  <c r="N534" i="2"/>
  <c r="M534" i="2"/>
  <c r="L534" i="2"/>
  <c r="O533" i="2"/>
  <c r="N533" i="2"/>
  <c r="M533" i="2"/>
  <c r="L533" i="2"/>
  <c r="O532" i="2"/>
  <c r="N532" i="2"/>
  <c r="M532" i="2"/>
  <c r="L532" i="2"/>
  <c r="O531" i="2"/>
  <c r="N531" i="2"/>
  <c r="M531" i="2"/>
  <c r="L531" i="2"/>
  <c r="O530" i="2"/>
  <c r="N530" i="2"/>
  <c r="M530" i="2"/>
  <c r="L530" i="2"/>
  <c r="O529" i="2"/>
  <c r="N529" i="2"/>
  <c r="M529" i="2"/>
  <c r="L529" i="2"/>
  <c r="O528" i="2"/>
  <c r="N528" i="2"/>
  <c r="M528" i="2"/>
  <c r="L528" i="2"/>
  <c r="O527" i="2"/>
  <c r="N527" i="2"/>
  <c r="M527" i="2"/>
  <c r="L527" i="2"/>
  <c r="O526" i="2"/>
  <c r="N526" i="2"/>
  <c r="M526" i="2"/>
  <c r="L526" i="2"/>
  <c r="O525" i="2"/>
  <c r="N525" i="2"/>
  <c r="M525" i="2"/>
  <c r="L525" i="2"/>
  <c r="O524" i="2"/>
  <c r="N524" i="2"/>
  <c r="M524" i="2"/>
  <c r="L524" i="2"/>
  <c r="O523" i="2"/>
  <c r="N523" i="2"/>
  <c r="M523" i="2"/>
  <c r="L523" i="2"/>
  <c r="O522" i="2"/>
  <c r="N522" i="2"/>
  <c r="M522" i="2"/>
  <c r="L522" i="2"/>
  <c r="O521" i="2"/>
  <c r="N521" i="2"/>
  <c r="M521" i="2"/>
  <c r="L521" i="2"/>
  <c r="O520" i="2"/>
  <c r="N520" i="2"/>
  <c r="M520" i="2"/>
  <c r="L520" i="2"/>
  <c r="O519" i="2"/>
  <c r="N519" i="2"/>
  <c r="M519" i="2"/>
  <c r="L519" i="2"/>
  <c r="O518" i="2"/>
  <c r="N518" i="2"/>
  <c r="M518" i="2"/>
  <c r="L518" i="2"/>
  <c r="O517" i="2"/>
  <c r="N517" i="2"/>
  <c r="M517" i="2"/>
  <c r="L517" i="2"/>
  <c r="O516" i="2"/>
  <c r="N516" i="2"/>
  <c r="M516" i="2"/>
  <c r="L516" i="2"/>
  <c r="O515" i="2"/>
  <c r="N515" i="2"/>
  <c r="M515" i="2"/>
  <c r="L515" i="2"/>
  <c r="O514" i="2"/>
  <c r="N514" i="2"/>
  <c r="M514" i="2"/>
  <c r="L514" i="2"/>
  <c r="O513" i="2"/>
  <c r="N513" i="2"/>
  <c r="M513" i="2"/>
  <c r="L513" i="2"/>
  <c r="O512" i="2"/>
  <c r="N512" i="2"/>
  <c r="M512" i="2"/>
  <c r="L512" i="2"/>
  <c r="O511" i="2"/>
  <c r="N511" i="2"/>
  <c r="M511" i="2"/>
  <c r="L511" i="2"/>
  <c r="O510" i="2"/>
  <c r="N510" i="2"/>
  <c r="M510" i="2"/>
  <c r="L510" i="2"/>
  <c r="O509" i="2"/>
  <c r="N509" i="2"/>
  <c r="M509" i="2"/>
  <c r="L509" i="2"/>
  <c r="O508" i="2"/>
  <c r="N508" i="2"/>
  <c r="M508" i="2"/>
  <c r="L508" i="2"/>
  <c r="O507" i="2"/>
  <c r="N507" i="2"/>
  <c r="M507" i="2"/>
  <c r="L507" i="2"/>
  <c r="O506" i="2"/>
  <c r="N506" i="2"/>
  <c r="M506" i="2"/>
  <c r="L506" i="2"/>
  <c r="O505" i="2"/>
  <c r="N505" i="2"/>
  <c r="M505" i="2"/>
  <c r="L505" i="2"/>
  <c r="O504" i="2"/>
  <c r="N504" i="2"/>
  <c r="M504" i="2"/>
  <c r="L504" i="2"/>
  <c r="O503" i="2"/>
  <c r="N503" i="2"/>
  <c r="M503" i="2"/>
  <c r="L503" i="2"/>
  <c r="O502" i="2"/>
  <c r="N502" i="2"/>
  <c r="M502" i="2"/>
  <c r="L502" i="2"/>
  <c r="O501" i="2"/>
  <c r="N501" i="2"/>
  <c r="M501" i="2"/>
  <c r="L501" i="2"/>
  <c r="O500" i="2"/>
  <c r="N500" i="2"/>
  <c r="M500" i="2"/>
  <c r="L500" i="2"/>
  <c r="O499" i="2"/>
  <c r="N499" i="2"/>
  <c r="M499" i="2"/>
  <c r="L499" i="2"/>
  <c r="O498" i="2"/>
  <c r="N498" i="2"/>
  <c r="M498" i="2"/>
  <c r="L498" i="2"/>
  <c r="O497" i="2"/>
  <c r="N497" i="2"/>
  <c r="M497" i="2"/>
  <c r="L497" i="2"/>
  <c r="O496" i="2"/>
  <c r="N496" i="2"/>
  <c r="M496" i="2"/>
  <c r="L496" i="2"/>
  <c r="O495" i="2"/>
  <c r="N495" i="2"/>
  <c r="M495" i="2"/>
  <c r="L495" i="2"/>
  <c r="O494" i="2"/>
  <c r="N494" i="2"/>
  <c r="M494" i="2"/>
  <c r="L494" i="2"/>
  <c r="O493" i="2"/>
  <c r="N493" i="2"/>
  <c r="M493" i="2"/>
  <c r="L493" i="2"/>
  <c r="O492" i="2"/>
  <c r="N492" i="2"/>
  <c r="M492" i="2"/>
  <c r="L492" i="2"/>
  <c r="O491" i="2"/>
  <c r="N491" i="2"/>
  <c r="M491" i="2"/>
  <c r="L491" i="2"/>
  <c r="O490" i="2"/>
  <c r="N490" i="2"/>
  <c r="M490" i="2"/>
  <c r="L490" i="2"/>
  <c r="O489" i="2"/>
  <c r="N489" i="2"/>
  <c r="M489" i="2"/>
  <c r="L489" i="2"/>
  <c r="O488" i="2"/>
  <c r="N488" i="2"/>
  <c r="M488" i="2"/>
  <c r="L488" i="2"/>
  <c r="O487" i="2"/>
  <c r="N487" i="2"/>
  <c r="M487" i="2"/>
  <c r="L487" i="2"/>
  <c r="O486" i="2"/>
  <c r="N486" i="2"/>
  <c r="M486" i="2"/>
  <c r="L486" i="2"/>
  <c r="O485" i="2"/>
  <c r="N485" i="2"/>
  <c r="M485" i="2"/>
  <c r="L485" i="2"/>
  <c r="O484" i="2"/>
  <c r="N484" i="2"/>
  <c r="M484" i="2"/>
  <c r="L484" i="2"/>
  <c r="O483" i="2"/>
  <c r="N483" i="2"/>
  <c r="M483" i="2"/>
  <c r="L483" i="2"/>
  <c r="O482" i="2"/>
  <c r="N482" i="2"/>
  <c r="M482" i="2"/>
  <c r="L482" i="2"/>
  <c r="O481" i="2"/>
  <c r="N481" i="2"/>
  <c r="M481" i="2"/>
  <c r="L481" i="2"/>
  <c r="O480" i="2"/>
  <c r="N480" i="2"/>
  <c r="M480" i="2"/>
  <c r="L480" i="2"/>
  <c r="O479" i="2"/>
  <c r="N479" i="2"/>
  <c r="M479" i="2"/>
  <c r="L479" i="2"/>
  <c r="O478" i="2"/>
  <c r="N478" i="2"/>
  <c r="M478" i="2"/>
  <c r="L478" i="2"/>
  <c r="O477" i="2"/>
  <c r="N477" i="2"/>
  <c r="M477" i="2"/>
  <c r="L477" i="2"/>
  <c r="O476" i="2"/>
  <c r="N476" i="2"/>
  <c r="M476" i="2"/>
  <c r="L476" i="2"/>
  <c r="O475" i="2"/>
  <c r="N475" i="2"/>
  <c r="M475" i="2"/>
  <c r="L475" i="2"/>
  <c r="O474" i="2"/>
  <c r="N474" i="2"/>
  <c r="M474" i="2"/>
  <c r="L474" i="2"/>
  <c r="O473" i="2"/>
  <c r="N473" i="2"/>
  <c r="M473" i="2"/>
  <c r="L473" i="2"/>
  <c r="O472" i="2"/>
  <c r="N472" i="2"/>
  <c r="M472" i="2"/>
  <c r="L472" i="2"/>
  <c r="O471" i="2"/>
  <c r="N471" i="2"/>
  <c r="M471" i="2"/>
  <c r="L471" i="2"/>
  <c r="O470" i="2"/>
  <c r="N470" i="2"/>
  <c r="M470" i="2"/>
  <c r="L470" i="2"/>
  <c r="O469" i="2"/>
  <c r="N469" i="2"/>
  <c r="M469" i="2"/>
  <c r="L469" i="2"/>
  <c r="O468" i="2"/>
  <c r="N468" i="2"/>
  <c r="M468" i="2"/>
  <c r="L468" i="2"/>
  <c r="O467" i="2"/>
  <c r="N467" i="2"/>
  <c r="M467" i="2"/>
  <c r="L467" i="2"/>
  <c r="O466" i="2"/>
  <c r="N466" i="2"/>
  <c r="M466" i="2"/>
  <c r="L466" i="2"/>
  <c r="O465" i="2"/>
  <c r="N465" i="2"/>
  <c r="M465" i="2"/>
  <c r="L465" i="2"/>
  <c r="O464" i="2"/>
  <c r="N464" i="2"/>
  <c r="M464" i="2"/>
  <c r="L464" i="2"/>
  <c r="O463" i="2"/>
  <c r="N463" i="2"/>
  <c r="M463" i="2"/>
  <c r="L463" i="2"/>
  <c r="O462" i="2"/>
  <c r="N462" i="2"/>
  <c r="M462" i="2"/>
  <c r="L462" i="2"/>
  <c r="O461" i="2"/>
  <c r="N461" i="2"/>
  <c r="M461" i="2"/>
  <c r="L461" i="2"/>
  <c r="O460" i="2"/>
  <c r="N460" i="2"/>
  <c r="M460" i="2"/>
  <c r="L460" i="2"/>
  <c r="O459" i="2"/>
  <c r="N459" i="2"/>
  <c r="M459" i="2"/>
  <c r="L459" i="2"/>
  <c r="O458" i="2"/>
  <c r="N458" i="2"/>
  <c r="M458" i="2"/>
  <c r="L458" i="2"/>
  <c r="O457" i="2"/>
  <c r="N457" i="2"/>
  <c r="M457" i="2"/>
  <c r="L457" i="2"/>
  <c r="O456" i="2"/>
  <c r="N456" i="2"/>
  <c r="M456" i="2"/>
  <c r="L456" i="2"/>
  <c r="O455" i="2"/>
  <c r="N455" i="2"/>
  <c r="M455" i="2"/>
  <c r="L455" i="2"/>
  <c r="O454" i="2"/>
  <c r="N454" i="2"/>
  <c r="M454" i="2"/>
  <c r="L454" i="2"/>
  <c r="O453" i="2"/>
  <c r="N453" i="2"/>
  <c r="M453" i="2"/>
  <c r="L453" i="2"/>
  <c r="O452" i="2"/>
  <c r="N452" i="2"/>
  <c r="M452" i="2"/>
  <c r="L452" i="2"/>
  <c r="O451" i="2"/>
  <c r="N451" i="2"/>
  <c r="M451" i="2"/>
  <c r="L451" i="2"/>
  <c r="O450" i="2"/>
  <c r="N450" i="2"/>
  <c r="M450" i="2"/>
  <c r="L450" i="2"/>
  <c r="O449" i="2"/>
  <c r="N449" i="2"/>
  <c r="M449" i="2"/>
  <c r="L449" i="2"/>
  <c r="O448" i="2"/>
  <c r="N448" i="2"/>
  <c r="M448" i="2"/>
  <c r="L448" i="2"/>
  <c r="O447" i="2"/>
  <c r="N447" i="2"/>
  <c r="M447" i="2"/>
  <c r="L447" i="2"/>
  <c r="O446" i="2"/>
  <c r="N446" i="2"/>
  <c r="M446" i="2"/>
  <c r="L446" i="2"/>
  <c r="O445" i="2"/>
  <c r="N445" i="2"/>
  <c r="M445" i="2"/>
  <c r="L445" i="2"/>
  <c r="O444" i="2"/>
  <c r="N444" i="2"/>
  <c r="M444" i="2"/>
  <c r="L444" i="2"/>
  <c r="O443" i="2"/>
  <c r="N443" i="2"/>
  <c r="M443" i="2"/>
  <c r="L443" i="2"/>
  <c r="O442" i="2"/>
  <c r="N442" i="2"/>
  <c r="M442" i="2"/>
  <c r="L442" i="2"/>
  <c r="O441" i="2"/>
  <c r="N441" i="2"/>
  <c r="M441" i="2"/>
  <c r="L441" i="2"/>
  <c r="O440" i="2"/>
  <c r="N440" i="2"/>
  <c r="M440" i="2"/>
  <c r="L440" i="2"/>
  <c r="O439" i="2"/>
  <c r="N439" i="2"/>
  <c r="M439" i="2"/>
  <c r="L439" i="2"/>
  <c r="O438" i="2"/>
  <c r="N438" i="2"/>
  <c r="M438" i="2"/>
  <c r="L438" i="2"/>
  <c r="O437" i="2"/>
  <c r="N437" i="2"/>
  <c r="M437" i="2"/>
  <c r="L437" i="2"/>
  <c r="O436" i="2"/>
  <c r="N436" i="2"/>
  <c r="M436" i="2"/>
  <c r="L436" i="2"/>
  <c r="O435" i="2"/>
  <c r="N435" i="2"/>
  <c r="M435" i="2"/>
  <c r="L435" i="2"/>
  <c r="O434" i="2"/>
  <c r="N434" i="2"/>
  <c r="M434" i="2"/>
  <c r="L434" i="2"/>
  <c r="O433" i="2"/>
  <c r="N433" i="2"/>
  <c r="M433" i="2"/>
  <c r="L433" i="2"/>
  <c r="O432" i="2"/>
  <c r="N432" i="2"/>
  <c r="M432" i="2"/>
  <c r="L432" i="2"/>
  <c r="O431" i="2"/>
  <c r="N431" i="2"/>
  <c r="M431" i="2"/>
  <c r="L431" i="2"/>
  <c r="O430" i="2"/>
  <c r="N430" i="2"/>
  <c r="M430" i="2"/>
  <c r="L430" i="2"/>
  <c r="O429" i="2"/>
  <c r="N429" i="2"/>
  <c r="M429" i="2"/>
  <c r="L429" i="2"/>
  <c r="O428" i="2"/>
  <c r="N428" i="2"/>
  <c r="M428" i="2"/>
  <c r="L428" i="2"/>
  <c r="O427" i="2"/>
  <c r="N427" i="2"/>
  <c r="M427" i="2"/>
  <c r="L427" i="2"/>
  <c r="O426" i="2"/>
  <c r="N426" i="2"/>
  <c r="M426" i="2"/>
  <c r="L426" i="2"/>
  <c r="O425" i="2"/>
  <c r="N425" i="2"/>
  <c r="M425" i="2"/>
  <c r="L425" i="2"/>
  <c r="O424" i="2"/>
  <c r="N424" i="2"/>
  <c r="M424" i="2"/>
  <c r="L424" i="2"/>
  <c r="O423" i="2"/>
  <c r="N423" i="2"/>
  <c r="M423" i="2"/>
  <c r="L423" i="2"/>
  <c r="O422" i="2"/>
  <c r="N422" i="2"/>
  <c r="M422" i="2"/>
  <c r="L422" i="2"/>
  <c r="O421" i="2"/>
  <c r="N421" i="2"/>
  <c r="M421" i="2"/>
  <c r="L421" i="2"/>
  <c r="O420" i="2"/>
  <c r="N420" i="2"/>
  <c r="M420" i="2"/>
  <c r="L420" i="2"/>
  <c r="O419" i="2"/>
  <c r="N419" i="2"/>
  <c r="M419" i="2"/>
  <c r="L419" i="2"/>
  <c r="O418" i="2"/>
  <c r="N418" i="2"/>
  <c r="M418" i="2"/>
  <c r="L418" i="2"/>
  <c r="O417" i="2"/>
  <c r="N417" i="2"/>
  <c r="M417" i="2"/>
  <c r="L417" i="2"/>
  <c r="O416" i="2"/>
  <c r="N416" i="2"/>
  <c r="M416" i="2"/>
  <c r="L416" i="2"/>
  <c r="O415" i="2"/>
  <c r="N415" i="2"/>
  <c r="M415" i="2"/>
  <c r="L415" i="2"/>
  <c r="O414" i="2"/>
  <c r="N414" i="2"/>
  <c r="M414" i="2"/>
  <c r="L414" i="2"/>
  <c r="O413" i="2"/>
  <c r="N413" i="2"/>
  <c r="M413" i="2"/>
  <c r="L413" i="2"/>
  <c r="O412" i="2"/>
  <c r="N412" i="2"/>
  <c r="M412" i="2"/>
  <c r="L412" i="2"/>
  <c r="O411" i="2"/>
  <c r="N411" i="2"/>
  <c r="M411" i="2"/>
  <c r="L411" i="2"/>
  <c r="O410" i="2"/>
  <c r="N410" i="2"/>
  <c r="M410" i="2"/>
  <c r="L410" i="2"/>
  <c r="O409" i="2"/>
  <c r="N409" i="2"/>
  <c r="M409" i="2"/>
  <c r="L409" i="2"/>
  <c r="O408" i="2"/>
  <c r="N408" i="2"/>
  <c r="M408" i="2"/>
  <c r="L408" i="2"/>
  <c r="O407" i="2"/>
  <c r="N407" i="2"/>
  <c r="M407" i="2"/>
  <c r="L407" i="2"/>
  <c r="O406" i="2"/>
  <c r="N406" i="2"/>
  <c r="M406" i="2"/>
  <c r="L406" i="2"/>
  <c r="O405" i="2"/>
  <c r="N405" i="2"/>
  <c r="M405" i="2"/>
  <c r="L405" i="2"/>
  <c r="O404" i="2"/>
  <c r="N404" i="2"/>
  <c r="M404" i="2"/>
  <c r="L404" i="2"/>
  <c r="O403" i="2"/>
  <c r="N403" i="2"/>
  <c r="M403" i="2"/>
  <c r="L403" i="2"/>
  <c r="O402" i="2"/>
  <c r="N402" i="2"/>
  <c r="M402" i="2"/>
  <c r="L402" i="2"/>
  <c r="O401" i="2"/>
  <c r="N401" i="2"/>
  <c r="M401" i="2"/>
  <c r="L401" i="2"/>
  <c r="O400" i="2"/>
  <c r="N400" i="2"/>
  <c r="M400" i="2"/>
  <c r="L400" i="2"/>
  <c r="O399" i="2"/>
  <c r="N399" i="2"/>
  <c r="M399" i="2"/>
  <c r="L399" i="2"/>
  <c r="O398" i="2"/>
  <c r="N398" i="2"/>
  <c r="M398" i="2"/>
  <c r="L398" i="2"/>
  <c r="O397" i="2"/>
  <c r="N397" i="2"/>
  <c r="M397" i="2"/>
  <c r="L397" i="2"/>
  <c r="O396" i="2"/>
  <c r="N396" i="2"/>
  <c r="M396" i="2"/>
  <c r="L396" i="2"/>
  <c r="O395" i="2"/>
  <c r="N395" i="2"/>
  <c r="M395" i="2"/>
  <c r="L395" i="2"/>
  <c r="O394" i="2"/>
  <c r="N394" i="2"/>
  <c r="M394" i="2"/>
  <c r="L394" i="2"/>
  <c r="O393" i="2"/>
  <c r="N393" i="2"/>
  <c r="M393" i="2"/>
  <c r="L393" i="2"/>
  <c r="O392" i="2"/>
  <c r="N392" i="2"/>
  <c r="M392" i="2"/>
  <c r="L392" i="2"/>
  <c r="O391" i="2"/>
  <c r="N391" i="2"/>
  <c r="M391" i="2"/>
  <c r="L391" i="2"/>
  <c r="O390" i="2"/>
  <c r="N390" i="2"/>
  <c r="M390" i="2"/>
  <c r="L390" i="2"/>
  <c r="O389" i="2"/>
  <c r="N389" i="2"/>
  <c r="M389" i="2"/>
  <c r="L389" i="2"/>
  <c r="O388" i="2"/>
  <c r="N388" i="2"/>
  <c r="M388" i="2"/>
  <c r="L388" i="2"/>
  <c r="O387" i="2"/>
  <c r="N387" i="2"/>
  <c r="M387" i="2"/>
  <c r="L387" i="2"/>
  <c r="O386" i="2"/>
  <c r="N386" i="2"/>
  <c r="M386" i="2"/>
  <c r="L386" i="2"/>
  <c r="O385" i="2"/>
  <c r="N385" i="2"/>
  <c r="M385" i="2"/>
  <c r="L385" i="2"/>
  <c r="O384" i="2"/>
  <c r="N384" i="2"/>
  <c r="M384" i="2"/>
  <c r="L384" i="2"/>
  <c r="O383" i="2"/>
  <c r="N383" i="2"/>
  <c r="M383" i="2"/>
  <c r="L383" i="2"/>
  <c r="O382" i="2"/>
  <c r="N382" i="2"/>
  <c r="M382" i="2"/>
  <c r="L382" i="2"/>
  <c r="O381" i="2"/>
  <c r="N381" i="2"/>
  <c r="M381" i="2"/>
  <c r="L381" i="2"/>
  <c r="O380" i="2"/>
  <c r="N380" i="2"/>
  <c r="M380" i="2"/>
  <c r="L380" i="2"/>
  <c r="O379" i="2"/>
  <c r="N379" i="2"/>
  <c r="M379" i="2"/>
  <c r="L379" i="2"/>
  <c r="O378" i="2"/>
  <c r="N378" i="2"/>
  <c r="M378" i="2"/>
  <c r="L378" i="2"/>
  <c r="O377" i="2"/>
  <c r="N377" i="2"/>
  <c r="M377" i="2"/>
  <c r="L377" i="2"/>
  <c r="O376" i="2"/>
  <c r="N376" i="2"/>
  <c r="M376" i="2"/>
  <c r="L376" i="2"/>
  <c r="O375" i="2"/>
  <c r="N375" i="2"/>
  <c r="M375" i="2"/>
  <c r="L375" i="2"/>
  <c r="O374" i="2"/>
  <c r="N374" i="2"/>
  <c r="M374" i="2"/>
  <c r="L374" i="2"/>
  <c r="O373" i="2"/>
  <c r="N373" i="2"/>
  <c r="M373" i="2"/>
  <c r="L373" i="2"/>
  <c r="O372" i="2"/>
  <c r="N372" i="2"/>
  <c r="M372" i="2"/>
  <c r="L372" i="2"/>
  <c r="O371" i="2"/>
  <c r="N371" i="2"/>
  <c r="M371" i="2"/>
  <c r="L371" i="2"/>
  <c r="O370" i="2"/>
  <c r="N370" i="2"/>
  <c r="M370" i="2"/>
  <c r="L370" i="2"/>
  <c r="O369" i="2"/>
  <c r="N369" i="2"/>
  <c r="M369" i="2"/>
  <c r="L369" i="2"/>
  <c r="O368" i="2"/>
  <c r="N368" i="2"/>
  <c r="M368" i="2"/>
  <c r="L368" i="2"/>
  <c r="O367" i="2"/>
  <c r="N367" i="2"/>
  <c r="M367" i="2"/>
  <c r="L367" i="2"/>
  <c r="O366" i="2"/>
  <c r="N366" i="2"/>
  <c r="M366" i="2"/>
  <c r="L366" i="2"/>
  <c r="O365" i="2"/>
  <c r="N365" i="2"/>
  <c r="M365" i="2"/>
  <c r="L365" i="2"/>
  <c r="O364" i="2"/>
  <c r="N364" i="2"/>
  <c r="M364" i="2"/>
  <c r="L364" i="2"/>
  <c r="O363" i="2"/>
  <c r="N363" i="2"/>
  <c r="M363" i="2"/>
  <c r="L363" i="2"/>
  <c r="O362" i="2"/>
  <c r="N362" i="2"/>
  <c r="M362" i="2"/>
  <c r="L362" i="2"/>
  <c r="O361" i="2"/>
  <c r="N361" i="2"/>
  <c r="M361" i="2"/>
  <c r="L361" i="2"/>
  <c r="O360" i="2"/>
  <c r="N360" i="2"/>
  <c r="M360" i="2"/>
  <c r="L360" i="2"/>
  <c r="O359" i="2"/>
  <c r="N359" i="2"/>
  <c r="M359" i="2"/>
  <c r="L359" i="2"/>
  <c r="O358" i="2"/>
  <c r="N358" i="2"/>
  <c r="M358" i="2"/>
  <c r="L358" i="2"/>
  <c r="O357" i="2"/>
  <c r="N357" i="2"/>
  <c r="M357" i="2"/>
  <c r="L357" i="2"/>
  <c r="O356" i="2"/>
  <c r="N356" i="2"/>
  <c r="M356" i="2"/>
  <c r="L356" i="2"/>
  <c r="O355" i="2"/>
  <c r="N355" i="2"/>
  <c r="M355" i="2"/>
  <c r="L355" i="2"/>
  <c r="O354" i="2"/>
  <c r="N354" i="2"/>
  <c r="M354" i="2"/>
  <c r="L354" i="2"/>
  <c r="O353" i="2"/>
  <c r="N353" i="2"/>
  <c r="M353" i="2"/>
  <c r="L353" i="2"/>
  <c r="O352" i="2"/>
  <c r="N352" i="2"/>
  <c r="M352" i="2"/>
  <c r="L352" i="2"/>
  <c r="O351" i="2"/>
  <c r="N351" i="2"/>
  <c r="M351" i="2"/>
  <c r="L351" i="2"/>
  <c r="O350" i="2"/>
  <c r="N350" i="2"/>
  <c r="M350" i="2"/>
  <c r="L350" i="2"/>
  <c r="O349" i="2"/>
  <c r="N349" i="2"/>
  <c r="M349" i="2"/>
  <c r="L349" i="2"/>
  <c r="O348" i="2"/>
  <c r="N348" i="2"/>
  <c r="M348" i="2"/>
  <c r="L348" i="2"/>
  <c r="O347" i="2"/>
  <c r="N347" i="2"/>
  <c r="M347" i="2"/>
  <c r="L347" i="2"/>
  <c r="O346" i="2"/>
  <c r="N346" i="2"/>
  <c r="M346" i="2"/>
  <c r="L346" i="2"/>
  <c r="O345" i="2"/>
  <c r="N345" i="2"/>
  <c r="M345" i="2"/>
  <c r="L345" i="2"/>
  <c r="O344" i="2"/>
  <c r="N344" i="2"/>
  <c r="M344" i="2"/>
  <c r="L344" i="2"/>
  <c r="O343" i="2"/>
  <c r="N343" i="2"/>
  <c r="M343" i="2"/>
  <c r="L343" i="2"/>
  <c r="O342" i="2"/>
  <c r="N342" i="2"/>
  <c r="M342" i="2"/>
  <c r="L342" i="2"/>
  <c r="O341" i="2"/>
  <c r="N341" i="2"/>
  <c r="M341" i="2"/>
  <c r="L341" i="2"/>
  <c r="O340" i="2"/>
  <c r="N340" i="2"/>
  <c r="M340" i="2"/>
  <c r="L340" i="2"/>
  <c r="O339" i="2"/>
  <c r="N339" i="2"/>
  <c r="M339" i="2"/>
  <c r="L339" i="2"/>
  <c r="O338" i="2"/>
  <c r="N338" i="2"/>
  <c r="M338" i="2"/>
  <c r="L338" i="2"/>
  <c r="O337" i="2"/>
  <c r="N337" i="2"/>
  <c r="M337" i="2"/>
  <c r="L337" i="2"/>
  <c r="O336" i="2"/>
  <c r="N336" i="2"/>
  <c r="M336" i="2"/>
  <c r="L336" i="2"/>
  <c r="O335" i="2"/>
  <c r="N335" i="2"/>
  <c r="M335" i="2"/>
  <c r="L335" i="2"/>
  <c r="O334" i="2"/>
  <c r="N334" i="2"/>
  <c r="M334" i="2"/>
  <c r="L334" i="2"/>
  <c r="O333" i="2"/>
  <c r="N333" i="2"/>
  <c r="M333" i="2"/>
  <c r="L333" i="2"/>
  <c r="O332" i="2"/>
  <c r="N332" i="2"/>
  <c r="M332" i="2"/>
  <c r="L332" i="2"/>
  <c r="O331" i="2"/>
  <c r="N331" i="2"/>
  <c r="M331" i="2"/>
  <c r="L331" i="2"/>
  <c r="O330" i="2"/>
  <c r="N330" i="2"/>
  <c r="M330" i="2"/>
  <c r="L330" i="2"/>
  <c r="O329" i="2"/>
  <c r="N329" i="2"/>
  <c r="M329" i="2"/>
  <c r="L329" i="2"/>
  <c r="O328" i="2"/>
  <c r="N328" i="2"/>
  <c r="M328" i="2"/>
  <c r="L328" i="2"/>
  <c r="O327" i="2"/>
  <c r="N327" i="2"/>
  <c r="M327" i="2"/>
  <c r="L327" i="2"/>
  <c r="O326" i="2"/>
  <c r="N326" i="2"/>
  <c r="M326" i="2"/>
  <c r="L326" i="2"/>
  <c r="O325" i="2"/>
  <c r="N325" i="2"/>
  <c r="M325" i="2"/>
  <c r="L325" i="2"/>
  <c r="O324" i="2"/>
  <c r="N324" i="2"/>
  <c r="M324" i="2"/>
  <c r="L324" i="2"/>
  <c r="O323" i="2"/>
  <c r="N323" i="2"/>
  <c r="M323" i="2"/>
  <c r="L323" i="2"/>
  <c r="O322" i="2"/>
  <c r="N322" i="2"/>
  <c r="M322" i="2"/>
  <c r="L322" i="2"/>
  <c r="O321" i="2"/>
  <c r="N321" i="2"/>
  <c r="M321" i="2"/>
  <c r="L321" i="2"/>
  <c r="O320" i="2"/>
  <c r="N320" i="2"/>
  <c r="M320" i="2"/>
  <c r="L320" i="2"/>
  <c r="O319" i="2"/>
  <c r="N319" i="2"/>
  <c r="M319" i="2"/>
  <c r="L319" i="2"/>
  <c r="O318" i="2"/>
  <c r="N318" i="2"/>
  <c r="M318" i="2"/>
  <c r="L318" i="2"/>
  <c r="O317" i="2"/>
  <c r="N317" i="2"/>
  <c r="M317" i="2"/>
  <c r="L317" i="2"/>
  <c r="O316" i="2"/>
  <c r="N316" i="2"/>
  <c r="M316" i="2"/>
  <c r="L316" i="2"/>
  <c r="O315" i="2"/>
  <c r="N315" i="2"/>
  <c r="M315" i="2"/>
  <c r="L315" i="2"/>
  <c r="O314" i="2"/>
  <c r="N314" i="2"/>
  <c r="M314" i="2"/>
  <c r="L314" i="2"/>
  <c r="O313" i="2"/>
  <c r="N313" i="2"/>
  <c r="M313" i="2"/>
  <c r="L313" i="2"/>
  <c r="O312" i="2"/>
  <c r="N312" i="2"/>
  <c r="M312" i="2"/>
  <c r="L312" i="2"/>
  <c r="O311" i="2"/>
  <c r="N311" i="2"/>
  <c r="M311" i="2"/>
  <c r="L311" i="2"/>
  <c r="O310" i="2"/>
  <c r="N310" i="2"/>
  <c r="M310" i="2"/>
  <c r="L310" i="2"/>
  <c r="O309" i="2"/>
  <c r="N309" i="2"/>
  <c r="M309" i="2"/>
  <c r="L309" i="2"/>
  <c r="O308" i="2"/>
  <c r="N308" i="2"/>
  <c r="M308" i="2"/>
  <c r="L308" i="2"/>
  <c r="O307" i="2"/>
  <c r="N307" i="2"/>
  <c r="M307" i="2"/>
  <c r="L307" i="2"/>
  <c r="O306" i="2"/>
  <c r="N306" i="2"/>
  <c r="M306" i="2"/>
  <c r="L306" i="2"/>
  <c r="O305" i="2"/>
  <c r="N305" i="2"/>
  <c r="M305" i="2"/>
  <c r="L305" i="2"/>
  <c r="O304" i="2"/>
  <c r="N304" i="2"/>
  <c r="M304" i="2"/>
  <c r="L304" i="2"/>
  <c r="O303" i="2"/>
  <c r="N303" i="2"/>
  <c r="M303" i="2"/>
  <c r="L303" i="2"/>
  <c r="O302" i="2"/>
  <c r="N302" i="2"/>
  <c r="M302" i="2"/>
  <c r="L302" i="2"/>
  <c r="O301" i="2"/>
  <c r="N301" i="2"/>
  <c r="M301" i="2"/>
  <c r="L301" i="2"/>
  <c r="O300" i="2"/>
  <c r="N300" i="2"/>
  <c r="M300" i="2"/>
  <c r="L300" i="2"/>
  <c r="O299" i="2"/>
  <c r="N299" i="2"/>
  <c r="M299" i="2"/>
  <c r="L299" i="2"/>
  <c r="O298" i="2"/>
  <c r="N298" i="2"/>
  <c r="M298" i="2"/>
  <c r="L298" i="2"/>
  <c r="O297" i="2"/>
  <c r="N297" i="2"/>
  <c r="M297" i="2"/>
  <c r="L297" i="2"/>
  <c r="O296" i="2"/>
  <c r="N296" i="2"/>
  <c r="M296" i="2"/>
  <c r="L296" i="2"/>
  <c r="O295" i="2"/>
  <c r="N295" i="2"/>
  <c r="M295" i="2"/>
  <c r="L295" i="2"/>
  <c r="O294" i="2"/>
  <c r="N294" i="2"/>
  <c r="M294" i="2"/>
  <c r="L294" i="2"/>
  <c r="O293" i="2"/>
  <c r="N293" i="2"/>
  <c r="M293" i="2"/>
  <c r="L293" i="2"/>
  <c r="O292" i="2"/>
  <c r="N292" i="2"/>
  <c r="M292" i="2"/>
  <c r="L292" i="2"/>
  <c r="O291" i="2"/>
  <c r="N291" i="2"/>
  <c r="M291" i="2"/>
  <c r="L291" i="2"/>
  <c r="O290" i="2"/>
  <c r="N290" i="2"/>
  <c r="M290" i="2"/>
  <c r="L290" i="2"/>
  <c r="O289" i="2"/>
  <c r="N289" i="2"/>
  <c r="M289" i="2"/>
  <c r="L289" i="2"/>
  <c r="O288" i="2"/>
  <c r="N288" i="2"/>
  <c r="M288" i="2"/>
  <c r="L288" i="2"/>
  <c r="O287" i="2"/>
  <c r="N287" i="2"/>
  <c r="M287" i="2"/>
  <c r="L287" i="2"/>
  <c r="O286" i="2"/>
  <c r="N286" i="2"/>
  <c r="M286" i="2"/>
  <c r="L286" i="2"/>
  <c r="O285" i="2"/>
  <c r="N285" i="2"/>
  <c r="M285" i="2"/>
  <c r="L285" i="2"/>
  <c r="O284" i="2"/>
  <c r="N284" i="2"/>
  <c r="M284" i="2"/>
  <c r="L284" i="2"/>
  <c r="O283" i="2"/>
  <c r="N283" i="2"/>
  <c r="M283" i="2"/>
  <c r="L283" i="2"/>
  <c r="O282" i="2"/>
  <c r="N282" i="2"/>
  <c r="M282" i="2"/>
  <c r="L282" i="2"/>
  <c r="O281" i="2"/>
  <c r="N281" i="2"/>
  <c r="M281" i="2"/>
  <c r="L281" i="2"/>
  <c r="O280" i="2"/>
  <c r="N280" i="2"/>
  <c r="M280" i="2"/>
  <c r="L280" i="2"/>
  <c r="O279" i="2"/>
  <c r="N279" i="2"/>
  <c r="M279" i="2"/>
  <c r="L279" i="2"/>
  <c r="O278" i="2"/>
  <c r="N278" i="2"/>
  <c r="M278" i="2"/>
  <c r="L278" i="2"/>
  <c r="O277" i="2"/>
  <c r="N277" i="2"/>
  <c r="M277" i="2"/>
  <c r="L277" i="2"/>
  <c r="O276" i="2"/>
  <c r="N276" i="2"/>
  <c r="M276" i="2"/>
  <c r="L276" i="2"/>
  <c r="O275" i="2"/>
  <c r="N275" i="2"/>
  <c r="M275" i="2"/>
  <c r="L275" i="2"/>
  <c r="O274" i="2"/>
  <c r="N274" i="2"/>
  <c r="M274" i="2"/>
  <c r="L274" i="2"/>
  <c r="O273" i="2"/>
  <c r="N273" i="2"/>
  <c r="M273" i="2"/>
  <c r="L273" i="2"/>
  <c r="O272" i="2"/>
  <c r="N272" i="2"/>
  <c r="M272" i="2"/>
  <c r="L272" i="2"/>
  <c r="O271" i="2"/>
  <c r="N271" i="2"/>
  <c r="M271" i="2"/>
  <c r="L271" i="2"/>
  <c r="O270" i="2"/>
  <c r="N270" i="2"/>
  <c r="M270" i="2"/>
  <c r="L270" i="2"/>
  <c r="O269" i="2"/>
  <c r="N269" i="2"/>
  <c r="M269" i="2"/>
  <c r="L269" i="2"/>
  <c r="O268" i="2"/>
  <c r="N268" i="2"/>
  <c r="M268" i="2"/>
  <c r="L268" i="2"/>
  <c r="O267" i="2"/>
  <c r="N267" i="2"/>
  <c r="M267" i="2"/>
  <c r="L267" i="2"/>
  <c r="O266" i="2"/>
  <c r="N266" i="2"/>
  <c r="M266" i="2"/>
  <c r="L266" i="2"/>
  <c r="O265" i="2"/>
  <c r="N265" i="2"/>
  <c r="M265" i="2"/>
  <c r="L265" i="2"/>
  <c r="O264" i="2"/>
  <c r="N264" i="2"/>
  <c r="M264" i="2"/>
  <c r="L264" i="2"/>
  <c r="O263" i="2"/>
  <c r="N263" i="2"/>
  <c r="M263" i="2"/>
  <c r="L263" i="2"/>
  <c r="O262" i="2"/>
  <c r="N262" i="2"/>
  <c r="M262" i="2"/>
  <c r="L262" i="2"/>
  <c r="O261" i="2"/>
  <c r="N261" i="2"/>
  <c r="M261" i="2"/>
  <c r="L261" i="2"/>
  <c r="O260" i="2"/>
  <c r="N260" i="2"/>
  <c r="M260" i="2"/>
  <c r="L260" i="2"/>
  <c r="O259" i="2"/>
  <c r="N259" i="2"/>
  <c r="M259" i="2"/>
  <c r="L259" i="2"/>
  <c r="O258" i="2"/>
  <c r="N258" i="2"/>
  <c r="M258" i="2"/>
  <c r="L258" i="2"/>
  <c r="O257" i="2"/>
  <c r="N257" i="2"/>
  <c r="M257" i="2"/>
  <c r="L257" i="2"/>
  <c r="O256" i="2"/>
  <c r="N256" i="2"/>
  <c r="M256" i="2"/>
  <c r="L256" i="2"/>
  <c r="O255" i="2"/>
  <c r="N255" i="2"/>
  <c r="M255" i="2"/>
  <c r="L255" i="2"/>
  <c r="O254" i="2"/>
  <c r="N254" i="2"/>
  <c r="M254" i="2"/>
  <c r="L254" i="2"/>
  <c r="O253" i="2"/>
  <c r="N253" i="2"/>
  <c r="M253" i="2"/>
  <c r="L253" i="2"/>
  <c r="O252" i="2"/>
  <c r="N252" i="2"/>
  <c r="M252" i="2"/>
  <c r="L252" i="2"/>
  <c r="O251" i="2"/>
  <c r="N251" i="2"/>
  <c r="M251" i="2"/>
  <c r="L251" i="2"/>
  <c r="O250" i="2"/>
  <c r="N250" i="2"/>
  <c r="M250" i="2"/>
  <c r="L250" i="2"/>
  <c r="O249" i="2"/>
  <c r="N249" i="2"/>
  <c r="M249" i="2"/>
  <c r="L249" i="2"/>
  <c r="O248" i="2"/>
  <c r="N248" i="2"/>
  <c r="M248" i="2"/>
  <c r="L248" i="2"/>
  <c r="O247" i="2"/>
  <c r="N247" i="2"/>
  <c r="M247" i="2"/>
  <c r="L247" i="2"/>
  <c r="O246" i="2"/>
  <c r="N246" i="2"/>
  <c r="M246" i="2"/>
  <c r="L246" i="2"/>
  <c r="O245" i="2"/>
  <c r="N245" i="2"/>
  <c r="M245" i="2"/>
  <c r="L245" i="2"/>
  <c r="O244" i="2"/>
  <c r="N244" i="2"/>
  <c r="M244" i="2"/>
  <c r="L244" i="2"/>
  <c r="O243" i="2"/>
  <c r="N243" i="2"/>
  <c r="M243" i="2"/>
  <c r="L243" i="2"/>
  <c r="O242" i="2"/>
  <c r="N242" i="2"/>
  <c r="M242" i="2"/>
  <c r="L242" i="2"/>
  <c r="O241" i="2"/>
  <c r="N241" i="2"/>
  <c r="M241" i="2"/>
  <c r="L241" i="2"/>
  <c r="O240" i="2"/>
  <c r="N240" i="2"/>
  <c r="M240" i="2"/>
  <c r="L240" i="2"/>
  <c r="O239" i="2"/>
  <c r="N239" i="2"/>
  <c r="M239" i="2"/>
  <c r="L239" i="2"/>
  <c r="O238" i="2"/>
  <c r="N238" i="2"/>
  <c r="M238" i="2"/>
  <c r="L238" i="2"/>
  <c r="O237" i="2"/>
  <c r="N237" i="2"/>
  <c r="M237" i="2"/>
  <c r="L237" i="2"/>
  <c r="O236" i="2"/>
  <c r="N236" i="2"/>
  <c r="M236" i="2"/>
  <c r="L236" i="2"/>
  <c r="O235" i="2"/>
  <c r="N235" i="2"/>
  <c r="M235" i="2"/>
  <c r="L235" i="2"/>
  <c r="O234" i="2"/>
  <c r="N234" i="2"/>
  <c r="M234" i="2"/>
  <c r="L234" i="2"/>
  <c r="O233" i="2"/>
  <c r="N233" i="2"/>
  <c r="M233" i="2"/>
  <c r="L233" i="2"/>
  <c r="O232" i="2"/>
  <c r="N232" i="2"/>
  <c r="M232" i="2"/>
  <c r="L232" i="2"/>
  <c r="O231" i="2"/>
  <c r="N231" i="2"/>
  <c r="M231" i="2"/>
  <c r="L231" i="2"/>
  <c r="O230" i="2"/>
  <c r="N230" i="2"/>
  <c r="M230" i="2"/>
  <c r="L230" i="2"/>
  <c r="O229" i="2"/>
  <c r="N229" i="2"/>
  <c r="M229" i="2"/>
  <c r="L229" i="2"/>
  <c r="O228" i="2"/>
  <c r="N228" i="2"/>
  <c r="M228" i="2"/>
  <c r="L228" i="2"/>
  <c r="O227" i="2"/>
  <c r="N227" i="2"/>
  <c r="M227" i="2"/>
  <c r="L227" i="2"/>
  <c r="O226" i="2"/>
  <c r="N226" i="2"/>
  <c r="M226" i="2"/>
  <c r="L226" i="2"/>
  <c r="O225" i="2"/>
  <c r="N225" i="2"/>
  <c r="M225" i="2"/>
  <c r="L225" i="2"/>
  <c r="O224" i="2"/>
  <c r="N224" i="2"/>
  <c r="M224" i="2"/>
  <c r="L224" i="2"/>
  <c r="O223" i="2"/>
  <c r="N223" i="2"/>
  <c r="M223" i="2"/>
  <c r="L223" i="2"/>
  <c r="O222" i="2"/>
  <c r="N222" i="2"/>
  <c r="M222" i="2"/>
  <c r="L222" i="2"/>
  <c r="O221" i="2"/>
  <c r="N221" i="2"/>
  <c r="M221" i="2"/>
  <c r="L221" i="2"/>
  <c r="O220" i="2"/>
  <c r="N220" i="2"/>
  <c r="M220" i="2"/>
  <c r="L220" i="2"/>
  <c r="O219" i="2"/>
  <c r="N219" i="2"/>
  <c r="M219" i="2"/>
  <c r="L219" i="2"/>
  <c r="O218" i="2"/>
  <c r="N218" i="2"/>
  <c r="M218" i="2"/>
  <c r="L218" i="2"/>
  <c r="O217" i="2"/>
  <c r="N217" i="2"/>
  <c r="M217" i="2"/>
  <c r="L217" i="2"/>
  <c r="O216" i="2"/>
  <c r="N216" i="2"/>
  <c r="M216" i="2"/>
  <c r="L216" i="2"/>
  <c r="O215" i="2"/>
  <c r="N215" i="2"/>
  <c r="M215" i="2"/>
  <c r="L215" i="2"/>
  <c r="O214" i="2"/>
  <c r="N214" i="2"/>
  <c r="M214" i="2"/>
  <c r="L214" i="2"/>
  <c r="O213" i="2"/>
  <c r="N213" i="2"/>
  <c r="M213" i="2"/>
  <c r="L213" i="2"/>
  <c r="O212" i="2"/>
  <c r="N212" i="2"/>
  <c r="M212" i="2"/>
  <c r="L212" i="2"/>
  <c r="O211" i="2"/>
  <c r="N211" i="2"/>
  <c r="M211" i="2"/>
  <c r="L211" i="2"/>
  <c r="O210" i="2"/>
  <c r="N210" i="2"/>
  <c r="M210" i="2"/>
  <c r="L210" i="2"/>
  <c r="O209" i="2"/>
  <c r="N209" i="2"/>
  <c r="M209" i="2"/>
  <c r="L209" i="2"/>
  <c r="O208" i="2"/>
  <c r="N208" i="2"/>
  <c r="M208" i="2"/>
  <c r="L208" i="2"/>
  <c r="O207" i="2"/>
  <c r="N207" i="2"/>
  <c r="M207" i="2"/>
  <c r="L207" i="2"/>
  <c r="O206" i="2"/>
  <c r="N206" i="2"/>
  <c r="M206" i="2"/>
  <c r="L206" i="2"/>
  <c r="O205" i="2"/>
  <c r="N205" i="2"/>
  <c r="M205" i="2"/>
  <c r="L205" i="2"/>
  <c r="O204" i="2"/>
  <c r="N204" i="2"/>
  <c r="M204" i="2"/>
  <c r="L204" i="2"/>
  <c r="O203" i="2"/>
  <c r="N203" i="2"/>
  <c r="M203" i="2"/>
  <c r="L203" i="2"/>
  <c r="O202" i="2"/>
  <c r="N202" i="2"/>
  <c r="M202" i="2"/>
  <c r="L202" i="2"/>
  <c r="O201" i="2"/>
  <c r="N201" i="2"/>
  <c r="M201" i="2"/>
  <c r="L201" i="2"/>
  <c r="O200" i="2"/>
  <c r="N200" i="2"/>
  <c r="M200" i="2"/>
  <c r="L200" i="2"/>
  <c r="O199" i="2"/>
  <c r="N199" i="2"/>
  <c r="M199" i="2"/>
  <c r="L199" i="2"/>
  <c r="O198" i="2"/>
  <c r="N198" i="2"/>
  <c r="M198" i="2"/>
  <c r="L198" i="2"/>
  <c r="O197" i="2"/>
  <c r="N197" i="2"/>
  <c r="M197" i="2"/>
  <c r="L197" i="2"/>
  <c r="O196" i="2"/>
  <c r="N196" i="2"/>
  <c r="M196" i="2"/>
  <c r="L196" i="2"/>
  <c r="O195" i="2"/>
  <c r="N195" i="2"/>
  <c r="M195" i="2"/>
  <c r="L195" i="2"/>
  <c r="O194" i="2"/>
  <c r="N194" i="2"/>
  <c r="M194" i="2"/>
  <c r="L194" i="2"/>
  <c r="O193" i="2"/>
  <c r="N193" i="2"/>
  <c r="M193" i="2"/>
  <c r="L193" i="2"/>
  <c r="O192" i="2"/>
  <c r="N192" i="2"/>
  <c r="M192" i="2"/>
  <c r="L192" i="2"/>
  <c r="O191" i="2"/>
  <c r="N191" i="2"/>
  <c r="M191" i="2"/>
  <c r="L191" i="2"/>
  <c r="O190" i="2"/>
  <c r="N190" i="2"/>
  <c r="M190" i="2"/>
  <c r="L190" i="2"/>
  <c r="O189" i="2"/>
  <c r="N189" i="2"/>
  <c r="M189" i="2"/>
  <c r="L189" i="2"/>
  <c r="O188" i="2"/>
  <c r="N188" i="2"/>
  <c r="M188" i="2"/>
  <c r="L188" i="2"/>
  <c r="O187" i="2"/>
  <c r="N187" i="2"/>
  <c r="M187" i="2"/>
  <c r="L187" i="2"/>
  <c r="O186" i="2"/>
  <c r="N186" i="2"/>
  <c r="M186" i="2"/>
  <c r="L186" i="2"/>
  <c r="O185" i="2"/>
  <c r="N185" i="2"/>
  <c r="M185" i="2"/>
  <c r="L185" i="2"/>
  <c r="O184" i="2"/>
  <c r="N184" i="2"/>
  <c r="M184" i="2"/>
  <c r="L184" i="2"/>
  <c r="O183" i="2"/>
  <c r="N183" i="2"/>
  <c r="M183" i="2"/>
  <c r="L183" i="2"/>
  <c r="O182" i="2"/>
  <c r="N182" i="2"/>
  <c r="M182" i="2"/>
  <c r="L182" i="2"/>
  <c r="O181" i="2"/>
  <c r="N181" i="2"/>
  <c r="M181" i="2"/>
  <c r="L181" i="2"/>
  <c r="O180" i="2"/>
  <c r="N180" i="2"/>
  <c r="M180" i="2"/>
  <c r="L180" i="2"/>
  <c r="O179" i="2"/>
  <c r="N179" i="2"/>
  <c r="M179" i="2"/>
  <c r="L179" i="2"/>
  <c r="O178" i="2"/>
  <c r="N178" i="2"/>
  <c r="M178" i="2"/>
  <c r="L178" i="2"/>
  <c r="O177" i="2"/>
  <c r="N177" i="2"/>
  <c r="M177" i="2"/>
  <c r="L177" i="2"/>
  <c r="O176" i="2"/>
  <c r="N176" i="2"/>
  <c r="M176" i="2"/>
  <c r="L176" i="2"/>
  <c r="O175" i="2"/>
  <c r="N175" i="2"/>
  <c r="M175" i="2"/>
  <c r="L175" i="2"/>
  <c r="O174" i="2"/>
  <c r="N174" i="2"/>
  <c r="M174" i="2"/>
  <c r="L174" i="2"/>
  <c r="O173" i="2"/>
  <c r="N173" i="2"/>
  <c r="M173" i="2"/>
  <c r="L173" i="2"/>
  <c r="O172" i="2"/>
  <c r="N172" i="2"/>
  <c r="M172" i="2"/>
  <c r="L172" i="2"/>
  <c r="O171" i="2"/>
  <c r="N171" i="2"/>
  <c r="M171" i="2"/>
  <c r="L171" i="2"/>
  <c r="O170" i="2"/>
  <c r="N170" i="2"/>
  <c r="M170" i="2"/>
  <c r="L170" i="2"/>
  <c r="O169" i="2"/>
  <c r="N169" i="2"/>
  <c r="M169" i="2"/>
  <c r="L169" i="2"/>
  <c r="O168" i="2"/>
  <c r="N168" i="2"/>
  <c r="M168" i="2"/>
  <c r="L168" i="2"/>
  <c r="O167" i="2"/>
  <c r="N167" i="2"/>
  <c r="M167" i="2"/>
  <c r="L167" i="2"/>
  <c r="O166" i="2"/>
  <c r="N166" i="2"/>
  <c r="M166" i="2"/>
  <c r="L166" i="2"/>
  <c r="O165" i="2"/>
  <c r="N165" i="2"/>
  <c r="M165" i="2"/>
  <c r="L165" i="2"/>
  <c r="O164" i="2"/>
  <c r="N164" i="2"/>
  <c r="M164" i="2"/>
  <c r="L164" i="2"/>
  <c r="O163" i="2"/>
  <c r="N163" i="2"/>
  <c r="M163" i="2"/>
  <c r="L163" i="2"/>
  <c r="O162" i="2"/>
  <c r="N162" i="2"/>
  <c r="M162" i="2"/>
  <c r="L162" i="2"/>
  <c r="O161" i="2"/>
  <c r="N161" i="2"/>
  <c r="M161" i="2"/>
  <c r="L161" i="2"/>
  <c r="O160" i="2"/>
  <c r="N160" i="2"/>
  <c r="M160" i="2"/>
  <c r="L160" i="2"/>
  <c r="O159" i="2"/>
  <c r="N159" i="2"/>
  <c r="M159" i="2"/>
  <c r="L159" i="2"/>
  <c r="O158" i="2"/>
  <c r="N158" i="2"/>
  <c r="M158" i="2"/>
  <c r="L158" i="2"/>
  <c r="O157" i="2"/>
  <c r="N157" i="2"/>
  <c r="M157" i="2"/>
  <c r="L157" i="2"/>
  <c r="O156" i="2"/>
  <c r="N156" i="2"/>
  <c r="M156" i="2"/>
  <c r="L156" i="2"/>
  <c r="O155" i="2"/>
  <c r="N155" i="2"/>
  <c r="M155" i="2"/>
  <c r="L155" i="2"/>
  <c r="O154" i="2"/>
  <c r="N154" i="2"/>
  <c r="M154" i="2"/>
  <c r="L154" i="2"/>
  <c r="O153" i="2"/>
  <c r="N153" i="2"/>
  <c r="M153" i="2"/>
  <c r="L153" i="2"/>
  <c r="O152" i="2"/>
  <c r="N152" i="2"/>
  <c r="M152" i="2"/>
  <c r="L152" i="2"/>
  <c r="O151" i="2"/>
  <c r="N151" i="2"/>
  <c r="M151" i="2"/>
  <c r="L151" i="2"/>
  <c r="O150" i="2"/>
  <c r="N150" i="2"/>
  <c r="M150" i="2"/>
  <c r="L150" i="2"/>
  <c r="O149" i="2"/>
  <c r="N149" i="2"/>
  <c r="M149" i="2"/>
  <c r="L149" i="2"/>
  <c r="O148" i="2"/>
  <c r="N148" i="2"/>
  <c r="M148" i="2"/>
  <c r="L148" i="2"/>
  <c r="O147" i="2"/>
  <c r="N147" i="2"/>
  <c r="M147" i="2"/>
  <c r="L147" i="2"/>
  <c r="O146" i="2"/>
  <c r="N146" i="2"/>
  <c r="M146" i="2"/>
  <c r="L146" i="2"/>
  <c r="O145" i="2"/>
  <c r="N145" i="2"/>
  <c r="M145" i="2"/>
  <c r="L145" i="2"/>
  <c r="O144" i="2"/>
  <c r="N144" i="2"/>
  <c r="M144" i="2"/>
  <c r="L144" i="2"/>
  <c r="O143" i="2"/>
  <c r="N143" i="2"/>
  <c r="M143" i="2"/>
  <c r="L143" i="2"/>
  <c r="O142" i="2"/>
  <c r="N142" i="2"/>
  <c r="M142" i="2"/>
  <c r="L142" i="2"/>
  <c r="O141" i="2"/>
  <c r="N141" i="2"/>
  <c r="M141" i="2"/>
  <c r="L141" i="2"/>
  <c r="O140" i="2"/>
  <c r="N140" i="2"/>
  <c r="M140" i="2"/>
  <c r="L140" i="2"/>
  <c r="O139" i="2"/>
  <c r="N139" i="2"/>
  <c r="M139" i="2"/>
  <c r="L139" i="2"/>
  <c r="O138" i="2"/>
  <c r="N138" i="2"/>
  <c r="M138" i="2"/>
  <c r="L138" i="2"/>
  <c r="O137" i="2"/>
  <c r="N137" i="2"/>
  <c r="M137" i="2"/>
  <c r="L137" i="2"/>
  <c r="O136" i="2"/>
  <c r="N136" i="2"/>
  <c r="M136" i="2"/>
  <c r="L136" i="2"/>
  <c r="O135" i="2"/>
  <c r="N135" i="2"/>
  <c r="M135" i="2"/>
  <c r="L135" i="2"/>
  <c r="O134" i="2"/>
  <c r="N134" i="2"/>
  <c r="M134" i="2"/>
  <c r="L134" i="2"/>
  <c r="O133" i="2"/>
  <c r="N133" i="2"/>
  <c r="M133" i="2"/>
  <c r="L133" i="2"/>
  <c r="O132" i="2"/>
  <c r="N132" i="2"/>
  <c r="M132" i="2"/>
  <c r="L132" i="2"/>
  <c r="O131" i="2"/>
  <c r="N131" i="2"/>
  <c r="M131" i="2"/>
  <c r="L131" i="2"/>
  <c r="O130" i="2"/>
  <c r="N130" i="2"/>
  <c r="M130" i="2"/>
  <c r="L130" i="2"/>
  <c r="O129" i="2"/>
  <c r="N129" i="2"/>
  <c r="M129" i="2"/>
  <c r="L129" i="2"/>
  <c r="O128" i="2"/>
  <c r="N128" i="2"/>
  <c r="M128" i="2"/>
  <c r="L128" i="2"/>
  <c r="O127" i="2"/>
  <c r="N127" i="2"/>
  <c r="M127" i="2"/>
  <c r="L127" i="2"/>
  <c r="O126" i="2"/>
  <c r="N126" i="2"/>
  <c r="M126" i="2"/>
  <c r="L126" i="2"/>
  <c r="O125" i="2"/>
  <c r="N125" i="2"/>
  <c r="M125" i="2"/>
  <c r="L125" i="2"/>
  <c r="O124" i="2"/>
  <c r="N124" i="2"/>
  <c r="M124" i="2"/>
  <c r="L124" i="2"/>
  <c r="O123" i="2"/>
  <c r="N123" i="2"/>
  <c r="M123" i="2"/>
  <c r="L123" i="2"/>
  <c r="O122" i="2"/>
  <c r="N122" i="2"/>
  <c r="M122" i="2"/>
  <c r="L122" i="2"/>
  <c r="O121" i="2"/>
  <c r="N121" i="2"/>
  <c r="M121" i="2"/>
  <c r="L121" i="2"/>
  <c r="O120" i="2"/>
  <c r="N120" i="2"/>
  <c r="M120" i="2"/>
  <c r="L120" i="2"/>
  <c r="O119" i="2"/>
  <c r="N119" i="2"/>
  <c r="M119" i="2"/>
  <c r="L119" i="2"/>
  <c r="O118" i="2"/>
  <c r="N118" i="2"/>
  <c r="M118" i="2"/>
  <c r="L118" i="2"/>
  <c r="O117" i="2"/>
  <c r="N117" i="2"/>
  <c r="M117" i="2"/>
  <c r="L117" i="2"/>
  <c r="O116" i="2"/>
  <c r="N116" i="2"/>
  <c r="M116" i="2"/>
  <c r="L116" i="2"/>
  <c r="O115" i="2"/>
  <c r="N115" i="2"/>
  <c r="M115" i="2"/>
  <c r="L115" i="2"/>
  <c r="O114" i="2"/>
  <c r="N114" i="2"/>
  <c r="M114" i="2"/>
  <c r="L114" i="2"/>
  <c r="O113" i="2"/>
  <c r="N113" i="2"/>
  <c r="M113" i="2"/>
  <c r="L113" i="2"/>
  <c r="O112" i="2"/>
  <c r="N112" i="2"/>
  <c r="M112" i="2"/>
  <c r="L112" i="2"/>
  <c r="O111" i="2"/>
  <c r="N111" i="2"/>
  <c r="M111" i="2"/>
  <c r="L111" i="2"/>
  <c r="O110" i="2"/>
  <c r="N110" i="2"/>
  <c r="M110" i="2"/>
  <c r="L110" i="2"/>
  <c r="O109" i="2"/>
  <c r="N109" i="2"/>
  <c r="M109" i="2"/>
  <c r="L109" i="2"/>
  <c r="O108" i="2"/>
  <c r="N108" i="2"/>
  <c r="M108" i="2"/>
  <c r="L108" i="2"/>
  <c r="O107" i="2"/>
  <c r="N107" i="2"/>
  <c r="M107" i="2"/>
  <c r="L107" i="2"/>
  <c r="O106" i="2"/>
  <c r="N106" i="2"/>
  <c r="M106" i="2"/>
  <c r="L106" i="2"/>
  <c r="O105" i="2"/>
  <c r="N105" i="2"/>
  <c r="M105" i="2"/>
  <c r="L105" i="2"/>
  <c r="O104" i="2"/>
  <c r="N104" i="2"/>
  <c r="M104" i="2"/>
  <c r="L104" i="2"/>
  <c r="O103" i="2"/>
  <c r="N103" i="2"/>
  <c r="M103" i="2"/>
  <c r="L103" i="2"/>
  <c r="O102" i="2"/>
  <c r="N102" i="2"/>
  <c r="M102" i="2"/>
  <c r="L102" i="2"/>
  <c r="O101" i="2"/>
  <c r="N101" i="2"/>
  <c r="M101" i="2"/>
  <c r="L101" i="2"/>
  <c r="O100" i="2"/>
  <c r="N100" i="2"/>
  <c r="M100" i="2"/>
  <c r="L100" i="2"/>
  <c r="O99" i="2"/>
  <c r="N99" i="2"/>
  <c r="M99" i="2"/>
  <c r="L99" i="2"/>
  <c r="O98" i="2"/>
  <c r="N98" i="2"/>
  <c r="M98" i="2"/>
  <c r="L98" i="2"/>
  <c r="O97" i="2"/>
  <c r="N97" i="2"/>
  <c r="M97" i="2"/>
  <c r="L97" i="2"/>
  <c r="O96" i="2"/>
  <c r="N96" i="2"/>
  <c r="M96" i="2"/>
  <c r="L96" i="2"/>
  <c r="O95" i="2"/>
  <c r="N95" i="2"/>
  <c r="M95" i="2"/>
  <c r="L95" i="2"/>
  <c r="O94" i="2"/>
  <c r="N94" i="2"/>
  <c r="M94" i="2"/>
  <c r="L94" i="2"/>
  <c r="O93" i="2"/>
  <c r="N93" i="2"/>
  <c r="M93" i="2"/>
  <c r="L93" i="2"/>
  <c r="O92" i="2"/>
  <c r="N92" i="2"/>
  <c r="M92" i="2"/>
  <c r="L92" i="2"/>
  <c r="O91" i="2"/>
  <c r="N91" i="2"/>
  <c r="M91" i="2"/>
  <c r="L91" i="2"/>
  <c r="O90" i="2"/>
  <c r="N90" i="2"/>
  <c r="M90" i="2"/>
  <c r="L90" i="2"/>
  <c r="O89" i="2"/>
  <c r="N89" i="2"/>
  <c r="M89" i="2"/>
  <c r="L89" i="2"/>
  <c r="O88" i="2"/>
  <c r="N88" i="2"/>
  <c r="M88" i="2"/>
  <c r="L88" i="2"/>
  <c r="O87" i="2"/>
  <c r="N87" i="2"/>
  <c r="M87" i="2"/>
  <c r="L87" i="2"/>
  <c r="O86" i="2"/>
  <c r="N86" i="2"/>
  <c r="M86" i="2"/>
  <c r="L86" i="2"/>
  <c r="O85" i="2"/>
  <c r="N85" i="2"/>
  <c r="M85" i="2"/>
  <c r="L85" i="2"/>
  <c r="O84" i="2"/>
  <c r="N84" i="2"/>
  <c r="M84" i="2"/>
  <c r="L84" i="2"/>
  <c r="O83" i="2"/>
  <c r="N83" i="2"/>
  <c r="M83" i="2"/>
  <c r="L83" i="2"/>
  <c r="O82" i="2"/>
  <c r="N82" i="2"/>
  <c r="M82" i="2"/>
  <c r="L82" i="2"/>
  <c r="O81" i="2"/>
  <c r="N81" i="2"/>
  <c r="M81" i="2"/>
  <c r="L81" i="2"/>
  <c r="O80" i="2"/>
  <c r="N80" i="2"/>
  <c r="M80" i="2"/>
  <c r="L80" i="2"/>
  <c r="O79" i="2"/>
  <c r="N79" i="2"/>
  <c r="M79" i="2"/>
  <c r="L79" i="2"/>
  <c r="O78" i="2"/>
  <c r="N78" i="2"/>
  <c r="M78" i="2"/>
  <c r="L78" i="2"/>
  <c r="O77" i="2"/>
  <c r="N77" i="2"/>
  <c r="M77" i="2"/>
  <c r="L77" i="2"/>
  <c r="O76" i="2"/>
  <c r="N76" i="2"/>
  <c r="M76" i="2"/>
  <c r="L76" i="2"/>
  <c r="O75" i="2"/>
  <c r="N75" i="2"/>
  <c r="M75" i="2"/>
  <c r="L75" i="2"/>
  <c r="O74" i="2"/>
  <c r="N74" i="2"/>
  <c r="M74" i="2"/>
  <c r="L74" i="2"/>
  <c r="O73" i="2"/>
  <c r="N73" i="2"/>
  <c r="M73" i="2"/>
  <c r="L73" i="2"/>
  <c r="O72" i="2"/>
  <c r="N72" i="2"/>
  <c r="M72" i="2"/>
  <c r="L72" i="2"/>
  <c r="O71" i="2"/>
  <c r="N71" i="2"/>
  <c r="M71" i="2"/>
  <c r="L71" i="2"/>
  <c r="O70" i="2"/>
  <c r="N70" i="2"/>
  <c r="M70" i="2"/>
  <c r="L70" i="2"/>
  <c r="O69" i="2"/>
  <c r="N69" i="2"/>
  <c r="M69" i="2"/>
  <c r="L69" i="2"/>
  <c r="O68" i="2"/>
  <c r="N68" i="2"/>
  <c r="M68" i="2"/>
  <c r="L68" i="2"/>
  <c r="O67" i="2"/>
  <c r="N67" i="2"/>
  <c r="M67" i="2"/>
  <c r="L67" i="2"/>
  <c r="O66" i="2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O62" i="2"/>
  <c r="N62" i="2"/>
  <c r="M62" i="2"/>
  <c r="L62" i="2"/>
  <c r="O61" i="2"/>
  <c r="N61" i="2"/>
  <c r="M61" i="2"/>
  <c r="L61" i="2"/>
  <c r="O60" i="2"/>
  <c r="N60" i="2"/>
  <c r="M60" i="2"/>
  <c r="L60" i="2"/>
  <c r="O59" i="2"/>
  <c r="N59" i="2"/>
  <c r="M59" i="2"/>
  <c r="L59" i="2"/>
  <c r="O58" i="2"/>
  <c r="N58" i="2"/>
  <c r="M58" i="2"/>
  <c r="L58" i="2"/>
  <c r="O57" i="2"/>
  <c r="N57" i="2"/>
  <c r="M57" i="2"/>
  <c r="L57" i="2"/>
  <c r="O56" i="2"/>
  <c r="N56" i="2"/>
  <c r="M56" i="2"/>
  <c r="L56" i="2"/>
  <c r="O55" i="2"/>
  <c r="N55" i="2"/>
  <c r="M55" i="2"/>
  <c r="L55" i="2"/>
  <c r="O54" i="2"/>
  <c r="N54" i="2"/>
  <c r="M54" i="2"/>
  <c r="L54" i="2"/>
  <c r="O53" i="2"/>
  <c r="N53" i="2"/>
  <c r="M53" i="2"/>
  <c r="L53" i="2"/>
  <c r="O52" i="2"/>
  <c r="N52" i="2"/>
  <c r="M52" i="2"/>
  <c r="L52" i="2"/>
  <c r="O51" i="2"/>
  <c r="N51" i="2"/>
  <c r="M51" i="2"/>
  <c r="L51" i="2"/>
  <c r="O50" i="2"/>
  <c r="N50" i="2"/>
  <c r="M50" i="2"/>
  <c r="L50" i="2"/>
  <c r="O49" i="2"/>
  <c r="N49" i="2"/>
  <c r="M49" i="2"/>
  <c r="L49" i="2"/>
  <c r="O48" i="2"/>
  <c r="N48" i="2"/>
  <c r="M48" i="2"/>
  <c r="L48" i="2"/>
  <c r="O47" i="2"/>
  <c r="N47" i="2"/>
  <c r="M47" i="2"/>
  <c r="L47" i="2"/>
  <c r="O46" i="2"/>
  <c r="N46" i="2"/>
  <c r="M46" i="2"/>
  <c r="L46" i="2"/>
  <c r="O45" i="2"/>
  <c r="N45" i="2"/>
  <c r="M45" i="2"/>
  <c r="L45" i="2"/>
  <c r="O44" i="2"/>
  <c r="N44" i="2"/>
  <c r="M44" i="2"/>
  <c r="L44" i="2"/>
  <c r="O43" i="2"/>
  <c r="N43" i="2"/>
  <c r="M43" i="2"/>
  <c r="L43" i="2"/>
  <c r="O42" i="2"/>
  <c r="N42" i="2"/>
  <c r="M42" i="2"/>
  <c r="L42" i="2"/>
  <c r="O41" i="2"/>
  <c r="N41" i="2"/>
  <c r="M41" i="2"/>
  <c r="L41" i="2"/>
  <c r="O40" i="2"/>
  <c r="N40" i="2"/>
  <c r="M40" i="2"/>
  <c r="L40" i="2"/>
  <c r="O39" i="2"/>
  <c r="N39" i="2"/>
  <c r="M39" i="2"/>
  <c r="L39" i="2"/>
  <c r="O38" i="2"/>
  <c r="N38" i="2"/>
  <c r="M38" i="2"/>
  <c r="L38" i="2"/>
  <c r="O37" i="2"/>
  <c r="N37" i="2"/>
  <c r="M37" i="2"/>
  <c r="L37" i="2"/>
  <c r="O36" i="2"/>
  <c r="N36" i="2"/>
  <c r="M36" i="2"/>
  <c r="L36" i="2"/>
  <c r="O35" i="2"/>
  <c r="N35" i="2"/>
  <c r="M35" i="2"/>
  <c r="L35" i="2"/>
  <c r="O34" i="2"/>
  <c r="N34" i="2"/>
  <c r="M34" i="2"/>
  <c r="L34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O25" i="2"/>
  <c r="N25" i="2"/>
  <c r="M25" i="2"/>
  <c r="L25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L3" i="2"/>
  <c r="M3" i="2"/>
  <c r="N3" i="2"/>
  <c r="O3" i="2"/>
  <c r="L4" i="2"/>
  <c r="M4" i="2"/>
  <c r="N4" i="2"/>
  <c r="O4" i="2"/>
  <c r="L5" i="2"/>
  <c r="M5" i="2"/>
  <c r="N5" i="2"/>
  <c r="O5" i="2"/>
  <c r="L6" i="2"/>
  <c r="M6" i="2"/>
  <c r="N6" i="2"/>
  <c r="O6" i="2"/>
  <c r="L7" i="2"/>
  <c r="M7" i="2"/>
  <c r="N7" i="2"/>
  <c r="O7" i="2"/>
  <c r="L8" i="2"/>
  <c r="M8" i="2"/>
  <c r="N8" i="2"/>
  <c r="O8" i="2"/>
  <c r="L9" i="2"/>
  <c r="M9" i="2"/>
  <c r="N9" i="2"/>
  <c r="O9" i="2"/>
  <c r="L10" i="2"/>
  <c r="M10" i="2"/>
  <c r="N10" i="2"/>
  <c r="O10" i="2"/>
  <c r="L11" i="2"/>
  <c r="M11" i="2"/>
  <c r="N11" i="2"/>
  <c r="O11" i="2"/>
  <c r="M2" i="2"/>
  <c r="N2" i="2"/>
  <c r="O2" i="2"/>
  <c r="L2" i="2"/>
  <c r="Z280" i="4" l="1"/>
  <c r="Z281" i="4"/>
  <c r="Z282" i="4"/>
  <c r="Z283" i="4"/>
  <c r="Z284" i="4"/>
  <c r="Z285" i="4"/>
  <c r="Z286" i="4"/>
  <c r="Z287" i="4"/>
  <c r="Z288" i="4"/>
  <c r="Z289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2" i="4"/>
  <c r="S230" i="4" l="1"/>
  <c r="T230" i="4"/>
  <c r="U230" i="4"/>
  <c r="V230" i="4"/>
  <c r="S252" i="4"/>
  <c r="T252" i="4"/>
  <c r="U252" i="4"/>
  <c r="V252" i="4"/>
  <c r="S245" i="4"/>
  <c r="T245" i="4"/>
  <c r="U245" i="4"/>
  <c r="V245" i="4"/>
  <c r="S251" i="4"/>
  <c r="T251" i="4"/>
  <c r="U251" i="4"/>
  <c r="V251" i="4"/>
  <c r="S243" i="4"/>
  <c r="T243" i="4"/>
  <c r="U243" i="4"/>
  <c r="V243" i="4"/>
  <c r="S249" i="4"/>
  <c r="T249" i="4"/>
  <c r="U249" i="4"/>
  <c r="V249" i="4"/>
  <c r="S244" i="4"/>
  <c r="T244" i="4"/>
  <c r="U244" i="4"/>
  <c r="V244" i="4"/>
  <c r="S250" i="4"/>
  <c r="T250" i="4"/>
  <c r="U250" i="4"/>
  <c r="V250" i="4"/>
  <c r="S247" i="4"/>
  <c r="T247" i="4"/>
  <c r="U247" i="4"/>
  <c r="V247" i="4"/>
  <c r="S248" i="4"/>
  <c r="T248" i="4"/>
  <c r="U248" i="4"/>
  <c r="V248" i="4"/>
  <c r="S246" i="4"/>
  <c r="T246" i="4"/>
  <c r="U246" i="4"/>
  <c r="V246" i="4"/>
  <c r="S253" i="4"/>
  <c r="T253" i="4"/>
  <c r="U253" i="4"/>
  <c r="V253" i="4"/>
  <c r="S242" i="4"/>
  <c r="T242" i="4"/>
  <c r="U242" i="4"/>
  <c r="V242" i="4"/>
  <c r="S263" i="4"/>
  <c r="T263" i="4"/>
  <c r="U263" i="4"/>
  <c r="V263" i="4"/>
  <c r="S258" i="4"/>
  <c r="T258" i="4"/>
  <c r="U258" i="4"/>
  <c r="V258" i="4"/>
  <c r="S261" i="4"/>
  <c r="T261" i="4"/>
  <c r="U261" i="4"/>
  <c r="V261" i="4"/>
  <c r="S256" i="4"/>
  <c r="T256" i="4"/>
  <c r="U256" i="4"/>
  <c r="V256" i="4"/>
  <c r="S264" i="4"/>
  <c r="T264" i="4"/>
  <c r="U264" i="4"/>
  <c r="V264" i="4"/>
  <c r="S259" i="4"/>
  <c r="T259" i="4"/>
  <c r="U259" i="4"/>
  <c r="V259" i="4"/>
  <c r="S260" i="4"/>
  <c r="T260" i="4"/>
  <c r="U260" i="4"/>
  <c r="V260" i="4"/>
  <c r="S255" i="4"/>
  <c r="T255" i="4"/>
  <c r="U255" i="4"/>
  <c r="V255" i="4"/>
  <c r="S262" i="4"/>
  <c r="T262" i="4"/>
  <c r="U262" i="4"/>
  <c r="V262" i="4"/>
  <c r="S257" i="4"/>
  <c r="T257" i="4"/>
  <c r="U257" i="4"/>
  <c r="V257" i="4"/>
  <c r="S265" i="4"/>
  <c r="T265" i="4"/>
  <c r="U265" i="4"/>
  <c r="V265" i="4"/>
  <c r="S254" i="4"/>
  <c r="T254" i="4"/>
  <c r="U254" i="4"/>
  <c r="V254" i="4"/>
  <c r="S277" i="4"/>
  <c r="T277" i="4"/>
  <c r="U277" i="4"/>
  <c r="V277" i="4"/>
  <c r="S267" i="4"/>
  <c r="T267" i="4"/>
  <c r="U267" i="4"/>
  <c r="V267" i="4"/>
  <c r="S274" i="4"/>
  <c r="T274" i="4"/>
  <c r="U274" i="4"/>
  <c r="V274" i="4"/>
  <c r="S269" i="4"/>
  <c r="T269" i="4"/>
  <c r="U269" i="4"/>
  <c r="V269" i="4"/>
  <c r="S275" i="4"/>
  <c r="T275" i="4"/>
  <c r="U275" i="4"/>
  <c r="V275" i="4"/>
  <c r="S271" i="4"/>
  <c r="T271" i="4"/>
  <c r="U271" i="4"/>
  <c r="V271" i="4"/>
  <c r="S273" i="4"/>
  <c r="T273" i="4"/>
  <c r="U273" i="4"/>
  <c r="V273" i="4"/>
  <c r="S268" i="4"/>
  <c r="T268" i="4"/>
  <c r="U268" i="4"/>
  <c r="V268" i="4"/>
  <c r="S272" i="4"/>
  <c r="T272" i="4"/>
  <c r="U272" i="4"/>
  <c r="V272" i="4"/>
  <c r="S266" i="4"/>
  <c r="T266" i="4"/>
  <c r="U266" i="4"/>
  <c r="V266" i="4"/>
  <c r="S276" i="4"/>
  <c r="T276" i="4"/>
  <c r="U276" i="4"/>
  <c r="V276" i="4"/>
  <c r="S270" i="4"/>
  <c r="T270" i="4"/>
  <c r="U270" i="4"/>
  <c r="V270" i="4"/>
  <c r="S285" i="4"/>
  <c r="T285" i="4"/>
  <c r="U285" i="4"/>
  <c r="V285" i="4"/>
  <c r="S278" i="4"/>
  <c r="T278" i="4"/>
  <c r="U278" i="4"/>
  <c r="V278" i="4"/>
  <c r="S287" i="4"/>
  <c r="T287" i="4"/>
  <c r="U287" i="4"/>
  <c r="V287" i="4"/>
  <c r="S280" i="4"/>
  <c r="T280" i="4"/>
  <c r="U280" i="4"/>
  <c r="V280" i="4"/>
  <c r="S286" i="4"/>
  <c r="T286" i="4"/>
  <c r="U286" i="4"/>
  <c r="V286" i="4"/>
  <c r="S283" i="4"/>
  <c r="T283" i="4"/>
  <c r="U283" i="4"/>
  <c r="V283" i="4"/>
  <c r="S289" i="4"/>
  <c r="T289" i="4"/>
  <c r="U289" i="4"/>
  <c r="V289" i="4"/>
  <c r="S281" i="4"/>
  <c r="T281" i="4"/>
  <c r="U281" i="4"/>
  <c r="V281" i="4"/>
  <c r="S284" i="4"/>
  <c r="T284" i="4"/>
  <c r="U284" i="4"/>
  <c r="V284" i="4"/>
  <c r="S282" i="4"/>
  <c r="T282" i="4"/>
  <c r="U282" i="4"/>
  <c r="V282" i="4"/>
  <c r="S288" i="4"/>
  <c r="T288" i="4"/>
  <c r="U288" i="4"/>
  <c r="V288" i="4"/>
  <c r="S279" i="4"/>
  <c r="T279" i="4"/>
  <c r="U279" i="4"/>
  <c r="V279" i="4"/>
  <c r="S190" i="4"/>
  <c r="T190" i="4"/>
  <c r="U190" i="4"/>
  <c r="V190" i="4"/>
  <c r="S185" i="4"/>
  <c r="T185" i="4"/>
  <c r="U185" i="4"/>
  <c r="V185" i="4"/>
  <c r="S188" i="4"/>
  <c r="T188" i="4"/>
  <c r="U188" i="4"/>
  <c r="V188" i="4"/>
  <c r="S182" i="4"/>
  <c r="T182" i="4"/>
  <c r="U182" i="4"/>
  <c r="V182" i="4"/>
  <c r="S191" i="4"/>
  <c r="T191" i="4"/>
  <c r="U191" i="4"/>
  <c r="V191" i="4"/>
  <c r="S183" i="4"/>
  <c r="T183" i="4"/>
  <c r="U183" i="4"/>
  <c r="V183" i="4"/>
  <c r="S202" i="4"/>
  <c r="T202" i="4"/>
  <c r="U202" i="4"/>
  <c r="V202" i="4"/>
  <c r="S196" i="4"/>
  <c r="T196" i="4"/>
  <c r="U196" i="4"/>
  <c r="V196" i="4"/>
  <c r="S203" i="4"/>
  <c r="T203" i="4"/>
  <c r="U203" i="4"/>
  <c r="V203" i="4"/>
  <c r="S199" i="4"/>
  <c r="T199" i="4"/>
  <c r="U199" i="4"/>
  <c r="V199" i="4"/>
  <c r="S204" i="4"/>
  <c r="T204" i="4"/>
  <c r="U204" i="4"/>
  <c r="V204" i="4"/>
  <c r="S198" i="4"/>
  <c r="T198" i="4"/>
  <c r="U198" i="4"/>
  <c r="V198" i="4"/>
  <c r="S205" i="4"/>
  <c r="T205" i="4"/>
  <c r="U205" i="4"/>
  <c r="V205" i="4"/>
  <c r="S194" i="4"/>
  <c r="T194" i="4"/>
  <c r="U194" i="4"/>
  <c r="V194" i="4"/>
  <c r="S201" i="4"/>
  <c r="T201" i="4"/>
  <c r="U201" i="4"/>
  <c r="V201" i="4"/>
  <c r="S197" i="4"/>
  <c r="T197" i="4"/>
  <c r="U197" i="4"/>
  <c r="V197" i="4"/>
  <c r="S200" i="4"/>
  <c r="T200" i="4"/>
  <c r="U200" i="4"/>
  <c r="V200" i="4"/>
  <c r="S195" i="4"/>
  <c r="T195" i="4"/>
  <c r="U195" i="4"/>
  <c r="V195" i="4"/>
  <c r="S215" i="4"/>
  <c r="T215" i="4"/>
  <c r="U215" i="4"/>
  <c r="V215" i="4"/>
  <c r="S209" i="4"/>
  <c r="T209" i="4"/>
  <c r="U209" i="4"/>
  <c r="V209" i="4"/>
  <c r="S217" i="4"/>
  <c r="T217" i="4"/>
  <c r="U217" i="4"/>
  <c r="V217" i="4"/>
  <c r="S210" i="4"/>
  <c r="T210" i="4"/>
  <c r="U210" i="4"/>
  <c r="V210" i="4"/>
  <c r="S212" i="4"/>
  <c r="T212" i="4"/>
  <c r="U212" i="4"/>
  <c r="V212" i="4"/>
  <c r="S206" i="4"/>
  <c r="T206" i="4"/>
  <c r="U206" i="4"/>
  <c r="V206" i="4"/>
  <c r="S216" i="4"/>
  <c r="T216" i="4"/>
  <c r="U216" i="4"/>
  <c r="V216" i="4"/>
  <c r="S211" i="4"/>
  <c r="T211" i="4"/>
  <c r="U211" i="4"/>
  <c r="V211" i="4"/>
  <c r="S213" i="4"/>
  <c r="T213" i="4"/>
  <c r="U213" i="4"/>
  <c r="V213" i="4"/>
  <c r="S207" i="4"/>
  <c r="T207" i="4"/>
  <c r="U207" i="4"/>
  <c r="V207" i="4"/>
  <c r="S214" i="4"/>
  <c r="T214" i="4"/>
  <c r="U214" i="4"/>
  <c r="V214" i="4"/>
  <c r="S208" i="4"/>
  <c r="T208" i="4"/>
  <c r="U208" i="4"/>
  <c r="V208" i="4"/>
  <c r="S229" i="4"/>
  <c r="T229" i="4"/>
  <c r="U229" i="4"/>
  <c r="V229" i="4"/>
  <c r="S218" i="4"/>
  <c r="T218" i="4"/>
  <c r="U218" i="4"/>
  <c r="V218" i="4"/>
  <c r="S224" i="4"/>
  <c r="T224" i="4"/>
  <c r="U224" i="4"/>
  <c r="V224" i="4"/>
  <c r="S221" i="4"/>
  <c r="T221" i="4"/>
  <c r="U221" i="4"/>
  <c r="V221" i="4"/>
  <c r="S225" i="4"/>
  <c r="T225" i="4"/>
  <c r="U225" i="4"/>
  <c r="V225" i="4"/>
  <c r="S219" i="4"/>
  <c r="T219" i="4"/>
  <c r="U219" i="4"/>
  <c r="V219" i="4"/>
  <c r="S226" i="4"/>
  <c r="T226" i="4"/>
  <c r="U226" i="4"/>
  <c r="V226" i="4"/>
  <c r="S223" i="4"/>
  <c r="T223" i="4"/>
  <c r="U223" i="4"/>
  <c r="V223" i="4"/>
  <c r="S227" i="4"/>
  <c r="T227" i="4"/>
  <c r="U227" i="4"/>
  <c r="V227" i="4"/>
  <c r="S220" i="4"/>
  <c r="T220" i="4"/>
  <c r="U220" i="4"/>
  <c r="V220" i="4"/>
  <c r="S228" i="4"/>
  <c r="T228" i="4"/>
  <c r="U228" i="4"/>
  <c r="V228" i="4"/>
  <c r="S222" i="4"/>
  <c r="T222" i="4"/>
  <c r="U222" i="4"/>
  <c r="V222" i="4"/>
  <c r="S240" i="4"/>
  <c r="T240" i="4"/>
  <c r="U240" i="4"/>
  <c r="V240" i="4"/>
  <c r="S231" i="4"/>
  <c r="T231" i="4"/>
  <c r="U231" i="4"/>
  <c r="V231" i="4"/>
  <c r="S239" i="4"/>
  <c r="T239" i="4"/>
  <c r="U239" i="4"/>
  <c r="V239" i="4"/>
  <c r="S234" i="4"/>
  <c r="T234" i="4"/>
  <c r="U234" i="4"/>
  <c r="V234" i="4"/>
  <c r="S238" i="4"/>
  <c r="T238" i="4"/>
  <c r="U238" i="4"/>
  <c r="V238" i="4"/>
  <c r="S233" i="4"/>
  <c r="T233" i="4"/>
  <c r="U233" i="4"/>
  <c r="V233" i="4"/>
  <c r="S237" i="4"/>
  <c r="T237" i="4"/>
  <c r="U237" i="4"/>
  <c r="V237" i="4"/>
  <c r="S235" i="4"/>
  <c r="T235" i="4"/>
  <c r="U235" i="4"/>
  <c r="V235" i="4"/>
  <c r="S241" i="4"/>
  <c r="T241" i="4"/>
  <c r="U241" i="4"/>
  <c r="V241" i="4"/>
  <c r="S232" i="4"/>
  <c r="T232" i="4"/>
  <c r="U232" i="4"/>
  <c r="V232" i="4"/>
  <c r="S236" i="4"/>
  <c r="T236" i="4"/>
  <c r="U236" i="4"/>
  <c r="V236" i="4"/>
  <c r="S153" i="4"/>
  <c r="T153" i="4"/>
  <c r="U153" i="4"/>
  <c r="V153" i="4"/>
  <c r="S151" i="4"/>
  <c r="T151" i="4"/>
  <c r="U151" i="4"/>
  <c r="V151" i="4"/>
  <c r="S155" i="4"/>
  <c r="T155" i="4"/>
  <c r="U155" i="4"/>
  <c r="V155" i="4"/>
  <c r="S147" i="4"/>
  <c r="T147" i="4"/>
  <c r="U147" i="4"/>
  <c r="V147" i="4"/>
  <c r="S157" i="4"/>
  <c r="T157" i="4"/>
  <c r="U157" i="4"/>
  <c r="V157" i="4"/>
  <c r="S149" i="4"/>
  <c r="T149" i="4"/>
  <c r="U149" i="4"/>
  <c r="V149" i="4"/>
  <c r="S152" i="4"/>
  <c r="T152" i="4"/>
  <c r="U152" i="4"/>
  <c r="V152" i="4"/>
  <c r="S150" i="4"/>
  <c r="T150" i="4"/>
  <c r="U150" i="4"/>
  <c r="V150" i="4"/>
  <c r="S156" i="4"/>
  <c r="T156" i="4"/>
  <c r="U156" i="4"/>
  <c r="V156" i="4"/>
  <c r="S146" i="4"/>
  <c r="T146" i="4"/>
  <c r="U146" i="4"/>
  <c r="V146" i="4"/>
  <c r="S169" i="4"/>
  <c r="T169" i="4"/>
  <c r="U169" i="4"/>
  <c r="V169" i="4"/>
  <c r="S163" i="4"/>
  <c r="T163" i="4"/>
  <c r="U163" i="4"/>
  <c r="V163" i="4"/>
  <c r="S168" i="4"/>
  <c r="T168" i="4"/>
  <c r="U168" i="4"/>
  <c r="V168" i="4"/>
  <c r="S161" i="4"/>
  <c r="T161" i="4"/>
  <c r="U161" i="4"/>
  <c r="V161" i="4"/>
  <c r="S165" i="4"/>
  <c r="T165" i="4"/>
  <c r="U165" i="4"/>
  <c r="V165" i="4"/>
  <c r="S158" i="4"/>
  <c r="T158" i="4"/>
  <c r="U158" i="4"/>
  <c r="V158" i="4"/>
  <c r="S164" i="4"/>
  <c r="T164" i="4"/>
  <c r="U164" i="4"/>
  <c r="V164" i="4"/>
  <c r="S159" i="4"/>
  <c r="T159" i="4"/>
  <c r="U159" i="4"/>
  <c r="V159" i="4"/>
  <c r="S166" i="4"/>
  <c r="T166" i="4"/>
  <c r="U166" i="4"/>
  <c r="V166" i="4"/>
  <c r="S160" i="4"/>
  <c r="T160" i="4"/>
  <c r="U160" i="4"/>
  <c r="V160" i="4"/>
  <c r="S167" i="4"/>
  <c r="T167" i="4"/>
  <c r="U167" i="4"/>
  <c r="V167" i="4"/>
  <c r="S162" i="4"/>
  <c r="T162" i="4"/>
  <c r="U162" i="4"/>
  <c r="V162" i="4"/>
  <c r="S181" i="4"/>
  <c r="T181" i="4"/>
  <c r="U181" i="4"/>
  <c r="V181" i="4"/>
  <c r="S175" i="4"/>
  <c r="T175" i="4"/>
  <c r="U175" i="4"/>
  <c r="V175" i="4"/>
  <c r="S178" i="4"/>
  <c r="T178" i="4"/>
  <c r="U178" i="4"/>
  <c r="V178" i="4"/>
  <c r="S170" i="4"/>
  <c r="T170" i="4"/>
  <c r="U170" i="4"/>
  <c r="V170" i="4"/>
  <c r="S179" i="4"/>
  <c r="T179" i="4"/>
  <c r="U179" i="4"/>
  <c r="V179" i="4"/>
  <c r="S173" i="4"/>
  <c r="T173" i="4"/>
  <c r="U173" i="4"/>
  <c r="V173" i="4"/>
  <c r="S176" i="4"/>
  <c r="T176" i="4"/>
  <c r="U176" i="4"/>
  <c r="V176" i="4"/>
  <c r="S174" i="4"/>
  <c r="T174" i="4"/>
  <c r="U174" i="4"/>
  <c r="V174" i="4"/>
  <c r="S180" i="4"/>
  <c r="T180" i="4"/>
  <c r="U180" i="4"/>
  <c r="V180" i="4"/>
  <c r="S171" i="4"/>
  <c r="T171" i="4"/>
  <c r="U171" i="4"/>
  <c r="V171" i="4"/>
  <c r="S177" i="4"/>
  <c r="T177" i="4"/>
  <c r="U177" i="4"/>
  <c r="V177" i="4"/>
  <c r="S172" i="4"/>
  <c r="T172" i="4"/>
  <c r="U172" i="4"/>
  <c r="V172" i="4"/>
  <c r="S192" i="4"/>
  <c r="T192" i="4"/>
  <c r="U192" i="4"/>
  <c r="V192" i="4"/>
  <c r="S186" i="4"/>
  <c r="T186" i="4"/>
  <c r="U186" i="4"/>
  <c r="V186" i="4"/>
  <c r="S189" i="4"/>
  <c r="T189" i="4"/>
  <c r="U189" i="4"/>
  <c r="V189" i="4"/>
  <c r="S184" i="4"/>
  <c r="T184" i="4"/>
  <c r="U184" i="4"/>
  <c r="V184" i="4"/>
  <c r="S193" i="4"/>
  <c r="T193" i="4"/>
  <c r="U193" i="4"/>
  <c r="V193" i="4"/>
  <c r="S187" i="4"/>
  <c r="T187" i="4"/>
  <c r="U187" i="4"/>
  <c r="V187" i="4"/>
  <c r="S99" i="4"/>
  <c r="T99" i="4"/>
  <c r="U99" i="4"/>
  <c r="V99" i="4"/>
  <c r="S107" i="4"/>
  <c r="T107" i="4"/>
  <c r="U107" i="4"/>
  <c r="V107" i="4"/>
  <c r="S100" i="4"/>
  <c r="T100" i="4"/>
  <c r="U100" i="4"/>
  <c r="V100" i="4"/>
  <c r="S105" i="4"/>
  <c r="T105" i="4"/>
  <c r="U105" i="4"/>
  <c r="V105" i="4"/>
  <c r="S103" i="4"/>
  <c r="T103" i="4"/>
  <c r="U103" i="4"/>
  <c r="V103" i="4"/>
  <c r="S106" i="4"/>
  <c r="T106" i="4"/>
  <c r="U106" i="4"/>
  <c r="V106" i="4"/>
  <c r="S102" i="4"/>
  <c r="T102" i="4"/>
  <c r="U102" i="4"/>
  <c r="V102" i="4"/>
  <c r="S104" i="4"/>
  <c r="T104" i="4"/>
  <c r="U104" i="4"/>
  <c r="V104" i="4"/>
  <c r="S98" i="4"/>
  <c r="T98" i="4"/>
  <c r="U98" i="4"/>
  <c r="V98" i="4"/>
  <c r="S109" i="4"/>
  <c r="T109" i="4"/>
  <c r="U109" i="4"/>
  <c r="V109" i="4"/>
  <c r="S114" i="4"/>
  <c r="T114" i="4"/>
  <c r="U114" i="4"/>
  <c r="V114" i="4"/>
  <c r="S119" i="4"/>
  <c r="T119" i="4"/>
  <c r="U119" i="4"/>
  <c r="V119" i="4"/>
  <c r="S112" i="4"/>
  <c r="T112" i="4"/>
  <c r="U112" i="4"/>
  <c r="V112" i="4"/>
  <c r="S117" i="4"/>
  <c r="T117" i="4"/>
  <c r="U117" i="4"/>
  <c r="V117" i="4"/>
  <c r="S115" i="4"/>
  <c r="T115" i="4"/>
  <c r="U115" i="4"/>
  <c r="V115" i="4"/>
  <c r="S120" i="4"/>
  <c r="T120" i="4"/>
  <c r="U120" i="4"/>
  <c r="V120" i="4"/>
  <c r="S111" i="4"/>
  <c r="T111" i="4"/>
  <c r="U111" i="4"/>
  <c r="V111" i="4"/>
  <c r="S116" i="4"/>
  <c r="T116" i="4"/>
  <c r="U116" i="4"/>
  <c r="V116" i="4"/>
  <c r="S113" i="4"/>
  <c r="T113" i="4"/>
  <c r="U113" i="4"/>
  <c r="V113" i="4"/>
  <c r="S118" i="4"/>
  <c r="T118" i="4"/>
  <c r="U118" i="4"/>
  <c r="V118" i="4"/>
  <c r="S110" i="4"/>
  <c r="T110" i="4"/>
  <c r="U110" i="4"/>
  <c r="V110" i="4"/>
  <c r="S121" i="4"/>
  <c r="T121" i="4"/>
  <c r="U121" i="4"/>
  <c r="V121" i="4"/>
  <c r="S123" i="4"/>
  <c r="T123" i="4"/>
  <c r="U123" i="4"/>
  <c r="V123" i="4"/>
  <c r="S133" i="4"/>
  <c r="T133" i="4"/>
  <c r="U133" i="4"/>
  <c r="V133" i="4"/>
  <c r="S125" i="4"/>
  <c r="T125" i="4"/>
  <c r="U125" i="4"/>
  <c r="V125" i="4"/>
  <c r="S130" i="4"/>
  <c r="T130" i="4"/>
  <c r="U130" i="4"/>
  <c r="V130" i="4"/>
  <c r="S127" i="4"/>
  <c r="T127" i="4"/>
  <c r="U127" i="4"/>
  <c r="V127" i="4"/>
  <c r="S131" i="4"/>
  <c r="T131" i="4"/>
  <c r="U131" i="4"/>
  <c r="V131" i="4"/>
  <c r="S124" i="4"/>
  <c r="T124" i="4"/>
  <c r="U124" i="4"/>
  <c r="V124" i="4"/>
  <c r="S129" i="4"/>
  <c r="T129" i="4"/>
  <c r="U129" i="4"/>
  <c r="V129" i="4"/>
  <c r="S122" i="4"/>
  <c r="T122" i="4"/>
  <c r="U122" i="4"/>
  <c r="V122" i="4"/>
  <c r="S128" i="4"/>
  <c r="T128" i="4"/>
  <c r="U128" i="4"/>
  <c r="V128" i="4"/>
  <c r="S126" i="4"/>
  <c r="T126" i="4"/>
  <c r="U126" i="4"/>
  <c r="V126" i="4"/>
  <c r="S132" i="4"/>
  <c r="T132" i="4"/>
  <c r="U132" i="4"/>
  <c r="V132" i="4"/>
  <c r="S134" i="4"/>
  <c r="T134" i="4"/>
  <c r="U134" i="4"/>
  <c r="V134" i="4"/>
  <c r="S141" i="4"/>
  <c r="T141" i="4"/>
  <c r="U141" i="4"/>
  <c r="V141" i="4"/>
  <c r="S136" i="4"/>
  <c r="T136" i="4"/>
  <c r="U136" i="4"/>
  <c r="V136" i="4"/>
  <c r="S143" i="4"/>
  <c r="T143" i="4"/>
  <c r="U143" i="4"/>
  <c r="V143" i="4"/>
  <c r="S139" i="4"/>
  <c r="T139" i="4"/>
  <c r="U139" i="4"/>
  <c r="V139" i="4"/>
  <c r="S142" i="4"/>
  <c r="T142" i="4"/>
  <c r="U142" i="4"/>
  <c r="V142" i="4"/>
  <c r="S137" i="4"/>
  <c r="T137" i="4"/>
  <c r="U137" i="4"/>
  <c r="V137" i="4"/>
  <c r="S145" i="4"/>
  <c r="T145" i="4"/>
  <c r="U145" i="4"/>
  <c r="V145" i="4"/>
  <c r="S138" i="4"/>
  <c r="T138" i="4"/>
  <c r="U138" i="4"/>
  <c r="V138" i="4"/>
  <c r="S140" i="4"/>
  <c r="T140" i="4"/>
  <c r="U140" i="4"/>
  <c r="V140" i="4"/>
  <c r="S135" i="4"/>
  <c r="T135" i="4"/>
  <c r="U135" i="4"/>
  <c r="V135" i="4"/>
  <c r="S144" i="4"/>
  <c r="T144" i="4"/>
  <c r="U144" i="4"/>
  <c r="V144" i="4"/>
  <c r="S154" i="4"/>
  <c r="T154" i="4"/>
  <c r="U154" i="4"/>
  <c r="V154" i="4"/>
  <c r="S148" i="4"/>
  <c r="T148" i="4"/>
  <c r="U148" i="4"/>
  <c r="V148" i="4"/>
  <c r="S60" i="4"/>
  <c r="T60" i="4"/>
  <c r="U60" i="4"/>
  <c r="V60" i="4"/>
  <c r="S50" i="4"/>
  <c r="T50" i="4"/>
  <c r="U50" i="4"/>
  <c r="V50" i="4"/>
  <c r="S61" i="4"/>
  <c r="T61" i="4"/>
  <c r="U61" i="4"/>
  <c r="V61" i="4"/>
  <c r="S53" i="4"/>
  <c r="T53" i="4"/>
  <c r="U53" i="4"/>
  <c r="V53" i="4"/>
  <c r="S57" i="4"/>
  <c r="T57" i="4"/>
  <c r="U57" i="4"/>
  <c r="V57" i="4"/>
  <c r="S51" i="4"/>
  <c r="T51" i="4"/>
  <c r="U51" i="4"/>
  <c r="V51" i="4"/>
  <c r="S56" i="4"/>
  <c r="T56" i="4"/>
  <c r="U56" i="4"/>
  <c r="V56" i="4"/>
  <c r="S65" i="4"/>
  <c r="T65" i="4"/>
  <c r="U65" i="4"/>
  <c r="V65" i="4"/>
  <c r="S71" i="4"/>
  <c r="T71" i="4"/>
  <c r="U71" i="4"/>
  <c r="V71" i="4"/>
  <c r="S66" i="4"/>
  <c r="T66" i="4"/>
  <c r="U66" i="4"/>
  <c r="V66" i="4"/>
  <c r="S73" i="4"/>
  <c r="T73" i="4"/>
  <c r="U73" i="4"/>
  <c r="V73" i="4"/>
  <c r="S62" i="4"/>
  <c r="T62" i="4"/>
  <c r="U62" i="4"/>
  <c r="V62" i="4"/>
  <c r="S68" i="4"/>
  <c r="T68" i="4"/>
  <c r="U68" i="4"/>
  <c r="V68" i="4"/>
  <c r="S67" i="4"/>
  <c r="T67" i="4"/>
  <c r="U67" i="4"/>
  <c r="V67" i="4"/>
  <c r="S72" i="4"/>
  <c r="T72" i="4"/>
  <c r="U72" i="4"/>
  <c r="V72" i="4"/>
  <c r="S63" i="4"/>
  <c r="T63" i="4"/>
  <c r="U63" i="4"/>
  <c r="V63" i="4"/>
  <c r="S69" i="4"/>
  <c r="T69" i="4"/>
  <c r="U69" i="4"/>
  <c r="V69" i="4"/>
  <c r="S64" i="4"/>
  <c r="T64" i="4"/>
  <c r="U64" i="4"/>
  <c r="V64" i="4"/>
  <c r="S70" i="4"/>
  <c r="T70" i="4"/>
  <c r="U70" i="4"/>
  <c r="V70" i="4"/>
  <c r="S74" i="4"/>
  <c r="T74" i="4"/>
  <c r="U74" i="4"/>
  <c r="V74" i="4"/>
  <c r="S85" i="4"/>
  <c r="T85" i="4"/>
  <c r="U85" i="4"/>
  <c r="V85" i="4"/>
  <c r="S77" i="4"/>
  <c r="T77" i="4"/>
  <c r="U77" i="4"/>
  <c r="V77" i="4"/>
  <c r="S80" i="4"/>
  <c r="T80" i="4"/>
  <c r="U80" i="4"/>
  <c r="V80" i="4"/>
  <c r="S75" i="4"/>
  <c r="T75" i="4"/>
  <c r="U75" i="4"/>
  <c r="V75" i="4"/>
  <c r="S81" i="4"/>
  <c r="T81" i="4"/>
  <c r="U81" i="4"/>
  <c r="V81" i="4"/>
  <c r="S79" i="4"/>
  <c r="T79" i="4"/>
  <c r="U79" i="4"/>
  <c r="V79" i="4"/>
  <c r="S82" i="4"/>
  <c r="T82" i="4"/>
  <c r="U82" i="4"/>
  <c r="V82" i="4"/>
  <c r="S76" i="4"/>
  <c r="T76" i="4"/>
  <c r="U76" i="4"/>
  <c r="V76" i="4"/>
  <c r="S83" i="4"/>
  <c r="T83" i="4"/>
  <c r="U83" i="4"/>
  <c r="V83" i="4"/>
  <c r="S78" i="4"/>
  <c r="T78" i="4"/>
  <c r="U78" i="4"/>
  <c r="V78" i="4"/>
  <c r="S84" i="4"/>
  <c r="T84" i="4"/>
  <c r="U84" i="4"/>
  <c r="V84" i="4"/>
  <c r="S87" i="4"/>
  <c r="T87" i="4"/>
  <c r="U87" i="4"/>
  <c r="V87" i="4"/>
  <c r="S96" i="4"/>
  <c r="T96" i="4"/>
  <c r="U96" i="4"/>
  <c r="V96" i="4"/>
  <c r="S90" i="4"/>
  <c r="T90" i="4"/>
  <c r="U90" i="4"/>
  <c r="V90" i="4"/>
  <c r="S95" i="4"/>
  <c r="T95" i="4"/>
  <c r="U95" i="4"/>
  <c r="V95" i="4"/>
  <c r="S89" i="4"/>
  <c r="T89" i="4"/>
  <c r="U89" i="4"/>
  <c r="V89" i="4"/>
  <c r="S94" i="4"/>
  <c r="T94" i="4"/>
  <c r="U94" i="4"/>
  <c r="V94" i="4"/>
  <c r="S91" i="4"/>
  <c r="T91" i="4"/>
  <c r="U91" i="4"/>
  <c r="V91" i="4"/>
  <c r="S93" i="4"/>
  <c r="T93" i="4"/>
  <c r="U93" i="4"/>
  <c r="V93" i="4"/>
  <c r="S88" i="4"/>
  <c r="T88" i="4"/>
  <c r="U88" i="4"/>
  <c r="V88" i="4"/>
  <c r="S97" i="4"/>
  <c r="T97" i="4"/>
  <c r="U97" i="4"/>
  <c r="V97" i="4"/>
  <c r="S86" i="4"/>
  <c r="T86" i="4"/>
  <c r="U86" i="4"/>
  <c r="V86" i="4"/>
  <c r="S92" i="4"/>
  <c r="T92" i="4"/>
  <c r="U92" i="4"/>
  <c r="V92" i="4"/>
  <c r="S101" i="4"/>
  <c r="T101" i="4"/>
  <c r="U101" i="4"/>
  <c r="V101" i="4"/>
  <c r="S108" i="4"/>
  <c r="T108" i="4"/>
  <c r="U108" i="4"/>
  <c r="V108" i="4"/>
  <c r="S10" i="4"/>
  <c r="T10" i="4"/>
  <c r="U10" i="4"/>
  <c r="V10" i="4"/>
  <c r="S7" i="4"/>
  <c r="T7" i="4"/>
  <c r="U7" i="4"/>
  <c r="V7" i="4"/>
  <c r="S9" i="4"/>
  <c r="T9" i="4"/>
  <c r="U9" i="4"/>
  <c r="V9" i="4"/>
  <c r="S3" i="4"/>
  <c r="T3" i="4"/>
  <c r="U3" i="4"/>
  <c r="V3" i="4"/>
  <c r="S11" i="4"/>
  <c r="T11" i="4"/>
  <c r="U11" i="4"/>
  <c r="V11" i="4"/>
  <c r="S5" i="4"/>
  <c r="T5" i="4"/>
  <c r="U5" i="4"/>
  <c r="V5" i="4"/>
  <c r="S13" i="4"/>
  <c r="T13" i="4"/>
  <c r="U13" i="4"/>
  <c r="V13" i="4"/>
  <c r="S6" i="4"/>
  <c r="T6" i="4"/>
  <c r="U6" i="4"/>
  <c r="V6" i="4"/>
  <c r="S8" i="4"/>
  <c r="T8" i="4"/>
  <c r="U8" i="4"/>
  <c r="V8" i="4"/>
  <c r="S2" i="4"/>
  <c r="T2" i="4"/>
  <c r="U2" i="4"/>
  <c r="V2" i="4"/>
  <c r="S12" i="4"/>
  <c r="T12" i="4"/>
  <c r="U12" i="4"/>
  <c r="V12" i="4"/>
  <c r="S19" i="4"/>
  <c r="T19" i="4"/>
  <c r="U19" i="4"/>
  <c r="V19" i="4"/>
  <c r="S25" i="4"/>
  <c r="T25" i="4"/>
  <c r="U25" i="4"/>
  <c r="V25" i="4"/>
  <c r="S17" i="4"/>
  <c r="T17" i="4"/>
  <c r="U17" i="4"/>
  <c r="V17" i="4"/>
  <c r="S24" i="4"/>
  <c r="T24" i="4"/>
  <c r="U24" i="4"/>
  <c r="V24" i="4"/>
  <c r="S14" i="4"/>
  <c r="T14" i="4"/>
  <c r="U14" i="4"/>
  <c r="V14" i="4"/>
  <c r="S21" i="4"/>
  <c r="T21" i="4"/>
  <c r="U21" i="4"/>
  <c r="V21" i="4"/>
  <c r="S15" i="4"/>
  <c r="T15" i="4"/>
  <c r="U15" i="4"/>
  <c r="V15" i="4"/>
  <c r="S20" i="4"/>
  <c r="T20" i="4"/>
  <c r="U20" i="4"/>
  <c r="V20" i="4"/>
  <c r="S16" i="4"/>
  <c r="T16" i="4"/>
  <c r="U16" i="4"/>
  <c r="V16" i="4"/>
  <c r="S22" i="4"/>
  <c r="T22" i="4"/>
  <c r="U22" i="4"/>
  <c r="V22" i="4"/>
  <c r="S18" i="4"/>
  <c r="T18" i="4"/>
  <c r="U18" i="4"/>
  <c r="V18" i="4"/>
  <c r="S23" i="4"/>
  <c r="T23" i="4"/>
  <c r="U23" i="4"/>
  <c r="V23" i="4"/>
  <c r="S31" i="4"/>
  <c r="T31" i="4"/>
  <c r="U31" i="4"/>
  <c r="V31" i="4"/>
  <c r="S37" i="4"/>
  <c r="T37" i="4"/>
  <c r="U37" i="4"/>
  <c r="V37" i="4"/>
  <c r="S26" i="4"/>
  <c r="T26" i="4"/>
  <c r="U26" i="4"/>
  <c r="V26" i="4"/>
  <c r="S34" i="4"/>
  <c r="T34" i="4"/>
  <c r="U34" i="4"/>
  <c r="V34" i="4"/>
  <c r="S29" i="4"/>
  <c r="T29" i="4"/>
  <c r="U29" i="4"/>
  <c r="V29" i="4"/>
  <c r="S35" i="4"/>
  <c r="T35" i="4"/>
  <c r="U35" i="4"/>
  <c r="V35" i="4"/>
  <c r="S30" i="4"/>
  <c r="T30" i="4"/>
  <c r="U30" i="4"/>
  <c r="V30" i="4"/>
  <c r="S32" i="4"/>
  <c r="T32" i="4"/>
  <c r="U32" i="4"/>
  <c r="V32" i="4"/>
  <c r="S27" i="4"/>
  <c r="T27" i="4"/>
  <c r="U27" i="4"/>
  <c r="V27" i="4"/>
  <c r="S36" i="4"/>
  <c r="T36" i="4"/>
  <c r="U36" i="4"/>
  <c r="V36" i="4"/>
  <c r="S28" i="4"/>
  <c r="T28" i="4"/>
  <c r="U28" i="4"/>
  <c r="V28" i="4"/>
  <c r="S33" i="4"/>
  <c r="T33" i="4"/>
  <c r="U33" i="4"/>
  <c r="V33" i="4"/>
  <c r="S42" i="4"/>
  <c r="T42" i="4"/>
  <c r="U42" i="4"/>
  <c r="V42" i="4"/>
  <c r="S48" i="4"/>
  <c r="T48" i="4"/>
  <c r="U48" i="4"/>
  <c r="V48" i="4"/>
  <c r="S40" i="4"/>
  <c r="T40" i="4"/>
  <c r="U40" i="4"/>
  <c r="V40" i="4"/>
  <c r="S45" i="4"/>
  <c r="T45" i="4"/>
  <c r="U45" i="4"/>
  <c r="V45" i="4"/>
  <c r="S43" i="4"/>
  <c r="T43" i="4"/>
  <c r="U43" i="4"/>
  <c r="V43" i="4"/>
  <c r="S49" i="4"/>
  <c r="T49" i="4"/>
  <c r="U49" i="4"/>
  <c r="V49" i="4"/>
  <c r="S41" i="4"/>
  <c r="T41" i="4"/>
  <c r="U41" i="4"/>
  <c r="V41" i="4"/>
  <c r="S46" i="4"/>
  <c r="T46" i="4"/>
  <c r="U46" i="4"/>
  <c r="V46" i="4"/>
  <c r="S38" i="4"/>
  <c r="T38" i="4"/>
  <c r="U38" i="4"/>
  <c r="V38" i="4"/>
  <c r="S44" i="4"/>
  <c r="T44" i="4"/>
  <c r="U44" i="4"/>
  <c r="V44" i="4"/>
  <c r="S39" i="4"/>
  <c r="T39" i="4"/>
  <c r="U39" i="4"/>
  <c r="V39" i="4"/>
  <c r="S47" i="4"/>
  <c r="T47" i="4"/>
  <c r="U47" i="4"/>
  <c r="V47" i="4"/>
  <c r="S52" i="4"/>
  <c r="T52" i="4"/>
  <c r="U52" i="4"/>
  <c r="V52" i="4"/>
  <c r="S58" i="4"/>
  <c r="T58" i="4"/>
  <c r="U58" i="4"/>
  <c r="V58" i="4"/>
  <c r="S55" i="4"/>
  <c r="T55" i="4"/>
  <c r="U55" i="4"/>
  <c r="V55" i="4"/>
  <c r="S59" i="4"/>
  <c r="T59" i="4"/>
  <c r="U59" i="4"/>
  <c r="V59" i="4"/>
  <c r="S54" i="4"/>
  <c r="T54" i="4"/>
  <c r="U54" i="4"/>
  <c r="V54" i="4"/>
  <c r="T4" i="4"/>
  <c r="U4" i="4"/>
  <c r="V4" i="4"/>
  <c r="S4" i="4"/>
  <c r="F146" i="4" l="1"/>
  <c r="F156" i="4"/>
  <c r="F150" i="4"/>
  <c r="F152" i="4"/>
  <c r="F149" i="4"/>
  <c r="F157" i="4"/>
  <c r="F147" i="4"/>
  <c r="F155" i="4"/>
  <c r="F151" i="4"/>
  <c r="F153" i="4"/>
  <c r="F148" i="4"/>
  <c r="F154" i="4"/>
  <c r="F109" i="4"/>
  <c r="F98" i="4"/>
  <c r="F104" i="4"/>
  <c r="F102" i="4"/>
  <c r="F106" i="4"/>
  <c r="F103" i="4"/>
  <c r="F105" i="4"/>
  <c r="F100" i="4"/>
  <c r="F107" i="4"/>
  <c r="F99" i="4"/>
  <c r="F108" i="4"/>
  <c r="F101" i="4"/>
  <c r="F279" i="4"/>
  <c r="F288" i="4"/>
  <c r="F282" i="4"/>
  <c r="F284" i="4"/>
  <c r="F281" i="4"/>
  <c r="F289" i="4"/>
  <c r="F283" i="4"/>
  <c r="F286" i="4"/>
  <c r="F280" i="4"/>
  <c r="F287" i="4"/>
  <c r="F278" i="4"/>
  <c r="F285" i="4"/>
  <c r="F270" i="4"/>
  <c r="F276" i="4"/>
  <c r="F266" i="4"/>
  <c r="F272" i="4"/>
  <c r="F268" i="4"/>
  <c r="F273" i="4"/>
  <c r="F271" i="4"/>
  <c r="F275" i="4"/>
  <c r="F269" i="4"/>
  <c r="F274" i="4"/>
  <c r="F267" i="4"/>
  <c r="F277" i="4"/>
  <c r="F254" i="4"/>
  <c r="F265" i="4"/>
  <c r="F257" i="4"/>
  <c r="F262" i="4"/>
  <c r="F255" i="4"/>
  <c r="F260" i="4"/>
  <c r="F259" i="4"/>
  <c r="F264" i="4"/>
  <c r="F256" i="4"/>
  <c r="F261" i="4"/>
  <c r="F258" i="4"/>
  <c r="F263" i="4"/>
  <c r="F242" i="4" l="1"/>
  <c r="F253" i="4"/>
  <c r="F246" i="4"/>
  <c r="F248" i="4"/>
  <c r="F247" i="4"/>
  <c r="F250" i="4"/>
  <c r="F244" i="4"/>
  <c r="F249" i="4"/>
  <c r="F243" i="4"/>
  <c r="F251" i="4"/>
  <c r="F245" i="4"/>
  <c r="F252" i="4"/>
  <c r="F230" i="4" l="1"/>
  <c r="G230" i="4" s="1"/>
  <c r="F236" i="4"/>
  <c r="F232" i="4"/>
  <c r="G232" i="4" s="1"/>
  <c r="F241" i="4"/>
  <c r="F235" i="4"/>
  <c r="G235" i="4" s="1"/>
  <c r="F237" i="4"/>
  <c r="F233" i="4"/>
  <c r="G233" i="4" s="1"/>
  <c r="F238" i="4"/>
  <c r="F234" i="4"/>
  <c r="G234" i="4" s="1"/>
  <c r="F239" i="4"/>
  <c r="F231" i="4"/>
  <c r="G231" i="4" s="1"/>
  <c r="F240" i="4"/>
  <c r="F222" i="4"/>
  <c r="G222" i="4" s="1"/>
  <c r="F228" i="4"/>
  <c r="F220" i="4"/>
  <c r="G220" i="4" s="1"/>
  <c r="F227" i="4"/>
  <c r="F223" i="4"/>
  <c r="G223" i="4" s="1"/>
  <c r="F226" i="4"/>
  <c r="F219" i="4"/>
  <c r="G219" i="4" s="1"/>
  <c r="F225" i="4"/>
  <c r="F221" i="4"/>
  <c r="G221" i="4" s="1"/>
  <c r="F224" i="4"/>
  <c r="F218" i="4"/>
  <c r="G218" i="4" s="1"/>
  <c r="F229" i="4"/>
  <c r="F208" i="4"/>
  <c r="G208" i="4" s="1"/>
  <c r="F214" i="4"/>
  <c r="F207" i="4"/>
  <c r="G207" i="4" s="1"/>
  <c r="F213" i="4"/>
  <c r="F211" i="4"/>
  <c r="G211" i="4" s="1"/>
  <c r="F216" i="4"/>
  <c r="F206" i="4"/>
  <c r="G206" i="4" s="1"/>
  <c r="F212" i="4"/>
  <c r="F210" i="4"/>
  <c r="G210" i="4" s="1"/>
  <c r="F217" i="4"/>
  <c r="F209" i="4"/>
  <c r="G209" i="4" s="1"/>
  <c r="F215" i="4"/>
  <c r="F195" i="4"/>
  <c r="G195" i="4" s="1"/>
  <c r="F200" i="4"/>
  <c r="F197" i="4"/>
  <c r="G197" i="4" s="1"/>
  <c r="F201" i="4"/>
  <c r="F194" i="4"/>
  <c r="G194" i="4" s="1"/>
  <c r="F205" i="4"/>
  <c r="F198" i="4"/>
  <c r="G198" i="4" s="1"/>
  <c r="F204" i="4"/>
  <c r="F199" i="4"/>
  <c r="G199" i="4" s="1"/>
  <c r="F203" i="4"/>
  <c r="F196" i="4"/>
  <c r="G196" i="4" s="1"/>
  <c r="F202" i="4"/>
  <c r="F183" i="4"/>
  <c r="G183" i="4" s="1"/>
  <c r="F191" i="4"/>
  <c r="F182" i="4"/>
  <c r="G182" i="4" s="1"/>
  <c r="F188" i="4"/>
  <c r="F185" i="4"/>
  <c r="G185" i="4" s="1"/>
  <c r="F190" i="4"/>
  <c r="F187" i="4"/>
  <c r="G187" i="4" s="1"/>
  <c r="F193" i="4"/>
  <c r="F184" i="4"/>
  <c r="G184" i="4" s="1"/>
  <c r="F189" i="4"/>
  <c r="F186" i="4"/>
  <c r="G186" i="4" s="1"/>
  <c r="F192" i="4"/>
  <c r="F172" i="4"/>
  <c r="G172" i="4" s="1"/>
  <c r="F177" i="4"/>
  <c r="G177" i="4" s="1"/>
  <c r="F180" i="4"/>
  <c r="G180" i="4" s="1"/>
  <c r="F171" i="4"/>
  <c r="G171" i="4"/>
  <c r="F174" i="4"/>
  <c r="F176" i="4"/>
  <c r="G176" i="4" s="1"/>
  <c r="F173" i="4"/>
  <c r="F179" i="4"/>
  <c r="G179" i="4" s="1"/>
  <c r="F170" i="4"/>
  <c r="F178" i="4"/>
  <c r="G178" i="4" s="1"/>
  <c r="F175" i="4"/>
  <c r="F181" i="4"/>
  <c r="G181" i="4" s="1"/>
  <c r="F162" i="4"/>
  <c r="F167" i="4"/>
  <c r="G167" i="4" s="1"/>
  <c r="F161" i="4"/>
  <c r="G161" i="4"/>
  <c r="F165" i="4"/>
  <c r="G165" i="4" s="1"/>
  <c r="F158" i="4"/>
  <c r="G158" i="4" s="1"/>
  <c r="F164" i="4"/>
  <c r="G164" i="4"/>
  <c r="F159" i="4"/>
  <c r="G159" i="4"/>
  <c r="F166" i="4"/>
  <c r="G166" i="4"/>
  <c r="F160" i="4"/>
  <c r="G160" i="4"/>
  <c r="G154" i="4"/>
  <c r="F163" i="4"/>
  <c r="G163" i="4" s="1"/>
  <c r="F168" i="4"/>
  <c r="F169" i="4"/>
  <c r="G169" i="4" s="1"/>
  <c r="G155" i="4"/>
  <c r="G148" i="4"/>
  <c r="G153" i="4"/>
  <c r="G151" i="4"/>
  <c r="F144" i="4"/>
  <c r="F135" i="4"/>
  <c r="F140" i="4"/>
  <c r="F138" i="4"/>
  <c r="F145" i="4"/>
  <c r="F137" i="4"/>
  <c r="F142" i="4"/>
  <c r="F139" i="4"/>
  <c r="F143" i="4"/>
  <c r="F136" i="4"/>
  <c r="F141" i="4"/>
  <c r="F134" i="4"/>
  <c r="F132" i="4"/>
  <c r="F126" i="4"/>
  <c r="F128" i="4"/>
  <c r="F122" i="4"/>
  <c r="F129" i="4"/>
  <c r="F124" i="4"/>
  <c r="F131" i="4"/>
  <c r="F127" i="4"/>
  <c r="F133" i="4"/>
  <c r="G133" i="4" s="1"/>
  <c r="F125" i="4"/>
  <c r="G125" i="4" s="1"/>
  <c r="F130" i="4"/>
  <c r="G130" i="4" s="1"/>
  <c r="F119" i="4"/>
  <c r="G119" i="4" s="1"/>
  <c r="F112" i="4"/>
  <c r="G112" i="4"/>
  <c r="F117" i="4"/>
  <c r="G117" i="4"/>
  <c r="F115" i="4"/>
  <c r="G115" i="4"/>
  <c r="F120" i="4"/>
  <c r="G120" i="4"/>
  <c r="F111" i="4"/>
  <c r="G111" i="4"/>
  <c r="F116" i="4"/>
  <c r="G116" i="4"/>
  <c r="F113" i="4"/>
  <c r="G113" i="4"/>
  <c r="F118" i="4"/>
  <c r="G118" i="4"/>
  <c r="F110" i="4"/>
  <c r="G110" i="4"/>
  <c r="F121" i="4"/>
  <c r="G121" i="4"/>
  <c r="F123" i="4"/>
  <c r="G123" i="4"/>
  <c r="F114" i="4"/>
  <c r="F92" i="4"/>
  <c r="F86" i="4"/>
  <c r="F97" i="4"/>
  <c r="F88" i="4"/>
  <c r="F93" i="4"/>
  <c r="F91" i="4"/>
  <c r="F94" i="4"/>
  <c r="F89" i="4"/>
  <c r="F95" i="4"/>
  <c r="F90" i="4"/>
  <c r="F96" i="4"/>
  <c r="F87" i="4"/>
  <c r="F84" i="4"/>
  <c r="F78" i="4"/>
  <c r="F83" i="4"/>
  <c r="F76" i="4"/>
  <c r="F82" i="4"/>
  <c r="F79" i="4"/>
  <c r="F81" i="4"/>
  <c r="F75" i="4"/>
  <c r="F80" i="4"/>
  <c r="F77" i="4"/>
  <c r="F85" i="4"/>
  <c r="F74" i="4"/>
  <c r="F70" i="4"/>
  <c r="F64" i="4"/>
  <c r="F69" i="4"/>
  <c r="F63" i="4"/>
  <c r="F72" i="4"/>
  <c r="F67" i="4"/>
  <c r="F68" i="4"/>
  <c r="F62" i="4"/>
  <c r="F73" i="4"/>
  <c r="F66" i="4"/>
  <c r="F71" i="4"/>
  <c r="F65" i="4"/>
  <c r="F56" i="4"/>
  <c r="F51" i="4"/>
  <c r="F57" i="4"/>
  <c r="F53" i="4"/>
  <c r="F61" i="4"/>
  <c r="F50" i="4"/>
  <c r="F60" i="4"/>
  <c r="F54" i="4"/>
  <c r="F59" i="4"/>
  <c r="F55" i="4"/>
  <c r="F58" i="4"/>
  <c r="F52" i="4"/>
  <c r="F47" i="4"/>
  <c r="F39" i="4"/>
  <c r="F44" i="4"/>
  <c r="F38" i="4"/>
  <c r="F46" i="4"/>
  <c r="F41" i="4"/>
  <c r="F49" i="4"/>
  <c r="F43" i="4"/>
  <c r="F45" i="4"/>
  <c r="F40" i="4"/>
  <c r="F48" i="4"/>
  <c r="F42" i="4"/>
  <c r="F33" i="4"/>
  <c r="F28" i="4"/>
  <c r="F36" i="4"/>
  <c r="F27" i="4"/>
  <c r="F32" i="4"/>
  <c r="F30" i="4"/>
  <c r="F35" i="4"/>
  <c r="F29" i="4"/>
  <c r="F34" i="4"/>
  <c r="F26" i="4"/>
  <c r="G26" i="4" s="1"/>
  <c r="F37" i="4"/>
  <c r="G37" i="4" s="1"/>
  <c r="F31" i="4"/>
  <c r="G31" i="4" s="1"/>
  <c r="F23" i="4"/>
  <c r="F18" i="4"/>
  <c r="F22" i="4"/>
  <c r="F16" i="4"/>
  <c r="F20" i="4"/>
  <c r="F15" i="4"/>
  <c r="F21" i="4"/>
  <c r="F14" i="4"/>
  <c r="F24" i="4"/>
  <c r="F17" i="4"/>
  <c r="F25" i="4"/>
  <c r="F19" i="4"/>
  <c r="G19" i="4" s="1"/>
  <c r="F12" i="4"/>
  <c r="G12" i="4" s="1"/>
  <c r="F2" i="4"/>
  <c r="G2" i="4" s="1"/>
  <c r="F8" i="4"/>
  <c r="G8" i="4" s="1"/>
  <c r="F6" i="4"/>
  <c r="G6" i="4" s="1"/>
  <c r="F13" i="4"/>
  <c r="G13" i="4" s="1"/>
  <c r="F5" i="4"/>
  <c r="G5" i="4" s="1"/>
  <c r="F11" i="4"/>
  <c r="G11" i="4" s="1"/>
  <c r="F3" i="4"/>
  <c r="G3" i="4" s="1"/>
  <c r="F9" i="4"/>
  <c r="G9" i="4" s="1"/>
  <c r="F7" i="4"/>
  <c r="G7" i="4" s="1"/>
  <c r="F10" i="4"/>
  <c r="G10" i="4" s="1"/>
  <c r="F4" i="4"/>
  <c r="G25" i="4"/>
  <c r="G17" i="4"/>
  <c r="G24" i="4"/>
  <c r="G14" i="4"/>
  <c r="G21" i="4"/>
  <c r="G15" i="4"/>
  <c r="G20" i="4"/>
  <c r="G16" i="4"/>
  <c r="G22" i="4"/>
  <c r="G18" i="4"/>
  <c r="G23" i="4"/>
  <c r="G34" i="4"/>
  <c r="G29" i="4"/>
  <c r="G35" i="4"/>
  <c r="G30" i="4"/>
  <c r="G32" i="4"/>
  <c r="G27" i="4"/>
  <c r="G36" i="4"/>
  <c r="G28" i="4"/>
  <c r="G33" i="4"/>
  <c r="G42" i="4"/>
  <c r="G48" i="4"/>
  <c r="G40" i="4"/>
  <c r="G45" i="4"/>
  <c r="G43" i="4"/>
  <c r="G49" i="4"/>
  <c r="G41" i="4"/>
  <c r="G46" i="4"/>
  <c r="G38" i="4"/>
  <c r="G44" i="4"/>
  <c r="G39" i="4"/>
  <c r="G47" i="4"/>
  <c r="G52" i="4"/>
  <c r="G58" i="4"/>
  <c r="G55" i="4"/>
  <c r="G59" i="4"/>
  <c r="G54" i="4"/>
  <c r="G60" i="4"/>
  <c r="G50" i="4"/>
  <c r="G61" i="4"/>
  <c r="G53" i="4"/>
  <c r="G57" i="4"/>
  <c r="G51" i="4"/>
  <c r="G56" i="4"/>
  <c r="G65" i="4"/>
  <c r="G71" i="4"/>
  <c r="G66" i="4"/>
  <c r="G73" i="4"/>
  <c r="G62" i="4"/>
  <c r="G68" i="4"/>
  <c r="G67" i="4"/>
  <c r="G72" i="4"/>
  <c r="G63" i="4"/>
  <c r="G69" i="4"/>
  <c r="G64" i="4"/>
  <c r="G70" i="4"/>
  <c r="G74" i="4"/>
  <c r="G85" i="4"/>
  <c r="G77" i="4"/>
  <c r="G80" i="4"/>
  <c r="G75" i="4"/>
  <c r="G81" i="4"/>
  <c r="G79" i="4"/>
  <c r="G82" i="4"/>
  <c r="G76" i="4"/>
  <c r="G83" i="4"/>
  <c r="G78" i="4"/>
  <c r="G84" i="4"/>
  <c r="G87" i="4"/>
  <c r="G96" i="4"/>
  <c r="G90" i="4"/>
  <c r="G95" i="4"/>
  <c r="G89" i="4"/>
  <c r="G94" i="4"/>
  <c r="G91" i="4"/>
  <c r="G93" i="4"/>
  <c r="G88" i="4"/>
  <c r="G97" i="4"/>
  <c r="G86" i="4"/>
  <c r="G92" i="4"/>
  <c r="G101" i="4"/>
  <c r="G108" i="4"/>
  <c r="G99" i="4"/>
  <c r="G107" i="4"/>
  <c r="G100" i="4"/>
  <c r="G105" i="4"/>
  <c r="G103" i="4"/>
  <c r="G106" i="4"/>
  <c r="G102" i="4"/>
  <c r="G104" i="4"/>
  <c r="G98" i="4"/>
  <c r="G109" i="4"/>
  <c r="G114" i="4"/>
  <c r="G127" i="4"/>
  <c r="G131" i="4"/>
  <c r="G124" i="4"/>
  <c r="G129" i="4"/>
  <c r="G122" i="4"/>
  <c r="G128" i="4"/>
  <c r="G126" i="4"/>
  <c r="G132" i="4"/>
  <c r="G134" i="4"/>
  <c r="G141" i="4"/>
  <c r="G136" i="4"/>
  <c r="G143" i="4"/>
  <c r="G139" i="4"/>
  <c r="G142" i="4"/>
  <c r="G137" i="4"/>
  <c r="G145" i="4"/>
  <c r="G138" i="4"/>
  <c r="G140" i="4"/>
  <c r="G135" i="4"/>
  <c r="G144" i="4"/>
  <c r="G147" i="4"/>
  <c r="G157" i="4"/>
  <c r="G149" i="4"/>
  <c r="G152" i="4"/>
  <c r="G150" i="4"/>
  <c r="G156" i="4"/>
  <c r="G146" i="4"/>
  <c r="G168" i="4"/>
  <c r="G162" i="4"/>
  <c r="G175" i="4"/>
  <c r="G170" i="4"/>
  <c r="G173" i="4"/>
  <c r="G174" i="4"/>
  <c r="G192" i="4"/>
  <c r="G189" i="4"/>
  <c r="G193" i="4"/>
  <c r="G190" i="4"/>
  <c r="G188" i="4"/>
  <c r="G191" i="4"/>
  <c r="G202" i="4"/>
  <c r="G203" i="4"/>
  <c r="G204" i="4"/>
  <c r="G205" i="4"/>
  <c r="G201" i="4"/>
  <c r="G200" i="4"/>
  <c r="G215" i="4"/>
  <c r="G217" i="4"/>
  <c r="G212" i="4"/>
  <c r="G216" i="4"/>
  <c r="G213" i="4"/>
  <c r="G214" i="4"/>
  <c r="G229" i="4"/>
  <c r="G224" i="4"/>
  <c r="G225" i="4"/>
  <c r="G226" i="4"/>
  <c r="G227" i="4"/>
  <c r="G228" i="4"/>
  <c r="G240" i="4"/>
  <c r="G239" i="4"/>
  <c r="G238" i="4"/>
  <c r="G237" i="4"/>
  <c r="G241" i="4"/>
  <c r="G236" i="4"/>
  <c r="G252" i="4"/>
  <c r="G245" i="4"/>
  <c r="G251" i="4"/>
  <c r="G243" i="4"/>
  <c r="G249" i="4"/>
  <c r="G244" i="4"/>
  <c r="G250" i="4"/>
  <c r="G247" i="4"/>
  <c r="G248" i="4"/>
  <c r="G246" i="4"/>
  <c r="G253" i="4"/>
  <c r="G242" i="4"/>
  <c r="G263" i="4"/>
  <c r="G258" i="4"/>
  <c r="G261" i="4"/>
  <c r="G256" i="4"/>
  <c r="G264" i="4"/>
  <c r="G259" i="4"/>
  <c r="G260" i="4"/>
  <c r="G255" i="4"/>
  <c r="G262" i="4"/>
  <c r="G257" i="4"/>
  <c r="G265" i="4"/>
  <c r="G254" i="4"/>
  <c r="G277" i="4"/>
  <c r="G267" i="4"/>
  <c r="G274" i="4"/>
  <c r="G269" i="4"/>
  <c r="G275" i="4"/>
  <c r="G271" i="4"/>
  <c r="G273" i="4"/>
  <c r="G268" i="4"/>
  <c r="G272" i="4"/>
  <c r="G266" i="4"/>
  <c r="G276" i="4"/>
  <c r="G270" i="4"/>
  <c r="G285" i="4"/>
  <c r="G278" i="4"/>
  <c r="G287" i="4"/>
  <c r="G280" i="4"/>
  <c r="G286" i="4"/>
  <c r="G283" i="4"/>
  <c r="G289" i="4"/>
  <c r="G281" i="4"/>
  <c r="G284" i="4"/>
  <c r="G282" i="4"/>
  <c r="G288" i="4"/>
  <c r="G279" i="4"/>
  <c r="G4" i="4" l="1"/>
  <c r="E3" i="14" l="1"/>
  <c r="F3" i="14" s="1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AH3" i="14" s="1"/>
  <c r="E4" i="14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AG4" i="14" s="1"/>
  <c r="AH4" i="14" s="1"/>
  <c r="E5" i="14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E6" i="14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E7" i="14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AG7" i="14" s="1"/>
  <c r="AH7" i="14" s="1"/>
  <c r="E8" i="14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AG8" i="14" s="1"/>
  <c r="AH8" i="14" s="1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E10" i="14"/>
  <c r="F10" i="14" s="1"/>
  <c r="G10" i="14" s="1"/>
  <c r="H10" i="14" s="1"/>
  <c r="I10" i="14" s="1"/>
  <c r="J10" i="14" s="1"/>
  <c r="K10" i="14" s="1"/>
  <c r="L10" i="14" s="1"/>
  <c r="M10" i="14" s="1"/>
  <c r="E11" i="14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P11" i="14" s="1"/>
  <c r="Q11" i="14" s="1"/>
  <c r="R11" i="14" s="1"/>
  <c r="S11" i="14" s="1"/>
  <c r="T11" i="14" s="1"/>
  <c r="U11" i="14" s="1"/>
  <c r="V11" i="14" s="1"/>
  <c r="W11" i="14" s="1"/>
  <c r="X11" i="14" s="1"/>
  <c r="Y11" i="14" s="1"/>
  <c r="Z11" i="14" s="1"/>
  <c r="AA11" i="14" s="1"/>
  <c r="AB11" i="14" s="1"/>
  <c r="AC11" i="14" s="1"/>
  <c r="AD11" i="14" s="1"/>
  <c r="AE11" i="14" s="1"/>
  <c r="AF11" i="14" s="1"/>
  <c r="AG11" i="14" s="1"/>
  <c r="AH11" i="14" s="1"/>
  <c r="E12" i="14"/>
  <c r="F12" i="14" s="1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E13" i="14"/>
  <c r="F13" i="14" s="1"/>
  <c r="G13" i="14" s="1"/>
  <c r="H13" i="14" s="1"/>
  <c r="I13" i="14" s="1"/>
  <c r="J13" i="14" s="1"/>
  <c r="K13" i="14" s="1"/>
  <c r="L13" i="14" s="1"/>
  <c r="M13" i="14" s="1"/>
  <c r="N13" i="14" s="1"/>
  <c r="O13" i="14" s="1"/>
  <c r="P13" i="14" s="1"/>
  <c r="Q13" i="14" s="1"/>
  <c r="R13" i="14" s="1"/>
  <c r="S13" i="14" s="1"/>
  <c r="T13" i="14" s="1"/>
  <c r="U13" i="14" s="1"/>
  <c r="V13" i="14" s="1"/>
  <c r="W13" i="14" s="1"/>
  <c r="X13" i="14" s="1"/>
  <c r="Y13" i="14" s="1"/>
  <c r="Z13" i="14" s="1"/>
  <c r="AA13" i="14" s="1"/>
  <c r="AB13" i="14" s="1"/>
  <c r="AC13" i="14" s="1"/>
  <c r="AD13" i="14" s="1"/>
  <c r="AE13" i="14" s="1"/>
  <c r="AF13" i="14" s="1"/>
  <c r="AG13" i="14" s="1"/>
  <c r="AH13" i="14" s="1"/>
  <c r="E2" i="14"/>
  <c r="F2" i="14" s="1"/>
  <c r="G2" i="14" s="1"/>
  <c r="H2" i="14" s="1"/>
  <c r="AF68" i="14"/>
  <c r="AF80" i="14" s="1"/>
  <c r="AF67" i="14"/>
  <c r="AF79" i="14" s="1"/>
  <c r="AF66" i="14"/>
  <c r="AF78" i="14" s="1"/>
  <c r="AF65" i="14"/>
  <c r="AF77" i="14" s="1"/>
  <c r="AF64" i="14"/>
  <c r="AF76" i="14" s="1"/>
  <c r="AF63" i="14"/>
  <c r="AF75" i="14" s="1"/>
  <c r="AF62" i="14"/>
  <c r="AF74" i="14" s="1"/>
  <c r="AF61" i="14"/>
  <c r="AF73" i="14" s="1"/>
  <c r="AF60" i="14"/>
  <c r="AF72" i="14" s="1"/>
  <c r="AF59" i="14"/>
  <c r="AF71" i="14" s="1"/>
  <c r="AF58" i="14"/>
  <c r="AF70" i="14" s="1"/>
  <c r="AF57" i="14"/>
  <c r="AF69" i="14" s="1"/>
  <c r="AC68" i="14"/>
  <c r="AC80" i="14" s="1"/>
  <c r="AC67" i="14"/>
  <c r="AC79" i="14" s="1"/>
  <c r="AC66" i="14"/>
  <c r="AC78" i="14" s="1"/>
  <c r="AC65" i="14"/>
  <c r="AC77" i="14" s="1"/>
  <c r="AC64" i="14"/>
  <c r="AC76" i="14" s="1"/>
  <c r="AC63" i="14"/>
  <c r="AC75" i="14" s="1"/>
  <c r="AC62" i="14"/>
  <c r="AC74" i="14" s="1"/>
  <c r="AC61" i="14"/>
  <c r="AC73" i="14" s="1"/>
  <c r="AC60" i="14"/>
  <c r="AC72" i="14" s="1"/>
  <c r="AC59" i="14"/>
  <c r="AC71" i="14" s="1"/>
  <c r="AC58" i="14"/>
  <c r="AC70" i="14" s="1"/>
  <c r="AC57" i="14"/>
  <c r="AC69" i="14" s="1"/>
  <c r="Z68" i="14"/>
  <c r="Z80" i="14" s="1"/>
  <c r="Z67" i="14"/>
  <c r="Z79" i="14" s="1"/>
  <c r="Z66" i="14"/>
  <c r="Z78" i="14" s="1"/>
  <c r="Z65" i="14"/>
  <c r="Z77" i="14" s="1"/>
  <c r="Z64" i="14"/>
  <c r="Z76" i="14" s="1"/>
  <c r="Z63" i="14"/>
  <c r="Z75" i="14" s="1"/>
  <c r="Z62" i="14"/>
  <c r="Z74" i="14" s="1"/>
  <c r="Z61" i="14"/>
  <c r="Z73" i="14" s="1"/>
  <c r="Z60" i="14"/>
  <c r="Z72" i="14" s="1"/>
  <c r="Z59" i="14"/>
  <c r="Z71" i="14" s="1"/>
  <c r="Z58" i="14"/>
  <c r="Z70" i="14" s="1"/>
  <c r="Z57" i="14"/>
  <c r="Z69" i="14" s="1"/>
  <c r="W68" i="14"/>
  <c r="W80" i="14" s="1"/>
  <c r="W67" i="14"/>
  <c r="W79" i="14" s="1"/>
  <c r="W66" i="14"/>
  <c r="W78" i="14" s="1"/>
  <c r="W65" i="14"/>
  <c r="W77" i="14" s="1"/>
  <c r="W64" i="14"/>
  <c r="W76" i="14" s="1"/>
  <c r="W63" i="14"/>
  <c r="W75" i="14" s="1"/>
  <c r="W62" i="14"/>
  <c r="W74" i="14" s="1"/>
  <c r="W61" i="14"/>
  <c r="W73" i="14" s="1"/>
  <c r="W60" i="14"/>
  <c r="W72" i="14" s="1"/>
  <c r="W59" i="14"/>
  <c r="W71" i="14" s="1"/>
  <c r="W58" i="14"/>
  <c r="W70" i="14" s="1"/>
  <c r="W57" i="14"/>
  <c r="W69" i="14" s="1"/>
  <c r="T68" i="14"/>
  <c r="T80" i="14" s="1"/>
  <c r="T67" i="14"/>
  <c r="T79" i="14" s="1"/>
  <c r="T66" i="14"/>
  <c r="T78" i="14" s="1"/>
  <c r="T65" i="14"/>
  <c r="T77" i="14" s="1"/>
  <c r="T64" i="14"/>
  <c r="T76" i="14" s="1"/>
  <c r="T63" i="14"/>
  <c r="T75" i="14" s="1"/>
  <c r="T62" i="14"/>
  <c r="T74" i="14" s="1"/>
  <c r="T61" i="14"/>
  <c r="T73" i="14" s="1"/>
  <c r="T60" i="14"/>
  <c r="T72" i="14" s="1"/>
  <c r="T59" i="14"/>
  <c r="T71" i="14" s="1"/>
  <c r="T58" i="14"/>
  <c r="T70" i="14" s="1"/>
  <c r="T57" i="14"/>
  <c r="T69" i="14" s="1"/>
  <c r="Q68" i="14"/>
  <c r="Q80" i="14" s="1"/>
  <c r="Q67" i="14"/>
  <c r="Q79" i="14" s="1"/>
  <c r="Q66" i="14"/>
  <c r="Q78" i="14" s="1"/>
  <c r="Q65" i="14"/>
  <c r="Q77" i="14" s="1"/>
  <c r="Q64" i="14"/>
  <c r="Q76" i="14" s="1"/>
  <c r="Q63" i="14"/>
  <c r="Q75" i="14" s="1"/>
  <c r="Q62" i="14"/>
  <c r="Q74" i="14" s="1"/>
  <c r="Q61" i="14"/>
  <c r="Q73" i="14" s="1"/>
  <c r="Q60" i="14"/>
  <c r="Q72" i="14" s="1"/>
  <c r="Q59" i="14"/>
  <c r="Q71" i="14" s="1"/>
  <c r="Q58" i="14"/>
  <c r="Q70" i="14" s="1"/>
  <c r="Q57" i="14"/>
  <c r="Q69" i="14" s="1"/>
  <c r="N68" i="14"/>
  <c r="N80" i="14" s="1"/>
  <c r="N67" i="14"/>
  <c r="N79" i="14" s="1"/>
  <c r="N66" i="14"/>
  <c r="N78" i="14" s="1"/>
  <c r="N65" i="14"/>
  <c r="N77" i="14" s="1"/>
  <c r="N64" i="14"/>
  <c r="N76" i="14" s="1"/>
  <c r="N63" i="14"/>
  <c r="N75" i="14" s="1"/>
  <c r="N62" i="14"/>
  <c r="N74" i="14" s="1"/>
  <c r="N61" i="14"/>
  <c r="N73" i="14" s="1"/>
  <c r="N60" i="14"/>
  <c r="N72" i="14" s="1"/>
  <c r="N59" i="14"/>
  <c r="N71" i="14" s="1"/>
  <c r="N58" i="14"/>
  <c r="N70" i="14" s="1"/>
  <c r="N57" i="14"/>
  <c r="N69" i="14" s="1"/>
  <c r="K68" i="14"/>
  <c r="K80" i="14" s="1"/>
  <c r="K67" i="14"/>
  <c r="K79" i="14" s="1"/>
  <c r="K66" i="14"/>
  <c r="K78" i="14" s="1"/>
  <c r="K65" i="14"/>
  <c r="K77" i="14" s="1"/>
  <c r="K64" i="14"/>
  <c r="K76" i="14" s="1"/>
  <c r="K63" i="14"/>
  <c r="K75" i="14" s="1"/>
  <c r="K62" i="14"/>
  <c r="K74" i="14" s="1"/>
  <c r="K61" i="14"/>
  <c r="K73" i="14" s="1"/>
  <c r="K60" i="14"/>
  <c r="K72" i="14" s="1"/>
  <c r="K59" i="14"/>
  <c r="K71" i="14" s="1"/>
  <c r="K58" i="14"/>
  <c r="K70" i="14" s="1"/>
  <c r="K57" i="14"/>
  <c r="K69" i="14" s="1"/>
  <c r="H68" i="14"/>
  <c r="H80" i="14" s="1"/>
  <c r="H67" i="14"/>
  <c r="H79" i="14" s="1"/>
  <c r="H66" i="14"/>
  <c r="H78" i="14" s="1"/>
  <c r="H65" i="14"/>
  <c r="H77" i="14" s="1"/>
  <c r="H64" i="14"/>
  <c r="H76" i="14" s="1"/>
  <c r="H63" i="14"/>
  <c r="H75" i="14" s="1"/>
  <c r="H62" i="14"/>
  <c r="H74" i="14" s="1"/>
  <c r="H61" i="14"/>
  <c r="H73" i="14" s="1"/>
  <c r="H60" i="14"/>
  <c r="H72" i="14" s="1"/>
  <c r="H59" i="14"/>
  <c r="H71" i="14" s="1"/>
  <c r="H58" i="14"/>
  <c r="H70" i="14" s="1"/>
  <c r="H57" i="14"/>
  <c r="H69" i="14" s="1"/>
  <c r="E76" i="14"/>
  <c r="E33" i="14" s="1"/>
  <c r="F33" i="14" s="1"/>
  <c r="G33" i="14" s="1"/>
  <c r="H33" i="14" s="1"/>
  <c r="I33" i="14" s="1"/>
  <c r="J33" i="14" s="1"/>
  <c r="K33" i="14" s="1"/>
  <c r="L33" i="14" s="1"/>
  <c r="M33" i="14" s="1"/>
  <c r="E58" i="14"/>
  <c r="E15" i="14" s="1"/>
  <c r="F15" i="14" s="1"/>
  <c r="G15" i="14" s="1"/>
  <c r="E59" i="14"/>
  <c r="E16" i="14" s="1"/>
  <c r="F16" i="14" s="1"/>
  <c r="G16" i="14" s="1"/>
  <c r="H16" i="14" s="1"/>
  <c r="I16" i="14" s="1"/>
  <c r="J16" i="14" s="1"/>
  <c r="K16" i="14" s="1"/>
  <c r="L16" i="14" s="1"/>
  <c r="M16" i="14" s="1"/>
  <c r="N16" i="14" s="1"/>
  <c r="O16" i="14" s="1"/>
  <c r="P16" i="14" s="1"/>
  <c r="Q16" i="14" s="1"/>
  <c r="R16" i="14" s="1"/>
  <c r="S16" i="14" s="1"/>
  <c r="T16" i="14" s="1"/>
  <c r="U16" i="14" s="1"/>
  <c r="V16" i="14" s="1"/>
  <c r="W16" i="14" s="1"/>
  <c r="X16" i="14" s="1"/>
  <c r="Y16" i="14" s="1"/>
  <c r="Z16" i="14" s="1"/>
  <c r="AA16" i="14" s="1"/>
  <c r="AB16" i="14" s="1"/>
  <c r="AC16" i="14" s="1"/>
  <c r="AD16" i="14" s="1"/>
  <c r="AE16" i="14" s="1"/>
  <c r="AF16" i="14" s="1"/>
  <c r="AG16" i="14" s="1"/>
  <c r="AH16" i="14" s="1"/>
  <c r="E60" i="14"/>
  <c r="E17" i="14" s="1"/>
  <c r="F17" i="14" s="1"/>
  <c r="G17" i="14" s="1"/>
  <c r="E61" i="14"/>
  <c r="E18" i="14" s="1"/>
  <c r="F18" i="14" s="1"/>
  <c r="G18" i="14" s="1"/>
  <c r="H18" i="14" s="1"/>
  <c r="I18" i="14" s="1"/>
  <c r="J18" i="14" s="1"/>
  <c r="K18" i="14" s="1"/>
  <c r="L18" i="14" s="1"/>
  <c r="M18" i="14" s="1"/>
  <c r="N18" i="14" s="1"/>
  <c r="O18" i="14" s="1"/>
  <c r="P18" i="14" s="1"/>
  <c r="Q18" i="14" s="1"/>
  <c r="R18" i="14" s="1"/>
  <c r="S18" i="14" s="1"/>
  <c r="T18" i="14" s="1"/>
  <c r="U18" i="14" s="1"/>
  <c r="V18" i="14" s="1"/>
  <c r="W18" i="14" s="1"/>
  <c r="X18" i="14" s="1"/>
  <c r="Y18" i="14" s="1"/>
  <c r="Z18" i="14" s="1"/>
  <c r="AA18" i="14" s="1"/>
  <c r="AB18" i="14" s="1"/>
  <c r="AC18" i="14" s="1"/>
  <c r="AD18" i="14" s="1"/>
  <c r="AE18" i="14" s="1"/>
  <c r="AF18" i="14" s="1"/>
  <c r="AG18" i="14" s="1"/>
  <c r="AH18" i="14" s="1"/>
  <c r="E62" i="14"/>
  <c r="E74" i="14" s="1"/>
  <c r="E31" i="14" s="1"/>
  <c r="F31" i="14" s="1"/>
  <c r="G31" i="14" s="1"/>
  <c r="E63" i="14"/>
  <c r="E20" i="14" s="1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P20" i="14" s="1"/>
  <c r="Q20" i="14" s="1"/>
  <c r="R20" i="14" s="1"/>
  <c r="S20" i="14" s="1"/>
  <c r="T20" i="14" s="1"/>
  <c r="U20" i="14" s="1"/>
  <c r="V20" i="14" s="1"/>
  <c r="W20" i="14" s="1"/>
  <c r="X20" i="14" s="1"/>
  <c r="Y20" i="14" s="1"/>
  <c r="Z20" i="14" s="1"/>
  <c r="AA20" i="14" s="1"/>
  <c r="AB20" i="14" s="1"/>
  <c r="AC20" i="14" s="1"/>
  <c r="AD20" i="14" s="1"/>
  <c r="AE20" i="14" s="1"/>
  <c r="AF20" i="14" s="1"/>
  <c r="AG20" i="14" s="1"/>
  <c r="AH20" i="14" s="1"/>
  <c r="E64" i="14"/>
  <c r="E21" i="14" s="1"/>
  <c r="F21" i="14" s="1"/>
  <c r="G21" i="14" s="1"/>
  <c r="E65" i="14"/>
  <c r="E22" i="14" s="1"/>
  <c r="F22" i="14" s="1"/>
  <c r="G22" i="14" s="1"/>
  <c r="H22" i="14" s="1"/>
  <c r="I22" i="14" s="1"/>
  <c r="J22" i="14" s="1"/>
  <c r="K22" i="14" s="1"/>
  <c r="L22" i="14" s="1"/>
  <c r="M22" i="14" s="1"/>
  <c r="N22" i="14" s="1"/>
  <c r="O22" i="14" s="1"/>
  <c r="P22" i="14" s="1"/>
  <c r="Q22" i="14" s="1"/>
  <c r="R22" i="14" s="1"/>
  <c r="S22" i="14" s="1"/>
  <c r="T22" i="14" s="1"/>
  <c r="U22" i="14" s="1"/>
  <c r="V22" i="14" s="1"/>
  <c r="W22" i="14" s="1"/>
  <c r="X22" i="14" s="1"/>
  <c r="Y22" i="14" s="1"/>
  <c r="Z22" i="14" s="1"/>
  <c r="AA22" i="14" s="1"/>
  <c r="E66" i="14"/>
  <c r="E23" i="14" s="1"/>
  <c r="F23" i="14" s="1"/>
  <c r="G23" i="14" s="1"/>
  <c r="E67" i="14"/>
  <c r="E24" i="14" s="1"/>
  <c r="F24" i="14" s="1"/>
  <c r="G24" i="14" s="1"/>
  <c r="H24" i="14" s="1"/>
  <c r="I24" i="14" s="1"/>
  <c r="J24" i="14" s="1"/>
  <c r="K24" i="14" s="1"/>
  <c r="L24" i="14" s="1"/>
  <c r="M24" i="14" s="1"/>
  <c r="N24" i="14" s="1"/>
  <c r="O24" i="14" s="1"/>
  <c r="P24" i="14" s="1"/>
  <c r="Q24" i="14" s="1"/>
  <c r="R24" i="14" s="1"/>
  <c r="S24" i="14" s="1"/>
  <c r="T24" i="14" s="1"/>
  <c r="U24" i="14" s="1"/>
  <c r="V24" i="14" s="1"/>
  <c r="W24" i="14" s="1"/>
  <c r="X24" i="14" s="1"/>
  <c r="Y24" i="14" s="1"/>
  <c r="Z24" i="14" s="1"/>
  <c r="AA24" i="14" s="1"/>
  <c r="AB24" i="14" s="1"/>
  <c r="AC24" i="14" s="1"/>
  <c r="AD24" i="14" s="1"/>
  <c r="AE24" i="14" s="1"/>
  <c r="AF24" i="14" s="1"/>
  <c r="AG24" i="14" s="1"/>
  <c r="AH24" i="14" s="1"/>
  <c r="E68" i="14"/>
  <c r="E80" i="14" s="1"/>
  <c r="E37" i="14" s="1"/>
  <c r="F37" i="14" s="1"/>
  <c r="G37" i="14" s="1"/>
  <c r="H37" i="14" s="1"/>
  <c r="I37" i="14" s="1"/>
  <c r="J37" i="14" s="1"/>
  <c r="K37" i="14" s="1"/>
  <c r="L37" i="14" s="1"/>
  <c r="M37" i="14" s="1"/>
  <c r="N37" i="14" s="1"/>
  <c r="O37" i="14" s="1"/>
  <c r="P37" i="14" s="1"/>
  <c r="Q37" i="14" s="1"/>
  <c r="R37" i="14" s="1"/>
  <c r="S37" i="14" s="1"/>
  <c r="T37" i="14" s="1"/>
  <c r="U37" i="14" s="1"/>
  <c r="V37" i="14" s="1"/>
  <c r="W37" i="14" s="1"/>
  <c r="X37" i="14" s="1"/>
  <c r="Y37" i="14" s="1"/>
  <c r="Z37" i="14" s="1"/>
  <c r="AA37" i="14" s="1"/>
  <c r="AB37" i="14" s="1"/>
  <c r="AC37" i="14" s="1"/>
  <c r="AD37" i="14" s="1"/>
  <c r="AE37" i="14" s="1"/>
  <c r="AF37" i="14" s="1"/>
  <c r="AG37" i="14" s="1"/>
  <c r="AH37" i="14" s="1"/>
  <c r="E57" i="14"/>
  <c r="E14" i="14" s="1"/>
  <c r="H23" i="14" l="1"/>
  <c r="I23" i="14" s="1"/>
  <c r="J23" i="14" s="1"/>
  <c r="H21" i="14"/>
  <c r="I21" i="14" s="1"/>
  <c r="J21" i="14" s="1"/>
  <c r="H31" i="14"/>
  <c r="I31" i="14" s="1"/>
  <c r="J31" i="14" s="1"/>
  <c r="H17" i="14"/>
  <c r="I17" i="14" s="1"/>
  <c r="J17" i="14" s="1"/>
  <c r="H15" i="14"/>
  <c r="I15" i="14" s="1"/>
  <c r="J15" i="14" s="1"/>
  <c r="E25" i="14"/>
  <c r="F25" i="14" s="1"/>
  <c r="G25" i="14" s="1"/>
  <c r="H25" i="14" s="1"/>
  <c r="I25" i="14" s="1"/>
  <c r="J25" i="14" s="1"/>
  <c r="E69" i="14"/>
  <c r="E26" i="14" s="1"/>
  <c r="F26" i="14" s="1"/>
  <c r="G26" i="14" s="1"/>
  <c r="H26" i="14" s="1"/>
  <c r="I26" i="14" s="1"/>
  <c r="J26" i="14" s="1"/>
  <c r="K26" i="14" s="1"/>
  <c r="L26" i="14" s="1"/>
  <c r="M26" i="14" s="1"/>
  <c r="N26" i="14" s="1"/>
  <c r="O26" i="14" s="1"/>
  <c r="P26" i="14" s="1"/>
  <c r="Q26" i="14" s="1"/>
  <c r="R26" i="14" s="1"/>
  <c r="S26" i="14" s="1"/>
  <c r="T26" i="14" s="1"/>
  <c r="U26" i="14" s="1"/>
  <c r="V26" i="14" s="1"/>
  <c r="W26" i="14" s="1"/>
  <c r="X26" i="14" s="1"/>
  <c r="Y26" i="14" s="1"/>
  <c r="Z26" i="14" s="1"/>
  <c r="AA26" i="14" s="1"/>
  <c r="AB26" i="14" s="1"/>
  <c r="AC26" i="14" s="1"/>
  <c r="AD26" i="14" s="1"/>
  <c r="AE26" i="14" s="1"/>
  <c r="AF26" i="14" s="1"/>
  <c r="AG26" i="14" s="1"/>
  <c r="AH26" i="14" s="1"/>
  <c r="E73" i="14"/>
  <c r="E30" i="14" s="1"/>
  <c r="F30" i="14" s="1"/>
  <c r="G30" i="14" s="1"/>
  <c r="H30" i="14" s="1"/>
  <c r="I30" i="14" s="1"/>
  <c r="J30" i="14" s="1"/>
  <c r="K30" i="14" s="1"/>
  <c r="L30" i="14" s="1"/>
  <c r="M30" i="14" s="1"/>
  <c r="N30" i="14" s="1"/>
  <c r="O30" i="14" s="1"/>
  <c r="P30" i="14" s="1"/>
  <c r="N33" i="14"/>
  <c r="O33" i="14" s="1"/>
  <c r="P33" i="14" s="1"/>
  <c r="Q33" i="14" s="1"/>
  <c r="R33" i="14" s="1"/>
  <c r="S33" i="14" s="1"/>
  <c r="T33" i="14" s="1"/>
  <c r="U33" i="14" s="1"/>
  <c r="V33" i="14" s="1"/>
  <c r="K25" i="14"/>
  <c r="L25" i="14" s="1"/>
  <c r="M25" i="14" s="1"/>
  <c r="N25" i="14" s="1"/>
  <c r="O25" i="14" s="1"/>
  <c r="P25" i="14" s="1"/>
  <c r="Q25" i="14" s="1"/>
  <c r="R25" i="14" s="1"/>
  <c r="S25" i="14" s="1"/>
  <c r="T25" i="14" s="1"/>
  <c r="U25" i="14" s="1"/>
  <c r="V25" i="14" s="1"/>
  <c r="W25" i="14" s="1"/>
  <c r="X25" i="14" s="1"/>
  <c r="Y25" i="14" s="1"/>
  <c r="Z25" i="14" s="1"/>
  <c r="AA25" i="14" s="1"/>
  <c r="AB25" i="14" s="1"/>
  <c r="AC25" i="14" s="1"/>
  <c r="AD25" i="14" s="1"/>
  <c r="AE25" i="14" s="1"/>
  <c r="AF25" i="14" s="1"/>
  <c r="AG25" i="14" s="1"/>
  <c r="AH25" i="14" s="1"/>
  <c r="K23" i="14"/>
  <c r="L23" i="14" s="1"/>
  <c r="M23" i="14" s="1"/>
  <c r="N23" i="14" s="1"/>
  <c r="O23" i="14" s="1"/>
  <c r="P23" i="14" s="1"/>
  <c r="Q23" i="14" s="1"/>
  <c r="R23" i="14" s="1"/>
  <c r="S23" i="14" s="1"/>
  <c r="T23" i="14" s="1"/>
  <c r="U23" i="14" s="1"/>
  <c r="V23" i="14" s="1"/>
  <c r="W23" i="14" s="1"/>
  <c r="X23" i="14" s="1"/>
  <c r="Y23" i="14" s="1"/>
  <c r="Z23" i="14" s="1"/>
  <c r="AA23" i="14" s="1"/>
  <c r="AB23" i="14" s="1"/>
  <c r="AC23" i="14" s="1"/>
  <c r="AD23" i="14" s="1"/>
  <c r="AE23" i="14" s="1"/>
  <c r="AF23" i="14" s="1"/>
  <c r="AG23" i="14" s="1"/>
  <c r="AH23" i="14" s="1"/>
  <c r="K21" i="14"/>
  <c r="L21" i="14" s="1"/>
  <c r="M21" i="14" s="1"/>
  <c r="N21" i="14" s="1"/>
  <c r="O21" i="14" s="1"/>
  <c r="P21" i="14" s="1"/>
  <c r="Q21" i="14" s="1"/>
  <c r="R21" i="14" s="1"/>
  <c r="S21" i="14" s="1"/>
  <c r="T21" i="14" s="1"/>
  <c r="U21" i="14" s="1"/>
  <c r="V21" i="14" s="1"/>
  <c r="W21" i="14" s="1"/>
  <c r="X21" i="14" s="1"/>
  <c r="Y21" i="14" s="1"/>
  <c r="Z21" i="14" s="1"/>
  <c r="AA21" i="14" s="1"/>
  <c r="AB21" i="14" s="1"/>
  <c r="AC21" i="14" s="1"/>
  <c r="AD21" i="14" s="1"/>
  <c r="AE21" i="14" s="1"/>
  <c r="AF21" i="14" s="1"/>
  <c r="AG21" i="14" s="1"/>
  <c r="AH21" i="14" s="1"/>
  <c r="K31" i="14"/>
  <c r="L31" i="14" s="1"/>
  <c r="M31" i="14" s="1"/>
  <c r="N31" i="14" s="1"/>
  <c r="O31" i="14" s="1"/>
  <c r="P31" i="14" s="1"/>
  <c r="Q31" i="14" s="1"/>
  <c r="R31" i="14" s="1"/>
  <c r="S31" i="14" s="1"/>
  <c r="T31" i="14" s="1"/>
  <c r="U31" i="14" s="1"/>
  <c r="V31" i="14" s="1"/>
  <c r="W31" i="14" s="1"/>
  <c r="X31" i="14" s="1"/>
  <c r="Y31" i="14" s="1"/>
  <c r="Z31" i="14" s="1"/>
  <c r="AA31" i="14" s="1"/>
  <c r="AB31" i="14" s="1"/>
  <c r="AC31" i="14" s="1"/>
  <c r="AD31" i="14" s="1"/>
  <c r="AE31" i="14" s="1"/>
  <c r="AF31" i="14" s="1"/>
  <c r="AG31" i="14" s="1"/>
  <c r="AH31" i="14" s="1"/>
  <c r="K17" i="14"/>
  <c r="L17" i="14" s="1"/>
  <c r="M17" i="14" s="1"/>
  <c r="N17" i="14" s="1"/>
  <c r="O17" i="14" s="1"/>
  <c r="P17" i="14" s="1"/>
  <c r="Q17" i="14" s="1"/>
  <c r="R17" i="14" s="1"/>
  <c r="S17" i="14" s="1"/>
  <c r="T17" i="14" s="1"/>
  <c r="U17" i="14" s="1"/>
  <c r="V17" i="14" s="1"/>
  <c r="W17" i="14" s="1"/>
  <c r="X17" i="14" s="1"/>
  <c r="Y17" i="14" s="1"/>
  <c r="Z17" i="14" s="1"/>
  <c r="AA17" i="14" s="1"/>
  <c r="AB17" i="14" s="1"/>
  <c r="AC17" i="14" s="1"/>
  <c r="AD17" i="14" s="1"/>
  <c r="AE17" i="14" s="1"/>
  <c r="AF17" i="14" s="1"/>
  <c r="AG17" i="14" s="1"/>
  <c r="AH17" i="14" s="1"/>
  <c r="K15" i="14"/>
  <c r="L15" i="14" s="1"/>
  <c r="M15" i="14" s="1"/>
  <c r="N15" i="14" s="1"/>
  <c r="O15" i="14" s="1"/>
  <c r="P15" i="14" s="1"/>
  <c r="Q15" i="14" s="1"/>
  <c r="R15" i="14" s="1"/>
  <c r="S15" i="14" s="1"/>
  <c r="T15" i="14" s="1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AH15" i="14" s="1"/>
  <c r="E72" i="14"/>
  <c r="E29" i="14" s="1"/>
  <c r="F29" i="14" s="1"/>
  <c r="G29" i="14" s="1"/>
  <c r="E75" i="14"/>
  <c r="E32" i="14" s="1"/>
  <c r="F32" i="14" s="1"/>
  <c r="G32" i="14" s="1"/>
  <c r="H32" i="14" s="1"/>
  <c r="I32" i="14" s="1"/>
  <c r="J32" i="14" s="1"/>
  <c r="K32" i="14" s="1"/>
  <c r="L32" i="14" s="1"/>
  <c r="M32" i="14" s="1"/>
  <c r="N32" i="14" s="1"/>
  <c r="O32" i="14" s="1"/>
  <c r="P32" i="14" s="1"/>
  <c r="Q32" i="14" s="1"/>
  <c r="R32" i="14" s="1"/>
  <c r="S32" i="14" s="1"/>
  <c r="T32" i="14" s="1"/>
  <c r="U32" i="14" s="1"/>
  <c r="V32" i="14" s="1"/>
  <c r="W32" i="14" s="1"/>
  <c r="X32" i="14" s="1"/>
  <c r="Y32" i="14" s="1"/>
  <c r="Z32" i="14" s="1"/>
  <c r="AA32" i="14" s="1"/>
  <c r="AB32" i="14" s="1"/>
  <c r="AC32" i="14" s="1"/>
  <c r="AD32" i="14" s="1"/>
  <c r="AE32" i="14" s="1"/>
  <c r="AF32" i="14" s="1"/>
  <c r="AG32" i="14" s="1"/>
  <c r="AH32" i="14" s="1"/>
  <c r="W33" i="14"/>
  <c r="X33" i="14" s="1"/>
  <c r="Y33" i="14" s="1"/>
  <c r="Z33" i="14" s="1"/>
  <c r="AA33" i="14" s="1"/>
  <c r="AB33" i="14" s="1"/>
  <c r="AC33" i="14" s="1"/>
  <c r="AD33" i="14" s="1"/>
  <c r="AE33" i="14" s="1"/>
  <c r="AF33" i="14" s="1"/>
  <c r="AG33" i="14" s="1"/>
  <c r="AH33" i="14" s="1"/>
  <c r="AB22" i="14"/>
  <c r="AC22" i="14" s="1"/>
  <c r="AD22" i="14" s="1"/>
  <c r="AE22" i="14" s="1"/>
  <c r="AF22" i="14" s="1"/>
  <c r="AG22" i="14" s="1"/>
  <c r="AH22" i="14" s="1"/>
  <c r="Q30" i="14"/>
  <c r="R30" i="14" s="1"/>
  <c r="S30" i="14" s="1"/>
  <c r="T30" i="14" s="1"/>
  <c r="U30" i="14" s="1"/>
  <c r="V30" i="14" s="1"/>
  <c r="W30" i="14" s="1"/>
  <c r="X30" i="14" s="1"/>
  <c r="Y30" i="14" s="1"/>
  <c r="Z30" i="14" s="1"/>
  <c r="AA30" i="14" s="1"/>
  <c r="AB30" i="14" s="1"/>
  <c r="AC30" i="14" s="1"/>
  <c r="AD30" i="14" s="1"/>
  <c r="AE30" i="14" s="1"/>
  <c r="AF30" i="14" s="1"/>
  <c r="AG30" i="14" s="1"/>
  <c r="AH30" i="14" s="1"/>
  <c r="E19" i="14"/>
  <c r="F19" i="14" s="1"/>
  <c r="G19" i="14" s="1"/>
  <c r="H19" i="14" s="1"/>
  <c r="I19" i="14" s="1"/>
  <c r="J19" i="14" s="1"/>
  <c r="K19" i="14" s="1"/>
  <c r="L19" i="14" s="1"/>
  <c r="M19" i="14" s="1"/>
  <c r="N19" i="14" s="1"/>
  <c r="O19" i="14" s="1"/>
  <c r="P19" i="14" s="1"/>
  <c r="Q19" i="14" s="1"/>
  <c r="R19" i="14" s="1"/>
  <c r="S19" i="14" s="1"/>
  <c r="T19" i="14" s="1"/>
  <c r="U19" i="14" s="1"/>
  <c r="V19" i="14" s="1"/>
  <c r="W19" i="14" s="1"/>
  <c r="X19" i="14" s="1"/>
  <c r="Y19" i="14" s="1"/>
  <c r="Z19" i="14" s="1"/>
  <c r="AA19" i="14" s="1"/>
  <c r="AB19" i="14" s="1"/>
  <c r="AC19" i="14" s="1"/>
  <c r="AD19" i="14" s="1"/>
  <c r="AE19" i="14" s="1"/>
  <c r="AF19" i="14" s="1"/>
  <c r="AG19" i="14" s="1"/>
  <c r="AH19" i="14" s="1"/>
  <c r="E77" i="14"/>
  <c r="E34" i="14" s="1"/>
  <c r="F34" i="14" s="1"/>
  <c r="G34" i="14" s="1"/>
  <c r="H34" i="14" s="1"/>
  <c r="I34" i="14" s="1"/>
  <c r="J34" i="14" s="1"/>
  <c r="K34" i="14" s="1"/>
  <c r="L34" i="14" s="1"/>
  <c r="M34" i="14" s="1"/>
  <c r="N34" i="14" s="1"/>
  <c r="O34" i="14" s="1"/>
  <c r="P34" i="14" s="1"/>
  <c r="Q34" i="14" s="1"/>
  <c r="R34" i="14" s="1"/>
  <c r="S34" i="14" s="1"/>
  <c r="T34" i="14" s="1"/>
  <c r="U34" i="14" s="1"/>
  <c r="V34" i="14" s="1"/>
  <c r="W34" i="14" s="1"/>
  <c r="X34" i="14" s="1"/>
  <c r="Y34" i="14" s="1"/>
  <c r="Z34" i="14" s="1"/>
  <c r="AA34" i="14" s="1"/>
  <c r="H29" i="14"/>
  <c r="I29" i="14" s="1"/>
  <c r="J29" i="14" s="1"/>
  <c r="K29" i="14" s="1"/>
  <c r="L29" i="14" s="1"/>
  <c r="M29" i="14" s="1"/>
  <c r="N29" i="14" s="1"/>
  <c r="O29" i="14" s="1"/>
  <c r="P29" i="14" s="1"/>
  <c r="Q29" i="14" s="1"/>
  <c r="R29" i="14" s="1"/>
  <c r="S29" i="14" s="1"/>
  <c r="T29" i="14" s="1"/>
  <c r="U29" i="14" s="1"/>
  <c r="V29" i="14" s="1"/>
  <c r="W29" i="14" s="1"/>
  <c r="X29" i="14" s="1"/>
  <c r="Y29" i="14" s="1"/>
  <c r="Z29" i="14" s="1"/>
  <c r="AA29" i="14" s="1"/>
  <c r="AB29" i="14" s="1"/>
  <c r="AC29" i="14" s="1"/>
  <c r="AD29" i="14" s="1"/>
  <c r="AE29" i="14" s="1"/>
  <c r="AF29" i="14" s="1"/>
  <c r="AG29" i="14" s="1"/>
  <c r="AH29" i="14" s="1"/>
  <c r="E70" i="14"/>
  <c r="E27" i="14" s="1"/>
  <c r="F27" i="14" s="1"/>
  <c r="G27" i="14" s="1"/>
  <c r="H27" i="14" s="1"/>
  <c r="I27" i="14" s="1"/>
  <c r="J27" i="14" s="1"/>
  <c r="K27" i="14" s="1"/>
  <c r="L27" i="14" s="1"/>
  <c r="M27" i="14" s="1"/>
  <c r="N27" i="14" s="1"/>
  <c r="O27" i="14" s="1"/>
  <c r="P27" i="14" s="1"/>
  <c r="Q27" i="14" s="1"/>
  <c r="R27" i="14" s="1"/>
  <c r="S27" i="14" s="1"/>
  <c r="T27" i="14" s="1"/>
  <c r="U27" i="14" s="1"/>
  <c r="V27" i="14" s="1"/>
  <c r="W27" i="14" s="1"/>
  <c r="X27" i="14" s="1"/>
  <c r="Y27" i="14" s="1"/>
  <c r="Z27" i="14" s="1"/>
  <c r="AA27" i="14" s="1"/>
  <c r="AB27" i="14" s="1"/>
  <c r="AC27" i="14" s="1"/>
  <c r="AD27" i="14" s="1"/>
  <c r="AE27" i="14" s="1"/>
  <c r="AF27" i="14" s="1"/>
  <c r="AG27" i="14" s="1"/>
  <c r="AH27" i="14" s="1"/>
  <c r="E78" i="14"/>
  <c r="E35" i="14" s="1"/>
  <c r="F35" i="14" s="1"/>
  <c r="G35" i="14" s="1"/>
  <c r="H35" i="14" s="1"/>
  <c r="I35" i="14" s="1"/>
  <c r="J35" i="14" s="1"/>
  <c r="K35" i="14" s="1"/>
  <c r="L35" i="14" s="1"/>
  <c r="M35" i="14" s="1"/>
  <c r="N35" i="14" s="1"/>
  <c r="O35" i="14" s="1"/>
  <c r="P35" i="14" s="1"/>
  <c r="Q35" i="14" s="1"/>
  <c r="R35" i="14" s="1"/>
  <c r="S35" i="14" s="1"/>
  <c r="T35" i="14" s="1"/>
  <c r="U35" i="14" s="1"/>
  <c r="V35" i="14" s="1"/>
  <c r="W35" i="14" s="1"/>
  <c r="X35" i="14" s="1"/>
  <c r="Y35" i="14" s="1"/>
  <c r="Z35" i="14" s="1"/>
  <c r="AA35" i="14" s="1"/>
  <c r="AB35" i="14" s="1"/>
  <c r="AC35" i="14" s="1"/>
  <c r="AD35" i="14" s="1"/>
  <c r="AE35" i="14" s="1"/>
  <c r="AF35" i="14" s="1"/>
  <c r="AG35" i="14" s="1"/>
  <c r="AH35" i="14" s="1"/>
  <c r="E71" i="14"/>
  <c r="E28" i="14" s="1"/>
  <c r="F28" i="14" s="1"/>
  <c r="G28" i="14" s="1"/>
  <c r="H28" i="14" s="1"/>
  <c r="I28" i="14" s="1"/>
  <c r="J28" i="14" s="1"/>
  <c r="K28" i="14" s="1"/>
  <c r="L28" i="14" s="1"/>
  <c r="M28" i="14" s="1"/>
  <c r="N28" i="14" s="1"/>
  <c r="O28" i="14" s="1"/>
  <c r="P28" i="14" s="1"/>
  <c r="Q28" i="14" s="1"/>
  <c r="R28" i="14" s="1"/>
  <c r="S28" i="14" s="1"/>
  <c r="T28" i="14" s="1"/>
  <c r="U28" i="14" s="1"/>
  <c r="V28" i="14" s="1"/>
  <c r="W28" i="14" s="1"/>
  <c r="X28" i="14" s="1"/>
  <c r="Y28" i="14" s="1"/>
  <c r="Z28" i="14" s="1"/>
  <c r="AA28" i="14" s="1"/>
  <c r="AB28" i="14" s="1"/>
  <c r="AC28" i="14" s="1"/>
  <c r="AD28" i="14" s="1"/>
  <c r="AE28" i="14" s="1"/>
  <c r="AF28" i="14" s="1"/>
  <c r="AG28" i="14" s="1"/>
  <c r="AH28" i="14" s="1"/>
  <c r="E79" i="14"/>
  <c r="E36" i="14" s="1"/>
  <c r="F36" i="14" s="1"/>
  <c r="G36" i="14" s="1"/>
  <c r="H36" i="14" s="1"/>
  <c r="I36" i="14" s="1"/>
  <c r="J36" i="14" s="1"/>
  <c r="K36" i="14" s="1"/>
  <c r="L36" i="14" s="1"/>
  <c r="M36" i="14" s="1"/>
  <c r="N36" i="14" s="1"/>
  <c r="O36" i="14" s="1"/>
  <c r="P36" i="14" s="1"/>
  <c r="Q36" i="14" s="1"/>
  <c r="R36" i="14" s="1"/>
  <c r="S36" i="14" s="1"/>
  <c r="T36" i="14" s="1"/>
  <c r="U36" i="14" s="1"/>
  <c r="V36" i="14" s="1"/>
  <c r="W36" i="14" s="1"/>
  <c r="X36" i="14" s="1"/>
  <c r="Y36" i="14" s="1"/>
  <c r="Z36" i="14" s="1"/>
  <c r="AA36" i="14" s="1"/>
  <c r="AB36" i="14" s="1"/>
  <c r="AC36" i="14" s="1"/>
  <c r="AD36" i="14" s="1"/>
  <c r="AE36" i="14" s="1"/>
  <c r="AF36" i="14" s="1"/>
  <c r="AG36" i="14" s="1"/>
  <c r="AH36" i="14" s="1"/>
  <c r="N10" i="14"/>
  <c r="O10" i="14" s="1"/>
  <c r="P10" i="14" s="1"/>
  <c r="Q10" i="14" s="1"/>
  <c r="R10" i="14" s="1"/>
  <c r="S10" i="14" s="1"/>
  <c r="U12" i="14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F12" i="14" s="1"/>
  <c r="AG12" i="14" s="1"/>
  <c r="AH12" i="14" s="1"/>
  <c r="F14" i="14"/>
  <c r="I2" i="14"/>
  <c r="I293" i="4"/>
  <c r="I292" i="4"/>
  <c r="I291" i="4"/>
  <c r="I290" i="4"/>
  <c r="AB34" i="14" l="1"/>
  <c r="AC34" i="14" s="1"/>
  <c r="AD34" i="14" s="1"/>
  <c r="AE34" i="14" s="1"/>
  <c r="AF34" i="14" s="1"/>
  <c r="AG34" i="14" s="1"/>
  <c r="AH34" i="14" s="1"/>
  <c r="T10" i="14"/>
  <c r="U10" i="14" s="1"/>
  <c r="V10" i="14" s="1"/>
  <c r="W10" i="14" s="1"/>
  <c r="X10" i="14" s="1"/>
  <c r="Y10" i="14" s="1"/>
  <c r="Z10" i="14" s="1"/>
  <c r="AA10" i="14" s="1"/>
  <c r="G14" i="14"/>
  <c r="J2" i="14"/>
  <c r="X308" i="4"/>
  <c r="X302" i="4"/>
  <c r="Y308" i="4"/>
  <c r="Y302" i="4"/>
  <c r="Y300" i="4"/>
  <c r="Y301" i="4"/>
  <c r="AB10" i="14" l="1"/>
  <c r="AC10" i="14" s="1"/>
  <c r="AD10" i="14" s="1"/>
  <c r="AE10" i="14" s="1"/>
  <c r="AF10" i="14" s="1"/>
  <c r="AG10" i="14" s="1"/>
  <c r="AH10" i="14" s="1"/>
  <c r="H14" i="14"/>
  <c r="K2" i="14"/>
  <c r="I14" i="14" l="1"/>
  <c r="L2" i="14"/>
  <c r="J59" i="10"/>
  <c r="J14" i="14" l="1"/>
  <c r="M2" i="14"/>
  <c r="AE8" i="11"/>
  <c r="K14" i="14" l="1"/>
  <c r="N2" i="14"/>
  <c r="H290" i="4"/>
  <c r="Y290" i="4"/>
  <c r="H291" i="4"/>
  <c r="Y291" i="4"/>
  <c r="H292" i="4"/>
  <c r="H293" i="4"/>
  <c r="J57" i="10"/>
  <c r="J56" i="10"/>
  <c r="J54" i="10"/>
  <c r="J53" i="10"/>
  <c r="J51" i="10"/>
  <c r="J50" i="10"/>
  <c r="J48" i="10"/>
  <c r="J47" i="10"/>
  <c r="L14" i="14" l="1"/>
  <c r="O2" i="14"/>
  <c r="H68" i="13"/>
  <c r="G68" i="13"/>
  <c r="H67" i="13"/>
  <c r="G67" i="13"/>
  <c r="H66" i="13"/>
  <c r="G66" i="13"/>
  <c r="H65" i="13"/>
  <c r="G65" i="13"/>
  <c r="H64" i="13"/>
  <c r="G64" i="13"/>
  <c r="H63" i="13"/>
  <c r="G63" i="13"/>
  <c r="E68" i="13"/>
  <c r="D68" i="13"/>
  <c r="E67" i="13"/>
  <c r="D67" i="13"/>
  <c r="E66" i="13"/>
  <c r="D66" i="13"/>
  <c r="E65" i="13"/>
  <c r="D65" i="13"/>
  <c r="E64" i="13"/>
  <c r="D64" i="13"/>
  <c r="D63" i="13"/>
  <c r="E63" i="13"/>
  <c r="H48" i="13"/>
  <c r="G48" i="13"/>
  <c r="H47" i="13"/>
  <c r="G47" i="13"/>
  <c r="H46" i="13"/>
  <c r="G46" i="13"/>
  <c r="H45" i="13"/>
  <c r="G45" i="13"/>
  <c r="H44" i="13"/>
  <c r="G44" i="13"/>
  <c r="H43" i="13"/>
  <c r="G43" i="13"/>
  <c r="E48" i="13"/>
  <c r="D48" i="13"/>
  <c r="E47" i="13"/>
  <c r="D47" i="13"/>
  <c r="E46" i="13"/>
  <c r="D46" i="13"/>
  <c r="E45" i="13"/>
  <c r="D45" i="13"/>
  <c r="E44" i="13"/>
  <c r="D44" i="13"/>
  <c r="E43" i="13"/>
  <c r="D43" i="13"/>
  <c r="D33" i="13"/>
  <c r="R58" i="13"/>
  <c r="Q58" i="13"/>
  <c r="O58" i="13"/>
  <c r="N58" i="13"/>
  <c r="R57" i="13"/>
  <c r="Q57" i="13"/>
  <c r="O57" i="13"/>
  <c r="N57" i="13"/>
  <c r="R56" i="13"/>
  <c r="Q56" i="13"/>
  <c r="O56" i="13"/>
  <c r="N56" i="13"/>
  <c r="R55" i="13"/>
  <c r="Q55" i="13"/>
  <c r="O55" i="13"/>
  <c r="N55" i="13"/>
  <c r="R54" i="13"/>
  <c r="Q54" i="13"/>
  <c r="O54" i="13"/>
  <c r="N54" i="13"/>
  <c r="R53" i="13"/>
  <c r="Q53" i="13"/>
  <c r="O53" i="13"/>
  <c r="N53" i="13"/>
  <c r="M14" i="14" l="1"/>
  <c r="P2" i="14"/>
  <c r="H152" i="13"/>
  <c r="R152" i="13" s="1"/>
  <c r="G152" i="13"/>
  <c r="Q152" i="13" s="1"/>
  <c r="H151" i="13"/>
  <c r="R151" i="13" s="1"/>
  <c r="G151" i="13"/>
  <c r="Q151" i="13" s="1"/>
  <c r="H150" i="13"/>
  <c r="R150" i="13" s="1"/>
  <c r="G150" i="13"/>
  <c r="Q150" i="13" s="1"/>
  <c r="H149" i="13"/>
  <c r="R149" i="13" s="1"/>
  <c r="G149" i="13"/>
  <c r="Q149" i="13" s="1"/>
  <c r="H148" i="13"/>
  <c r="G148" i="13"/>
  <c r="Q148" i="13" s="1"/>
  <c r="H147" i="13"/>
  <c r="R147" i="13" s="1"/>
  <c r="G147" i="13"/>
  <c r="Q147" i="13" s="1"/>
  <c r="H146" i="13"/>
  <c r="R146" i="13" s="1"/>
  <c r="G146" i="13"/>
  <c r="Q146" i="13" s="1"/>
  <c r="H145" i="13"/>
  <c r="R145" i="13" s="1"/>
  <c r="G145" i="13"/>
  <c r="Q145" i="13" s="1"/>
  <c r="H144" i="13"/>
  <c r="G144" i="13"/>
  <c r="Q144" i="13" s="1"/>
  <c r="H143" i="13"/>
  <c r="R143" i="13" s="1"/>
  <c r="G143" i="13"/>
  <c r="Q143" i="13" s="1"/>
  <c r="D144" i="13"/>
  <c r="N144" i="13" s="1"/>
  <c r="E144" i="13"/>
  <c r="D145" i="13"/>
  <c r="E145" i="13"/>
  <c r="O145" i="13" s="1"/>
  <c r="D146" i="13"/>
  <c r="N146" i="13" s="1"/>
  <c r="E146" i="13"/>
  <c r="D147" i="13"/>
  <c r="N147" i="13" s="1"/>
  <c r="E147" i="13"/>
  <c r="D148" i="13"/>
  <c r="N148" i="13" s="1"/>
  <c r="E148" i="13"/>
  <c r="D149" i="13"/>
  <c r="N149" i="13" s="1"/>
  <c r="E149" i="13"/>
  <c r="D150" i="13"/>
  <c r="N150" i="13" s="1"/>
  <c r="E150" i="13"/>
  <c r="D151" i="13"/>
  <c r="N151" i="13" s="1"/>
  <c r="E151" i="13"/>
  <c r="D152" i="13"/>
  <c r="N152" i="13" s="1"/>
  <c r="E152" i="13"/>
  <c r="E143" i="13"/>
  <c r="O143" i="13" s="1"/>
  <c r="D143" i="13"/>
  <c r="H138" i="13"/>
  <c r="R138" i="13" s="1"/>
  <c r="G138" i="13"/>
  <c r="Q138" i="13" s="1"/>
  <c r="H137" i="13"/>
  <c r="R137" i="13" s="1"/>
  <c r="G137" i="13"/>
  <c r="H136" i="13"/>
  <c r="R136" i="13" s="1"/>
  <c r="G136" i="13"/>
  <c r="Q136" i="13" s="1"/>
  <c r="H135" i="13"/>
  <c r="R135" i="13" s="1"/>
  <c r="G135" i="13"/>
  <c r="H134" i="13"/>
  <c r="R134" i="13" s="1"/>
  <c r="G134" i="13"/>
  <c r="Q134" i="13" s="1"/>
  <c r="H133" i="13"/>
  <c r="R133" i="13" s="1"/>
  <c r="G133" i="13"/>
  <c r="H132" i="13"/>
  <c r="R132" i="13" s="1"/>
  <c r="G132" i="13"/>
  <c r="Q132" i="13" s="1"/>
  <c r="H131" i="13"/>
  <c r="R131" i="13" s="1"/>
  <c r="G131" i="13"/>
  <c r="Q131" i="13" s="1"/>
  <c r="H130" i="13"/>
  <c r="R130" i="13" s="1"/>
  <c r="G130" i="13"/>
  <c r="Q130" i="13" s="1"/>
  <c r="H129" i="13"/>
  <c r="R129" i="13" s="1"/>
  <c r="G129" i="13"/>
  <c r="Q129" i="13" s="1"/>
  <c r="D130" i="13"/>
  <c r="N130" i="13" s="1"/>
  <c r="E130" i="13"/>
  <c r="O130" i="13" s="1"/>
  <c r="D131" i="13"/>
  <c r="E131" i="13"/>
  <c r="O131" i="13" s="1"/>
  <c r="D132" i="13"/>
  <c r="N132" i="13" s="1"/>
  <c r="E132" i="13"/>
  <c r="O132" i="13" s="1"/>
  <c r="D133" i="13"/>
  <c r="N133" i="13" s="1"/>
  <c r="E133" i="13"/>
  <c r="O133" i="13" s="1"/>
  <c r="D134" i="13"/>
  <c r="N134" i="13" s="1"/>
  <c r="E134" i="13"/>
  <c r="O134" i="13" s="1"/>
  <c r="D135" i="13"/>
  <c r="E135" i="13"/>
  <c r="O135" i="13" s="1"/>
  <c r="D136" i="13"/>
  <c r="E136" i="13"/>
  <c r="O136" i="13" s="1"/>
  <c r="D137" i="13"/>
  <c r="N137" i="13" s="1"/>
  <c r="E137" i="13"/>
  <c r="O137" i="13" s="1"/>
  <c r="D138" i="13"/>
  <c r="E138" i="13"/>
  <c r="O138" i="13" s="1"/>
  <c r="E129" i="13"/>
  <c r="O129" i="13" s="1"/>
  <c r="D129" i="13"/>
  <c r="H124" i="13"/>
  <c r="R124" i="13" s="1"/>
  <c r="G124" i="13"/>
  <c r="Q124" i="13" s="1"/>
  <c r="H123" i="13"/>
  <c r="R123" i="13" s="1"/>
  <c r="G123" i="13"/>
  <c r="Q123" i="13" s="1"/>
  <c r="H122" i="13"/>
  <c r="R122" i="13" s="1"/>
  <c r="G122" i="13"/>
  <c r="Q122" i="13" s="1"/>
  <c r="H121" i="13"/>
  <c r="R121" i="13" s="1"/>
  <c r="G121" i="13"/>
  <c r="Q121" i="13" s="1"/>
  <c r="H120" i="13"/>
  <c r="R120" i="13" s="1"/>
  <c r="G120" i="13"/>
  <c r="Q120" i="13" s="1"/>
  <c r="H119" i="13"/>
  <c r="R119" i="13" s="1"/>
  <c r="G119" i="13"/>
  <c r="Q119" i="13" s="1"/>
  <c r="H118" i="13"/>
  <c r="R118" i="13" s="1"/>
  <c r="G118" i="13"/>
  <c r="Q118" i="13" s="1"/>
  <c r="H117" i="13"/>
  <c r="R117" i="13" s="1"/>
  <c r="G117" i="13"/>
  <c r="Q117" i="13" s="1"/>
  <c r="H116" i="13"/>
  <c r="R116" i="13" s="1"/>
  <c r="G116" i="13"/>
  <c r="Q116" i="13" s="1"/>
  <c r="H115" i="13"/>
  <c r="R115" i="13" s="1"/>
  <c r="G115" i="13"/>
  <c r="D116" i="13"/>
  <c r="N116" i="13" s="1"/>
  <c r="E116" i="13"/>
  <c r="D117" i="13"/>
  <c r="N117" i="13" s="1"/>
  <c r="E117" i="13"/>
  <c r="O117" i="13" s="1"/>
  <c r="D118" i="13"/>
  <c r="N118" i="13" s="1"/>
  <c r="E118" i="13"/>
  <c r="D119" i="13"/>
  <c r="N119" i="13" s="1"/>
  <c r="E119" i="13"/>
  <c r="D120" i="13"/>
  <c r="N120" i="13" s="1"/>
  <c r="E120" i="13"/>
  <c r="D121" i="13"/>
  <c r="N121" i="13" s="1"/>
  <c r="E121" i="13"/>
  <c r="O121" i="13" s="1"/>
  <c r="D122" i="13"/>
  <c r="N122" i="13" s="1"/>
  <c r="E122" i="13"/>
  <c r="D123" i="13"/>
  <c r="N123" i="13" s="1"/>
  <c r="E123" i="13"/>
  <c r="D124" i="13"/>
  <c r="N124" i="13" s="1"/>
  <c r="E124" i="13"/>
  <c r="E115" i="13"/>
  <c r="O115" i="13" s="1"/>
  <c r="D115" i="13"/>
  <c r="N115" i="13" s="1"/>
  <c r="H110" i="13"/>
  <c r="R110" i="13" s="1"/>
  <c r="G110" i="13"/>
  <c r="Q110" i="13" s="1"/>
  <c r="H109" i="13"/>
  <c r="R109" i="13" s="1"/>
  <c r="G109" i="13"/>
  <c r="Q109" i="13" s="1"/>
  <c r="H108" i="13"/>
  <c r="G108" i="13"/>
  <c r="Q108" i="13" s="1"/>
  <c r="H107" i="13"/>
  <c r="R107" i="13" s="1"/>
  <c r="G107" i="13"/>
  <c r="Q107" i="13" s="1"/>
  <c r="H106" i="13"/>
  <c r="G106" i="13"/>
  <c r="Q106" i="13" s="1"/>
  <c r="H105" i="13"/>
  <c r="G105" i="13"/>
  <c r="H104" i="13"/>
  <c r="G104" i="13"/>
  <c r="H103" i="13"/>
  <c r="G103" i="13"/>
  <c r="H102" i="13"/>
  <c r="G102" i="13"/>
  <c r="H101" i="13"/>
  <c r="G101" i="13"/>
  <c r="D102" i="13"/>
  <c r="E102" i="13"/>
  <c r="D103" i="13"/>
  <c r="E103" i="13"/>
  <c r="D104" i="13"/>
  <c r="E104" i="13"/>
  <c r="D105" i="13"/>
  <c r="E105" i="13"/>
  <c r="D106" i="13"/>
  <c r="N106" i="13" s="1"/>
  <c r="E106" i="13"/>
  <c r="O106" i="13" s="1"/>
  <c r="D107" i="13"/>
  <c r="N107" i="13" s="1"/>
  <c r="E107" i="13"/>
  <c r="O107" i="13" s="1"/>
  <c r="D108" i="13"/>
  <c r="E108" i="13"/>
  <c r="D109" i="13"/>
  <c r="N109" i="13" s="1"/>
  <c r="E109" i="13"/>
  <c r="O109" i="13" s="1"/>
  <c r="D110" i="13"/>
  <c r="N110" i="13" s="1"/>
  <c r="E110" i="13"/>
  <c r="E101" i="13"/>
  <c r="D101" i="13"/>
  <c r="H96" i="13"/>
  <c r="G96" i="13"/>
  <c r="Q96" i="13" s="1"/>
  <c r="H95" i="13"/>
  <c r="R95" i="13" s="1"/>
  <c r="G95" i="13"/>
  <c r="Q95" i="13" s="1"/>
  <c r="H94" i="13"/>
  <c r="R94" i="13" s="1"/>
  <c r="G94" i="13"/>
  <c r="H93" i="13"/>
  <c r="R93" i="13" s="1"/>
  <c r="G93" i="13"/>
  <c r="Q93" i="13" s="1"/>
  <c r="H92" i="13"/>
  <c r="R92" i="13" s="1"/>
  <c r="G92" i="13"/>
  <c r="Q92" i="13" s="1"/>
  <c r="H91" i="13"/>
  <c r="R91" i="13" s="1"/>
  <c r="G91" i="13"/>
  <c r="Q91" i="13" s="1"/>
  <c r="H90" i="13"/>
  <c r="R90" i="13" s="1"/>
  <c r="G90" i="13"/>
  <c r="H89" i="13"/>
  <c r="R89" i="13" s="1"/>
  <c r="G89" i="13"/>
  <c r="Q89" i="13" s="1"/>
  <c r="H88" i="13"/>
  <c r="R88" i="13" s="1"/>
  <c r="G88" i="13"/>
  <c r="Q88" i="13" s="1"/>
  <c r="H87" i="13"/>
  <c r="R87" i="13" s="1"/>
  <c r="G87" i="13"/>
  <c r="Q87" i="13" s="1"/>
  <c r="D88" i="13"/>
  <c r="N88" i="13" s="1"/>
  <c r="E88" i="13"/>
  <c r="O88" i="13" s="1"/>
  <c r="D89" i="13"/>
  <c r="N89" i="13" s="1"/>
  <c r="E89" i="13"/>
  <c r="O89" i="13" s="1"/>
  <c r="D90" i="13"/>
  <c r="N90" i="13" s="1"/>
  <c r="E90" i="13"/>
  <c r="O90" i="13" s="1"/>
  <c r="D91" i="13"/>
  <c r="N91" i="13" s="1"/>
  <c r="E91" i="13"/>
  <c r="O91" i="13" s="1"/>
  <c r="D92" i="13"/>
  <c r="N92" i="13" s="1"/>
  <c r="E92" i="13"/>
  <c r="O92" i="13" s="1"/>
  <c r="D93" i="13"/>
  <c r="N93" i="13" s="1"/>
  <c r="E93" i="13"/>
  <c r="O93" i="13" s="1"/>
  <c r="D94" i="13"/>
  <c r="N94" i="13" s="1"/>
  <c r="E94" i="13"/>
  <c r="O94" i="13" s="1"/>
  <c r="D95" i="13"/>
  <c r="E95" i="13"/>
  <c r="O95" i="13" s="1"/>
  <c r="D96" i="13"/>
  <c r="E96" i="13"/>
  <c r="O96" i="13" s="1"/>
  <c r="E87" i="13"/>
  <c r="O87" i="13" s="1"/>
  <c r="D87" i="13"/>
  <c r="N87" i="13" s="1"/>
  <c r="H82" i="13"/>
  <c r="R82" i="13" s="1"/>
  <c r="G82" i="13"/>
  <c r="Q82" i="13" s="1"/>
  <c r="H81" i="13"/>
  <c r="G81" i="13"/>
  <c r="Q81" i="13" s="1"/>
  <c r="H80" i="13"/>
  <c r="R80" i="13" s="1"/>
  <c r="G80" i="13"/>
  <c r="Q80" i="13" s="1"/>
  <c r="H79" i="13"/>
  <c r="R79" i="13" s="1"/>
  <c r="G79" i="13"/>
  <c r="Q79" i="13" s="1"/>
  <c r="H78" i="13"/>
  <c r="R78" i="13" s="1"/>
  <c r="G78" i="13"/>
  <c r="Q78" i="13" s="1"/>
  <c r="H77" i="13"/>
  <c r="R77" i="13" s="1"/>
  <c r="G77" i="13"/>
  <c r="Q77" i="13" s="1"/>
  <c r="H76" i="13"/>
  <c r="R76" i="13" s="1"/>
  <c r="G76" i="13"/>
  <c r="Q76" i="13" s="1"/>
  <c r="H75" i="13"/>
  <c r="R75" i="13" s="1"/>
  <c r="G75" i="13"/>
  <c r="Q75" i="13" s="1"/>
  <c r="H74" i="13"/>
  <c r="R74" i="13" s="1"/>
  <c r="G74" i="13"/>
  <c r="Q74" i="13" s="1"/>
  <c r="H73" i="13"/>
  <c r="G73" i="13"/>
  <c r="Q73" i="13" s="1"/>
  <c r="D74" i="13"/>
  <c r="N74" i="13" s="1"/>
  <c r="E74" i="13"/>
  <c r="D75" i="13"/>
  <c r="E75" i="13"/>
  <c r="O75" i="13" s="1"/>
  <c r="D76" i="13"/>
  <c r="N76" i="13" s="1"/>
  <c r="E76" i="13"/>
  <c r="O76" i="13" s="1"/>
  <c r="D77" i="13"/>
  <c r="E77" i="13"/>
  <c r="O77" i="13" s="1"/>
  <c r="D78" i="13"/>
  <c r="N78" i="13" s="1"/>
  <c r="E78" i="13"/>
  <c r="D79" i="13"/>
  <c r="N79" i="13" s="1"/>
  <c r="E79" i="13"/>
  <c r="D80" i="13"/>
  <c r="N80" i="13" s="1"/>
  <c r="E80" i="13"/>
  <c r="O80" i="13" s="1"/>
  <c r="D81" i="13"/>
  <c r="N81" i="13" s="1"/>
  <c r="E81" i="13"/>
  <c r="D82" i="13"/>
  <c r="E82" i="13"/>
  <c r="O82" i="13" s="1"/>
  <c r="E73" i="13"/>
  <c r="O73" i="13" s="1"/>
  <c r="D73" i="13"/>
  <c r="P152" i="13"/>
  <c r="Y152" i="13" s="1"/>
  <c r="O152" i="13"/>
  <c r="M152" i="13"/>
  <c r="P151" i="13"/>
  <c r="Y151" i="13" s="1"/>
  <c r="O151" i="13"/>
  <c r="X151" i="13" s="1"/>
  <c r="M151" i="13"/>
  <c r="P150" i="13"/>
  <c r="Y150" i="13" s="1"/>
  <c r="O150" i="13"/>
  <c r="M150" i="13"/>
  <c r="P149" i="13"/>
  <c r="Y149" i="13" s="1"/>
  <c r="O149" i="13"/>
  <c r="M149" i="13"/>
  <c r="P148" i="13"/>
  <c r="Y148" i="13" s="1"/>
  <c r="O148" i="13"/>
  <c r="M148" i="13"/>
  <c r="R148" i="13"/>
  <c r="P147" i="13"/>
  <c r="Y147" i="13" s="1"/>
  <c r="O147" i="13"/>
  <c r="M147" i="13"/>
  <c r="P146" i="13"/>
  <c r="Y146" i="13" s="1"/>
  <c r="O146" i="13"/>
  <c r="M146" i="13"/>
  <c r="P145" i="13"/>
  <c r="Y145" i="13" s="1"/>
  <c r="M145" i="13"/>
  <c r="N145" i="13"/>
  <c r="P144" i="13"/>
  <c r="Y144" i="13" s="1"/>
  <c r="O144" i="13"/>
  <c r="M144" i="13"/>
  <c r="R144" i="13"/>
  <c r="AA144" i="13" s="1"/>
  <c r="P143" i="13"/>
  <c r="Y143" i="13" s="1"/>
  <c r="M143" i="13"/>
  <c r="N143" i="13"/>
  <c r="P138" i="13"/>
  <c r="Y138" i="13" s="1"/>
  <c r="M138" i="13"/>
  <c r="N138" i="13"/>
  <c r="P137" i="13"/>
  <c r="Y137" i="13" s="1"/>
  <c r="M137" i="13"/>
  <c r="Q137" i="13"/>
  <c r="Z137" i="13" s="1"/>
  <c r="P136" i="13"/>
  <c r="Y136" i="13" s="1"/>
  <c r="M136" i="13"/>
  <c r="N136" i="13"/>
  <c r="P135" i="13"/>
  <c r="Y135" i="13" s="1"/>
  <c r="M135" i="13"/>
  <c r="Q135" i="13"/>
  <c r="Z135" i="13" s="1"/>
  <c r="N135" i="13"/>
  <c r="P134" i="13"/>
  <c r="Y134" i="13" s="1"/>
  <c r="M134" i="13"/>
  <c r="P133" i="13"/>
  <c r="Y133" i="13" s="1"/>
  <c r="M133" i="13"/>
  <c r="Q133" i="13"/>
  <c r="P132" i="13"/>
  <c r="Y132" i="13" s="1"/>
  <c r="M132" i="13"/>
  <c r="P131" i="13"/>
  <c r="Y131" i="13" s="1"/>
  <c r="M131" i="13"/>
  <c r="N131" i="13"/>
  <c r="P130" i="13"/>
  <c r="Y130" i="13" s="1"/>
  <c r="M130" i="13"/>
  <c r="P129" i="13"/>
  <c r="Y129" i="13" s="1"/>
  <c r="M129" i="13"/>
  <c r="N129" i="13"/>
  <c r="P124" i="13"/>
  <c r="Y124" i="13" s="1"/>
  <c r="M124" i="13"/>
  <c r="V124" i="13" s="1"/>
  <c r="O124" i="13"/>
  <c r="X124" i="13" s="1"/>
  <c r="P123" i="13"/>
  <c r="Y123" i="13" s="1"/>
  <c r="M123" i="13"/>
  <c r="V123" i="13" s="1"/>
  <c r="O123" i="13"/>
  <c r="P122" i="13"/>
  <c r="Y122" i="13" s="1"/>
  <c r="M122" i="13"/>
  <c r="V122" i="13" s="1"/>
  <c r="O122" i="13"/>
  <c r="X122" i="13" s="1"/>
  <c r="P121" i="13"/>
  <c r="Y121" i="13" s="1"/>
  <c r="M121" i="13"/>
  <c r="V121" i="13" s="1"/>
  <c r="P120" i="13"/>
  <c r="Y120" i="13" s="1"/>
  <c r="M120" i="13"/>
  <c r="V120" i="13" s="1"/>
  <c r="O120" i="13"/>
  <c r="P119" i="13"/>
  <c r="Y119" i="13" s="1"/>
  <c r="M119" i="13"/>
  <c r="V119" i="13" s="1"/>
  <c r="O119" i="13"/>
  <c r="X119" i="13" s="1"/>
  <c r="P118" i="13"/>
  <c r="Y118" i="13" s="1"/>
  <c r="M118" i="13"/>
  <c r="V118" i="13" s="1"/>
  <c r="O118" i="13"/>
  <c r="P117" i="13"/>
  <c r="Y117" i="13" s="1"/>
  <c r="M117" i="13"/>
  <c r="V117" i="13" s="1"/>
  <c r="P116" i="13"/>
  <c r="Y116" i="13" s="1"/>
  <c r="M116" i="13"/>
  <c r="V116" i="13" s="1"/>
  <c r="O116" i="13"/>
  <c r="X116" i="13" s="1"/>
  <c r="P115" i="13"/>
  <c r="Y115" i="13" s="1"/>
  <c r="M115" i="13"/>
  <c r="V115" i="13" s="1"/>
  <c r="Q115" i="13"/>
  <c r="P110" i="13"/>
  <c r="Y110" i="13" s="1"/>
  <c r="M110" i="13"/>
  <c r="V110" i="13" s="1"/>
  <c r="O110" i="13"/>
  <c r="X110" i="13" s="1"/>
  <c r="P109" i="13"/>
  <c r="Y109" i="13" s="1"/>
  <c r="M109" i="13"/>
  <c r="V109" i="13" s="1"/>
  <c r="P108" i="13"/>
  <c r="Y108" i="13" s="1"/>
  <c r="N108" i="13"/>
  <c r="W108" i="13" s="1"/>
  <c r="M108" i="13"/>
  <c r="V108" i="13" s="1"/>
  <c r="R108" i="13"/>
  <c r="AA108" i="13" s="1"/>
  <c r="O108" i="13"/>
  <c r="X108" i="13" s="1"/>
  <c r="P107" i="13"/>
  <c r="Y107" i="13" s="1"/>
  <c r="M107" i="13"/>
  <c r="V107" i="13" s="1"/>
  <c r="P106" i="13"/>
  <c r="Y106" i="13" s="1"/>
  <c r="M106" i="13"/>
  <c r="V106" i="13" s="1"/>
  <c r="R106" i="13"/>
  <c r="AA106" i="13" s="1"/>
  <c r="P105" i="13"/>
  <c r="Y105" i="13" s="1"/>
  <c r="O105" i="13"/>
  <c r="X105" i="13" s="1"/>
  <c r="M105" i="13"/>
  <c r="R105" i="13"/>
  <c r="AA105" i="13" s="1"/>
  <c r="Q105" i="13"/>
  <c r="Z105" i="13" s="1"/>
  <c r="N105" i="13"/>
  <c r="P104" i="13"/>
  <c r="Y104" i="13" s="1"/>
  <c r="O104" i="13"/>
  <c r="X104" i="13" s="1"/>
  <c r="M104" i="13"/>
  <c r="R104" i="13"/>
  <c r="AA104" i="13" s="1"/>
  <c r="Q104" i="13"/>
  <c r="Z104" i="13" s="1"/>
  <c r="N104" i="13"/>
  <c r="P103" i="13"/>
  <c r="Y103" i="13" s="1"/>
  <c r="N103" i="13"/>
  <c r="M103" i="13"/>
  <c r="R103" i="13"/>
  <c r="Q103" i="13"/>
  <c r="O103" i="13"/>
  <c r="X103" i="13" s="1"/>
  <c r="P102" i="13"/>
  <c r="N102" i="13"/>
  <c r="W102" i="13" s="1"/>
  <c r="M102" i="13"/>
  <c r="V102" i="13" s="1"/>
  <c r="R102" i="13"/>
  <c r="AA102" i="13" s="1"/>
  <c r="Q102" i="13"/>
  <c r="O102" i="13"/>
  <c r="X102" i="13" s="1"/>
  <c r="P101" i="13"/>
  <c r="Y101" i="13" s="1"/>
  <c r="N101" i="13"/>
  <c r="W101" i="13" s="1"/>
  <c r="M101" i="13"/>
  <c r="V101" i="13" s="1"/>
  <c r="R101" i="13"/>
  <c r="Q101" i="13"/>
  <c r="O101" i="13"/>
  <c r="X101" i="13" s="1"/>
  <c r="P96" i="13"/>
  <c r="Y96" i="13" s="1"/>
  <c r="N96" i="13"/>
  <c r="W96" i="13" s="1"/>
  <c r="M96" i="13"/>
  <c r="V96" i="13" s="1"/>
  <c r="R96" i="13"/>
  <c r="AA96" i="13" s="1"/>
  <c r="P95" i="13"/>
  <c r="Y95" i="13" s="1"/>
  <c r="N95" i="13"/>
  <c r="W95" i="13" s="1"/>
  <c r="M95" i="13"/>
  <c r="V95" i="13" s="1"/>
  <c r="P94" i="13"/>
  <c r="Y94" i="13" s="1"/>
  <c r="M94" i="13"/>
  <c r="V94" i="13" s="1"/>
  <c r="Q94" i="13"/>
  <c r="P93" i="13"/>
  <c r="Y93" i="13" s="1"/>
  <c r="M93" i="13"/>
  <c r="V93" i="13" s="1"/>
  <c r="P92" i="13"/>
  <c r="Y92" i="13" s="1"/>
  <c r="M92" i="13"/>
  <c r="V92" i="13" s="1"/>
  <c r="P91" i="13"/>
  <c r="Y91" i="13" s="1"/>
  <c r="M91" i="13"/>
  <c r="V91" i="13" s="1"/>
  <c r="P90" i="13"/>
  <c r="Y90" i="13" s="1"/>
  <c r="M90" i="13"/>
  <c r="V90" i="13" s="1"/>
  <c r="Q90" i="13"/>
  <c r="P89" i="13"/>
  <c r="Y89" i="13" s="1"/>
  <c r="M89" i="13"/>
  <c r="V89" i="13" s="1"/>
  <c r="P88" i="13"/>
  <c r="Y88" i="13" s="1"/>
  <c r="M88" i="13"/>
  <c r="V88" i="13" s="1"/>
  <c r="P87" i="13"/>
  <c r="Y87" i="13" s="1"/>
  <c r="M87" i="13"/>
  <c r="V87" i="13" s="1"/>
  <c r="P82" i="13"/>
  <c r="Y82" i="13" s="1"/>
  <c r="N82" i="13"/>
  <c r="M82" i="13"/>
  <c r="V82" i="13" s="1"/>
  <c r="R81" i="13"/>
  <c r="P81" i="13"/>
  <c r="Y81" i="13" s="1"/>
  <c r="O81" i="13"/>
  <c r="M81" i="13"/>
  <c r="V81" i="13" s="1"/>
  <c r="P80" i="13"/>
  <c r="Y80" i="13" s="1"/>
  <c r="M80" i="13"/>
  <c r="V80" i="13" s="1"/>
  <c r="P79" i="13"/>
  <c r="Y79" i="13" s="1"/>
  <c r="O79" i="13"/>
  <c r="M79" i="13"/>
  <c r="V79" i="13" s="1"/>
  <c r="P78" i="13"/>
  <c r="Y78" i="13" s="1"/>
  <c r="M78" i="13"/>
  <c r="O78" i="13"/>
  <c r="P77" i="13"/>
  <c r="Y77" i="13" s="1"/>
  <c r="M77" i="13"/>
  <c r="N77" i="13"/>
  <c r="P76" i="13"/>
  <c r="Y76" i="13" s="1"/>
  <c r="M76" i="13"/>
  <c r="P75" i="13"/>
  <c r="Y75" i="13" s="1"/>
  <c r="M75" i="13"/>
  <c r="N75" i="13"/>
  <c r="P74" i="13"/>
  <c r="Y74" i="13" s="1"/>
  <c r="M74" i="13"/>
  <c r="O74" i="13"/>
  <c r="P73" i="13"/>
  <c r="Y73" i="13" s="1"/>
  <c r="M73" i="13"/>
  <c r="R73" i="13"/>
  <c r="AA73" i="13" s="1"/>
  <c r="N73" i="13"/>
  <c r="H58" i="13"/>
  <c r="G58" i="13"/>
  <c r="H57" i="13"/>
  <c r="AA57" i="13" s="1"/>
  <c r="G57" i="13"/>
  <c r="H56" i="13"/>
  <c r="AA56" i="13" s="1"/>
  <c r="G56" i="13"/>
  <c r="H55" i="13"/>
  <c r="AA55" i="13" s="1"/>
  <c r="G55" i="13"/>
  <c r="H54" i="13"/>
  <c r="G54" i="13"/>
  <c r="Z54" i="13" s="1"/>
  <c r="H53" i="13"/>
  <c r="AA53" i="13" s="1"/>
  <c r="G53" i="13"/>
  <c r="D54" i="13"/>
  <c r="E54" i="13"/>
  <c r="D55" i="13"/>
  <c r="E55" i="13"/>
  <c r="D56" i="13"/>
  <c r="E56" i="13"/>
  <c r="D57" i="13"/>
  <c r="E57" i="13"/>
  <c r="D58" i="13"/>
  <c r="E58" i="13"/>
  <c r="E53" i="13"/>
  <c r="X53" i="13" s="1"/>
  <c r="D53" i="13"/>
  <c r="R67" i="13"/>
  <c r="Q66" i="13"/>
  <c r="R65" i="13"/>
  <c r="Q65" i="13"/>
  <c r="R63" i="13"/>
  <c r="O64" i="13"/>
  <c r="O65" i="13"/>
  <c r="O66" i="13"/>
  <c r="O67" i="13"/>
  <c r="O68" i="13"/>
  <c r="P68" i="13"/>
  <c r="Y68" i="13" s="1"/>
  <c r="M68" i="13"/>
  <c r="R68" i="13"/>
  <c r="AA68" i="13" s="1"/>
  <c r="Q68" i="13"/>
  <c r="N68" i="13"/>
  <c r="P67" i="13"/>
  <c r="Y67" i="13" s="1"/>
  <c r="M67" i="13"/>
  <c r="Q67" i="13"/>
  <c r="Z67" i="13" s="1"/>
  <c r="N67" i="13"/>
  <c r="P66" i="13"/>
  <c r="Y66" i="13" s="1"/>
  <c r="M66" i="13"/>
  <c r="R66" i="13"/>
  <c r="AA66" i="13" s="1"/>
  <c r="N66" i="13"/>
  <c r="P65" i="13"/>
  <c r="Y65" i="13" s="1"/>
  <c r="M65" i="13"/>
  <c r="N65" i="13"/>
  <c r="P64" i="13"/>
  <c r="Y64" i="13" s="1"/>
  <c r="M64" i="13"/>
  <c r="R64" i="13"/>
  <c r="AA64" i="13" s="1"/>
  <c r="Q64" i="13"/>
  <c r="N64" i="13"/>
  <c r="P63" i="13"/>
  <c r="Y63" i="13" s="1"/>
  <c r="M63" i="13"/>
  <c r="Q63" i="13"/>
  <c r="Z63" i="13" s="1"/>
  <c r="O63" i="13"/>
  <c r="X63" i="13" s="1"/>
  <c r="N63" i="13"/>
  <c r="Y58" i="13"/>
  <c r="Y57" i="13"/>
  <c r="Y56" i="13"/>
  <c r="Y55" i="13"/>
  <c r="Y54" i="13"/>
  <c r="Y53" i="13"/>
  <c r="P48" i="13"/>
  <c r="Y48" i="13" s="1"/>
  <c r="P47" i="13"/>
  <c r="Y47" i="13" s="1"/>
  <c r="P46" i="13"/>
  <c r="Y46" i="13" s="1"/>
  <c r="P45" i="13"/>
  <c r="P44" i="13"/>
  <c r="P43" i="13"/>
  <c r="M44" i="13"/>
  <c r="M45" i="13"/>
  <c r="M46" i="13"/>
  <c r="M47" i="13"/>
  <c r="M48" i="13"/>
  <c r="R48" i="13"/>
  <c r="Q48" i="13"/>
  <c r="R47" i="13"/>
  <c r="Q47" i="13"/>
  <c r="R46" i="13"/>
  <c r="AA46" i="13" s="1"/>
  <c r="Q46" i="13"/>
  <c r="R45" i="13"/>
  <c r="Q45" i="13"/>
  <c r="R44" i="13"/>
  <c r="Q44" i="13"/>
  <c r="R43" i="13"/>
  <c r="AA43" i="13" s="1"/>
  <c r="Q43" i="13"/>
  <c r="N44" i="13"/>
  <c r="N45" i="13"/>
  <c r="N46" i="13"/>
  <c r="N47" i="13"/>
  <c r="N48" i="13"/>
  <c r="N43" i="13"/>
  <c r="O43" i="13"/>
  <c r="M43" i="13"/>
  <c r="Y44" i="13"/>
  <c r="Y43" i="13"/>
  <c r="AA48" i="13" l="1"/>
  <c r="Y45" i="13"/>
  <c r="Z45" i="13"/>
  <c r="W46" i="13"/>
  <c r="N14" i="14"/>
  <c r="Q2" i="14"/>
  <c r="Z64" i="13"/>
  <c r="Z68" i="13"/>
  <c r="AA81" i="13"/>
  <c r="X67" i="13"/>
  <c r="AA148" i="13"/>
  <c r="X150" i="13"/>
  <c r="X66" i="13"/>
  <c r="Z65" i="13"/>
  <c r="X73" i="13"/>
  <c r="W80" i="13"/>
  <c r="AA74" i="13"/>
  <c r="AA75" i="13"/>
  <c r="AA76" i="13"/>
  <c r="AA78" i="13"/>
  <c r="AA79" i="13"/>
  <c r="AA80" i="13"/>
  <c r="AA82" i="13"/>
  <c r="X87" i="13"/>
  <c r="W94" i="13"/>
  <c r="W89" i="13"/>
  <c r="W88" i="13"/>
  <c r="AA87" i="13"/>
  <c r="AA88" i="13"/>
  <c r="AA89" i="13"/>
  <c r="AA95" i="13"/>
  <c r="W107" i="13"/>
  <c r="W106" i="13"/>
  <c r="AA109" i="13"/>
  <c r="X115" i="13"/>
  <c r="W122" i="13"/>
  <c r="W119" i="13"/>
  <c r="W117" i="13"/>
  <c r="W116" i="13"/>
  <c r="AA115" i="13"/>
  <c r="AA118" i="13"/>
  <c r="AA120" i="13"/>
  <c r="AA121" i="13"/>
  <c r="AA122" i="13"/>
  <c r="AA123" i="13"/>
  <c r="AA130" i="13"/>
  <c r="AA131" i="13"/>
  <c r="AA132" i="13"/>
  <c r="AA133" i="13"/>
  <c r="AA134" i="13"/>
  <c r="AA135" i="13"/>
  <c r="AA137" i="13"/>
  <c r="AA138" i="13"/>
  <c r="AA145" i="13"/>
  <c r="AA58" i="13"/>
  <c r="Z55" i="13"/>
  <c r="AA54" i="13"/>
  <c r="X57" i="13"/>
  <c r="X56" i="13"/>
  <c r="AA77" i="13"/>
  <c r="W90" i="13"/>
  <c r="AA94" i="13"/>
  <c r="W109" i="13"/>
  <c r="W123" i="13"/>
  <c r="W121" i="13"/>
  <c r="W118" i="13"/>
  <c r="AA136" i="13"/>
  <c r="AA146" i="13"/>
  <c r="AA149" i="13"/>
  <c r="AA152" i="13"/>
  <c r="X68" i="13"/>
  <c r="X65" i="13"/>
  <c r="X64" i="13"/>
  <c r="Z66" i="13"/>
  <c r="X58" i="13"/>
  <c r="X55" i="13"/>
  <c r="X54" i="13"/>
  <c r="Z53" i="13"/>
  <c r="X74" i="13"/>
  <c r="X78" i="13"/>
  <c r="X118" i="13"/>
  <c r="X120" i="13"/>
  <c r="X123" i="13"/>
  <c r="AA44" i="13"/>
  <c r="AA63" i="13"/>
  <c r="AA65" i="13"/>
  <c r="AA67" i="13"/>
  <c r="X146" i="13"/>
  <c r="X147" i="13"/>
  <c r="X149" i="13"/>
  <c r="X77" i="13"/>
  <c r="X76" i="13"/>
  <c r="X75" i="13"/>
  <c r="Z79" i="13"/>
  <c r="Z81" i="13"/>
  <c r="X96" i="13"/>
  <c r="X95" i="13"/>
  <c r="X94" i="13"/>
  <c r="X89" i="13"/>
  <c r="X88" i="13"/>
  <c r="X109" i="13"/>
  <c r="X107" i="13"/>
  <c r="X121" i="13"/>
  <c r="X117" i="13"/>
  <c r="X136" i="13"/>
  <c r="X135" i="13"/>
  <c r="Z130" i="13"/>
  <c r="Z131" i="13"/>
  <c r="Z134" i="13"/>
  <c r="Z138" i="13"/>
  <c r="X145" i="13"/>
  <c r="Z144" i="13"/>
  <c r="Z145" i="13"/>
  <c r="Z148" i="13"/>
  <c r="Z152" i="13"/>
  <c r="Z151" i="13"/>
  <c r="AA151" i="13"/>
  <c r="Z150" i="13"/>
  <c r="AA150" i="13"/>
  <c r="Z149" i="13"/>
  <c r="Z147" i="13"/>
  <c r="AA147" i="13"/>
  <c r="Z146" i="13"/>
  <c r="Z143" i="13"/>
  <c r="AA143" i="13"/>
  <c r="X152" i="13"/>
  <c r="X148" i="13"/>
  <c r="X143" i="13"/>
  <c r="Z136" i="13"/>
  <c r="Z133" i="13"/>
  <c r="Z132" i="13"/>
  <c r="Z129" i="13"/>
  <c r="AA129" i="13"/>
  <c r="X138" i="13"/>
  <c r="X137" i="13"/>
  <c r="X134" i="13"/>
  <c r="X133" i="13"/>
  <c r="X132" i="13"/>
  <c r="X131" i="13"/>
  <c r="X129" i="13"/>
  <c r="AA124" i="13"/>
  <c r="AA119" i="13"/>
  <c r="AA117" i="13"/>
  <c r="AA116" i="13"/>
  <c r="W124" i="13"/>
  <c r="W120" i="13"/>
  <c r="W115" i="13"/>
  <c r="AA110" i="13"/>
  <c r="AA107" i="13"/>
  <c r="AA103" i="13"/>
  <c r="AA101" i="13"/>
  <c r="W110" i="13"/>
  <c r="X106" i="13"/>
  <c r="AA93" i="13"/>
  <c r="AA92" i="13"/>
  <c r="AA91" i="13"/>
  <c r="AA90" i="13"/>
  <c r="X93" i="13"/>
  <c r="W93" i="13"/>
  <c r="X92" i="13"/>
  <c r="W92" i="13"/>
  <c r="X91" i="13"/>
  <c r="W91" i="13"/>
  <c r="X90" i="13"/>
  <c r="W87" i="13"/>
  <c r="Z82" i="13"/>
  <c r="Z80" i="13"/>
  <c r="X82" i="13"/>
  <c r="W82" i="13"/>
  <c r="X81" i="13"/>
  <c r="W81" i="13"/>
  <c r="X80" i="13"/>
  <c r="X79" i="13"/>
  <c r="W79" i="13"/>
  <c r="W103" i="13"/>
  <c r="W144" i="13"/>
  <c r="V144" i="13"/>
  <c r="W145" i="13"/>
  <c r="W147" i="13"/>
  <c r="W149" i="13"/>
  <c r="W151" i="13"/>
  <c r="W143" i="13"/>
  <c r="V143" i="13"/>
  <c r="X144" i="13"/>
  <c r="W146" i="13"/>
  <c r="W148" i="13"/>
  <c r="W150" i="13"/>
  <c r="W152" i="13"/>
  <c r="V145" i="13"/>
  <c r="V146" i="13"/>
  <c r="V147" i="13"/>
  <c r="V148" i="13"/>
  <c r="V149" i="13"/>
  <c r="V150" i="13"/>
  <c r="V151" i="13"/>
  <c r="V152" i="13"/>
  <c r="W130" i="13"/>
  <c r="V130" i="13"/>
  <c r="W131" i="13"/>
  <c r="W133" i="13"/>
  <c r="W135" i="13"/>
  <c r="W137" i="13"/>
  <c r="W129" i="13"/>
  <c r="V129" i="13"/>
  <c r="X130" i="13"/>
  <c r="W132" i="13"/>
  <c r="W134" i="13"/>
  <c r="W136" i="13"/>
  <c r="W138" i="13"/>
  <c r="V131" i="13"/>
  <c r="V132" i="13"/>
  <c r="V133" i="13"/>
  <c r="V134" i="13"/>
  <c r="V135" i="13"/>
  <c r="V136" i="13"/>
  <c r="V137" i="13"/>
  <c r="V138" i="13"/>
  <c r="Z115" i="13"/>
  <c r="Z116" i="13"/>
  <c r="Z117" i="13"/>
  <c r="Z118" i="13"/>
  <c r="Z119" i="13"/>
  <c r="Z120" i="13"/>
  <c r="Z121" i="13"/>
  <c r="Z122" i="13"/>
  <c r="Z123" i="13"/>
  <c r="Z124" i="13"/>
  <c r="Z102" i="13"/>
  <c r="W104" i="13"/>
  <c r="W105" i="13"/>
  <c r="Y102" i="13"/>
  <c r="Z101" i="13"/>
  <c r="V103" i="13"/>
  <c r="Z103" i="13"/>
  <c r="V104" i="13"/>
  <c r="V105" i="13"/>
  <c r="Z106" i="13"/>
  <c r="Z107" i="13"/>
  <c r="Z108" i="13"/>
  <c r="Z109" i="13"/>
  <c r="Z110" i="13"/>
  <c r="Z87" i="13"/>
  <c r="Z88" i="13"/>
  <c r="Z89" i="13"/>
  <c r="Z90" i="13"/>
  <c r="Z91" i="13"/>
  <c r="Z92" i="13"/>
  <c r="Z93" i="13"/>
  <c r="Z94" i="13"/>
  <c r="Z95" i="13"/>
  <c r="Z96" i="13"/>
  <c r="W73" i="13"/>
  <c r="W74" i="13"/>
  <c r="W75" i="13"/>
  <c r="W76" i="13"/>
  <c r="W77" i="13"/>
  <c r="W78" i="13"/>
  <c r="V73" i="13"/>
  <c r="Z73" i="13"/>
  <c r="V74" i="13"/>
  <c r="Z74" i="13"/>
  <c r="V75" i="13"/>
  <c r="Z75" i="13"/>
  <c r="V76" i="13"/>
  <c r="Z76" i="13"/>
  <c r="V77" i="13"/>
  <c r="Z77" i="13"/>
  <c r="V78" i="13"/>
  <c r="Z78" i="13"/>
  <c r="AA47" i="13"/>
  <c r="AA45" i="13"/>
  <c r="W64" i="13"/>
  <c r="W66" i="13"/>
  <c r="W68" i="13"/>
  <c r="W63" i="13"/>
  <c r="W65" i="13"/>
  <c r="W67" i="13"/>
  <c r="V63" i="13"/>
  <c r="V64" i="13"/>
  <c r="V65" i="13"/>
  <c r="V66" i="13"/>
  <c r="V67" i="13"/>
  <c r="V68" i="13"/>
  <c r="W53" i="13"/>
  <c r="W55" i="13"/>
  <c r="W54" i="13"/>
  <c r="W56" i="13"/>
  <c r="W57" i="13"/>
  <c r="W58" i="13"/>
  <c r="V53" i="13"/>
  <c r="V54" i="13"/>
  <c r="V55" i="13"/>
  <c r="V56" i="13"/>
  <c r="Z56" i="13"/>
  <c r="V57" i="13"/>
  <c r="Z57" i="13"/>
  <c r="V58" i="13"/>
  <c r="Z58" i="13"/>
  <c r="O48" i="13"/>
  <c r="X48" i="13" s="1"/>
  <c r="O47" i="13"/>
  <c r="X47" i="13" s="1"/>
  <c r="O46" i="13"/>
  <c r="X46" i="13" s="1"/>
  <c r="O45" i="13"/>
  <c r="X45" i="13" s="1"/>
  <c r="O44" i="13"/>
  <c r="X44" i="13" s="1"/>
  <c r="Z43" i="13"/>
  <c r="Z44" i="13"/>
  <c r="Z46" i="13"/>
  <c r="Z47" i="13"/>
  <c r="Z48" i="13"/>
  <c r="X43" i="13"/>
  <c r="W43" i="13"/>
  <c r="W45" i="13"/>
  <c r="W47" i="13"/>
  <c r="W44" i="13"/>
  <c r="W48" i="13"/>
  <c r="V43" i="13"/>
  <c r="V44" i="13"/>
  <c r="V45" i="13"/>
  <c r="V46" i="13"/>
  <c r="V47" i="13"/>
  <c r="V48" i="13"/>
  <c r="H38" i="13"/>
  <c r="G38" i="13"/>
  <c r="H37" i="13"/>
  <c r="G37" i="13"/>
  <c r="H36" i="13"/>
  <c r="G36" i="13"/>
  <c r="H35" i="13"/>
  <c r="G35" i="13"/>
  <c r="H34" i="13"/>
  <c r="G34" i="13"/>
  <c r="Q34" i="13" s="1"/>
  <c r="H33" i="13"/>
  <c r="G33" i="13"/>
  <c r="D34" i="13"/>
  <c r="E34" i="13"/>
  <c r="O34" i="13" s="1"/>
  <c r="D35" i="13"/>
  <c r="E35" i="13"/>
  <c r="O35" i="13" s="1"/>
  <c r="D36" i="13"/>
  <c r="E36" i="13"/>
  <c r="O36" i="13" s="1"/>
  <c r="D37" i="13"/>
  <c r="E37" i="13"/>
  <c r="O37" i="13" s="1"/>
  <c r="D38" i="13"/>
  <c r="E38" i="13"/>
  <c r="O38" i="13" s="1"/>
  <c r="E33" i="13"/>
  <c r="O33" i="13" s="1"/>
  <c r="N33" i="13"/>
  <c r="P38" i="13"/>
  <c r="M38" i="13"/>
  <c r="V38" i="13" s="1"/>
  <c r="R38" i="13"/>
  <c r="AA38" i="13" s="1"/>
  <c r="Q38" i="13"/>
  <c r="N38" i="13"/>
  <c r="P37" i="13"/>
  <c r="N37" i="13"/>
  <c r="M37" i="13"/>
  <c r="V37" i="13" s="1"/>
  <c r="R37" i="13"/>
  <c r="Q37" i="13"/>
  <c r="P36" i="13"/>
  <c r="N36" i="13"/>
  <c r="M36" i="13"/>
  <c r="V36" i="13" s="1"/>
  <c r="R36" i="13"/>
  <c r="Q36" i="13"/>
  <c r="P35" i="13"/>
  <c r="N35" i="13"/>
  <c r="M35" i="13"/>
  <c r="V35" i="13" s="1"/>
  <c r="R35" i="13"/>
  <c r="Q35" i="13"/>
  <c r="P34" i="13"/>
  <c r="M34" i="13"/>
  <c r="V34" i="13" s="1"/>
  <c r="R34" i="13"/>
  <c r="AA34" i="13" s="1"/>
  <c r="N34" i="13"/>
  <c r="W34" i="13" s="1"/>
  <c r="P33" i="13"/>
  <c r="M33" i="13"/>
  <c r="V33" i="13" s="1"/>
  <c r="R33" i="13"/>
  <c r="AA33" i="13" s="1"/>
  <c r="Q33" i="13"/>
  <c r="H28" i="13"/>
  <c r="G28" i="13"/>
  <c r="H27" i="13"/>
  <c r="R27" i="13" s="1"/>
  <c r="G27" i="13"/>
  <c r="H26" i="13"/>
  <c r="R26" i="13" s="1"/>
  <c r="G26" i="13"/>
  <c r="Q26" i="13" s="1"/>
  <c r="H25" i="13"/>
  <c r="R25" i="13" s="1"/>
  <c r="G25" i="13"/>
  <c r="Q25" i="13" s="1"/>
  <c r="H24" i="13"/>
  <c r="G24" i="13"/>
  <c r="H23" i="13"/>
  <c r="R23" i="13" s="1"/>
  <c r="G23" i="13"/>
  <c r="D24" i="13"/>
  <c r="N24" i="13" s="1"/>
  <c r="E24" i="13"/>
  <c r="O24" i="13" s="1"/>
  <c r="D25" i="13"/>
  <c r="N25" i="13" s="1"/>
  <c r="E25" i="13"/>
  <c r="D26" i="13"/>
  <c r="N26" i="13" s="1"/>
  <c r="E26" i="13"/>
  <c r="D27" i="13"/>
  <c r="N27" i="13" s="1"/>
  <c r="E27" i="13"/>
  <c r="O27" i="13" s="1"/>
  <c r="D28" i="13"/>
  <c r="N28" i="13" s="1"/>
  <c r="E28" i="13"/>
  <c r="O28" i="13" s="1"/>
  <c r="E23" i="13"/>
  <c r="O23" i="13" s="1"/>
  <c r="D23" i="13"/>
  <c r="P28" i="13"/>
  <c r="Y28" i="13" s="1"/>
  <c r="M28" i="13"/>
  <c r="R28" i="13"/>
  <c r="AA28" i="13" s="1"/>
  <c r="Q28" i="13"/>
  <c r="P27" i="13"/>
  <c r="Y27" i="13" s="1"/>
  <c r="M27" i="13"/>
  <c r="Q27" i="13"/>
  <c r="P26" i="13"/>
  <c r="Y26" i="13" s="1"/>
  <c r="M26" i="13"/>
  <c r="O26" i="13"/>
  <c r="P25" i="13"/>
  <c r="Y25" i="13" s="1"/>
  <c r="M25" i="13"/>
  <c r="O25" i="13"/>
  <c r="P24" i="13"/>
  <c r="Y24" i="13" s="1"/>
  <c r="M24" i="13"/>
  <c r="R24" i="13"/>
  <c r="AA24" i="13" s="1"/>
  <c r="Q24" i="13"/>
  <c r="P23" i="13"/>
  <c r="Y23" i="13" s="1"/>
  <c r="M23" i="13"/>
  <c r="Q23" i="13"/>
  <c r="Z23" i="13" s="1"/>
  <c r="N23" i="13"/>
  <c r="H18" i="13"/>
  <c r="G18" i="13"/>
  <c r="Q18" i="13" s="1"/>
  <c r="H17" i="13"/>
  <c r="R17" i="13" s="1"/>
  <c r="G17" i="13"/>
  <c r="Q17" i="13" s="1"/>
  <c r="H16" i="13"/>
  <c r="R16" i="13" s="1"/>
  <c r="G16" i="13"/>
  <c r="H15" i="13"/>
  <c r="R15" i="13" s="1"/>
  <c r="G15" i="13"/>
  <c r="Q15" i="13" s="1"/>
  <c r="H14" i="13"/>
  <c r="R14" i="13" s="1"/>
  <c r="G14" i="13"/>
  <c r="Q14" i="13" s="1"/>
  <c r="H13" i="13"/>
  <c r="R13" i="13" s="1"/>
  <c r="G13" i="13"/>
  <c r="Q13" i="13" s="1"/>
  <c r="D14" i="13"/>
  <c r="N14" i="13" s="1"/>
  <c r="E14" i="13"/>
  <c r="O14" i="13" s="1"/>
  <c r="D15" i="13"/>
  <c r="N15" i="13" s="1"/>
  <c r="E15" i="13"/>
  <c r="O15" i="13" s="1"/>
  <c r="D16" i="13"/>
  <c r="N16" i="13" s="1"/>
  <c r="E16" i="13"/>
  <c r="O16" i="13" s="1"/>
  <c r="D17" i="13"/>
  <c r="N17" i="13" s="1"/>
  <c r="E17" i="13"/>
  <c r="O17" i="13" s="1"/>
  <c r="D18" i="13"/>
  <c r="E18" i="13"/>
  <c r="O18" i="13" s="1"/>
  <c r="E13" i="13"/>
  <c r="O13" i="13" s="1"/>
  <c r="D13" i="13"/>
  <c r="N13" i="13" s="1"/>
  <c r="P18" i="13"/>
  <c r="Y18" i="13" s="1"/>
  <c r="N18" i="13"/>
  <c r="M18" i="13"/>
  <c r="V18" i="13" s="1"/>
  <c r="R18" i="13"/>
  <c r="P17" i="13"/>
  <c r="Y17" i="13" s="1"/>
  <c r="M17" i="13"/>
  <c r="V17" i="13" s="1"/>
  <c r="P16" i="13"/>
  <c r="Y16" i="13" s="1"/>
  <c r="M16" i="13"/>
  <c r="V16" i="13" s="1"/>
  <c r="Q16" i="13"/>
  <c r="P15" i="13"/>
  <c r="Y15" i="13" s="1"/>
  <c r="M15" i="13"/>
  <c r="V15" i="13" s="1"/>
  <c r="P14" i="13"/>
  <c r="Y14" i="13" s="1"/>
  <c r="M14" i="13"/>
  <c r="V14" i="13" s="1"/>
  <c r="P13" i="13"/>
  <c r="Y13" i="13" s="1"/>
  <c r="M13" i="13"/>
  <c r="V13" i="13" s="1"/>
  <c r="X26" i="13" l="1"/>
  <c r="X23" i="13"/>
  <c r="AA26" i="13"/>
  <c r="X25" i="13"/>
  <c r="O14" i="14"/>
  <c r="R2" i="14"/>
  <c r="X28" i="13"/>
  <c r="X27" i="13"/>
  <c r="X24" i="13"/>
  <c r="Z25" i="13"/>
  <c r="X37" i="13"/>
  <c r="X36" i="13"/>
  <c r="X35" i="13"/>
  <c r="X34" i="13"/>
  <c r="W33" i="13"/>
  <c r="X13" i="13"/>
  <c r="AA13" i="13"/>
  <c r="AA14" i="13"/>
  <c r="AA23" i="13"/>
  <c r="AA25" i="13"/>
  <c r="AA27" i="13"/>
  <c r="AA35" i="13"/>
  <c r="W35" i="13"/>
  <c r="AA36" i="13"/>
  <c r="W36" i="13"/>
  <c r="AA37" i="13"/>
  <c r="W37" i="13"/>
  <c r="W38" i="13"/>
  <c r="X33" i="13"/>
  <c r="X38" i="13"/>
  <c r="Z34" i="13"/>
  <c r="Z36" i="13"/>
  <c r="Z38" i="13"/>
  <c r="Z33" i="13"/>
  <c r="Z35" i="13"/>
  <c r="Z37" i="13"/>
  <c r="Y33" i="13"/>
  <c r="Y34" i="13"/>
  <c r="Y35" i="13"/>
  <c r="Y36" i="13"/>
  <c r="Y37" i="13"/>
  <c r="Y38" i="13"/>
  <c r="Z28" i="13"/>
  <c r="Z27" i="13"/>
  <c r="Z26" i="13"/>
  <c r="Z24" i="13"/>
  <c r="W24" i="13"/>
  <c r="W26" i="13"/>
  <c r="W28" i="13"/>
  <c r="W23" i="13"/>
  <c r="W25" i="13"/>
  <c r="W27" i="13"/>
  <c r="V23" i="13"/>
  <c r="V24" i="13"/>
  <c r="V25" i="13"/>
  <c r="V26" i="13"/>
  <c r="V27" i="13"/>
  <c r="V28" i="13"/>
  <c r="AA15" i="13"/>
  <c r="AA16" i="13"/>
  <c r="W18" i="13"/>
  <c r="X17" i="13"/>
  <c r="X16" i="13"/>
  <c r="W15" i="13"/>
  <c r="AA18" i="13"/>
  <c r="AA17" i="13"/>
  <c r="X18" i="13"/>
  <c r="W17" i="13"/>
  <c r="W16" i="13"/>
  <c r="X15" i="13"/>
  <c r="X14" i="13"/>
  <c r="W14" i="13"/>
  <c r="W13" i="13"/>
  <c r="Z13" i="13"/>
  <c r="Z15" i="13"/>
  <c r="Z17" i="13"/>
  <c r="Z14" i="13"/>
  <c r="Z16" i="13"/>
  <c r="Z18" i="13"/>
  <c r="P8" i="13"/>
  <c r="P7" i="13"/>
  <c r="P6" i="13"/>
  <c r="P5" i="13"/>
  <c r="P4" i="13"/>
  <c r="P3" i="13"/>
  <c r="M4" i="13"/>
  <c r="M5" i="13"/>
  <c r="M6" i="13"/>
  <c r="M7" i="13"/>
  <c r="M8" i="13"/>
  <c r="M3" i="13"/>
  <c r="H8" i="13"/>
  <c r="R8" i="13" s="1"/>
  <c r="AA8" i="13" s="1"/>
  <c r="G8" i="13"/>
  <c r="Q8" i="13" s="1"/>
  <c r="H7" i="13"/>
  <c r="R7" i="13" s="1"/>
  <c r="AA7" i="13" s="1"/>
  <c r="G7" i="13"/>
  <c r="Q7" i="13" s="1"/>
  <c r="H6" i="13"/>
  <c r="R6" i="13" s="1"/>
  <c r="AA6" i="13" s="1"/>
  <c r="G6" i="13"/>
  <c r="Q6" i="13" s="1"/>
  <c r="H5" i="13"/>
  <c r="R5" i="13" s="1"/>
  <c r="AA5" i="13" s="1"/>
  <c r="G5" i="13"/>
  <c r="Q5" i="13" s="1"/>
  <c r="H4" i="13"/>
  <c r="R4" i="13" s="1"/>
  <c r="AA4" i="13" s="1"/>
  <c r="G4" i="13"/>
  <c r="Q4" i="13" s="1"/>
  <c r="H3" i="13"/>
  <c r="R3" i="13" s="1"/>
  <c r="AA3" i="13" s="1"/>
  <c r="G3" i="13"/>
  <c r="Q3" i="13" s="1"/>
  <c r="D4" i="13"/>
  <c r="N4" i="13" s="1"/>
  <c r="E4" i="13"/>
  <c r="O4" i="13" s="1"/>
  <c r="D5" i="13"/>
  <c r="N5" i="13" s="1"/>
  <c r="E5" i="13"/>
  <c r="O5" i="13" s="1"/>
  <c r="X5" i="13" s="1"/>
  <c r="D6" i="13"/>
  <c r="N6" i="13" s="1"/>
  <c r="E6" i="13"/>
  <c r="O6" i="13" s="1"/>
  <c r="D7" i="13"/>
  <c r="N7" i="13" s="1"/>
  <c r="E7" i="13"/>
  <c r="O7" i="13" s="1"/>
  <c r="X7" i="13" s="1"/>
  <c r="D8" i="13"/>
  <c r="N8" i="13" s="1"/>
  <c r="E8" i="13"/>
  <c r="O8" i="13" s="1"/>
  <c r="E3" i="13"/>
  <c r="O3" i="13" s="1"/>
  <c r="X3" i="13" s="1"/>
  <c r="D3" i="13"/>
  <c r="N3" i="13" s="1"/>
  <c r="P14" i="14" l="1"/>
  <c r="S2" i="14"/>
  <c r="X8" i="13"/>
  <c r="X6" i="13"/>
  <c r="X4" i="13"/>
  <c r="W7" i="13"/>
  <c r="V7" i="13"/>
  <c r="V6" i="13"/>
  <c r="W6" i="13"/>
  <c r="Y3" i="13"/>
  <c r="Z3" i="13"/>
  <c r="Z4" i="13"/>
  <c r="Y4" i="13"/>
  <c r="Y7" i="13"/>
  <c r="Z7" i="13"/>
  <c r="Z8" i="13"/>
  <c r="Y8" i="13"/>
  <c r="V3" i="13"/>
  <c r="W3" i="13"/>
  <c r="V8" i="13"/>
  <c r="W8" i="13"/>
  <c r="W5" i="13"/>
  <c r="V5" i="13"/>
  <c r="V4" i="13"/>
  <c r="W4" i="13"/>
  <c r="Y5" i="13"/>
  <c r="Z5" i="13"/>
  <c r="Y6" i="13"/>
  <c r="Z6" i="13"/>
  <c r="G87" i="10"/>
  <c r="G86" i="10"/>
  <c r="G85" i="10"/>
  <c r="G84" i="10"/>
  <c r="G83" i="10"/>
  <c r="G82" i="10"/>
  <c r="G79" i="10"/>
  <c r="G80" i="10"/>
  <c r="G78" i="10"/>
  <c r="G77" i="10"/>
  <c r="G76" i="10"/>
  <c r="G75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Q14" i="14" l="1"/>
  <c r="T2" i="14"/>
  <c r="X300" i="4"/>
  <c r="X301" i="4"/>
  <c r="X290" i="4"/>
  <c r="X291" i="4"/>
  <c r="R14" i="14" l="1"/>
  <c r="U2" i="14"/>
  <c r="F291" i="4"/>
  <c r="F298" i="4" s="1"/>
  <c r="F290" i="4"/>
  <c r="F297" i="4" s="1"/>
  <c r="S14" i="14" l="1"/>
  <c r="V2" i="14"/>
  <c r="Y292" i="4"/>
  <c r="Y293" i="4"/>
  <c r="AC18" i="11"/>
  <c r="AD18" i="11" s="1"/>
  <c r="AC26" i="11"/>
  <c r="AD26" i="11" s="1"/>
  <c r="AC25" i="11"/>
  <c r="AD25" i="11" s="1"/>
  <c r="AC22" i="11"/>
  <c r="AD22" i="11" s="1"/>
  <c r="AC27" i="11"/>
  <c r="AD27" i="11" s="1"/>
  <c r="AC24" i="11"/>
  <c r="AD24" i="11" s="1"/>
  <c r="AC14" i="11"/>
  <c r="AD14" i="11" s="1"/>
  <c r="AC15" i="11"/>
  <c r="AD15" i="11" s="1"/>
  <c r="AC16" i="11"/>
  <c r="AD16" i="11" s="1"/>
  <c r="AC17" i="11"/>
  <c r="AD17" i="11" s="1"/>
  <c r="AC19" i="11"/>
  <c r="AD19" i="11" s="1"/>
  <c r="AC48" i="11"/>
  <c r="AD48" i="11" s="1"/>
  <c r="AC43" i="11"/>
  <c r="AD43" i="11" s="1"/>
  <c r="AC29" i="11"/>
  <c r="AD29" i="11" s="1"/>
  <c r="AC23" i="11"/>
  <c r="AD23" i="11" s="1"/>
  <c r="AC21" i="11"/>
  <c r="AD21" i="11" s="1"/>
  <c r="AC13" i="11"/>
  <c r="AD13" i="11" s="1"/>
  <c r="AC12" i="11"/>
  <c r="AD12" i="11" s="1"/>
  <c r="AC11" i="11"/>
  <c r="AD11" i="11" s="1"/>
  <c r="AC20" i="11"/>
  <c r="AD20" i="11" s="1"/>
  <c r="AC28" i="11"/>
  <c r="AD28" i="11" s="1"/>
  <c r="AC30" i="11"/>
  <c r="AD30" i="11" s="1"/>
  <c r="AC31" i="11"/>
  <c r="AD31" i="11" s="1"/>
  <c r="AC32" i="11"/>
  <c r="AD32" i="11" s="1"/>
  <c r="AC33" i="11"/>
  <c r="AD33" i="11" s="1"/>
  <c r="AC34" i="11"/>
  <c r="AD34" i="11" s="1"/>
  <c r="AC35" i="11"/>
  <c r="AD35" i="11" s="1"/>
  <c r="AC36" i="11"/>
  <c r="AD36" i="11" s="1"/>
  <c r="AC37" i="11"/>
  <c r="AD37" i="11" s="1"/>
  <c r="AC38" i="11"/>
  <c r="AD38" i="11" s="1"/>
  <c r="AC39" i="11"/>
  <c r="AD39" i="11" s="1"/>
  <c r="AC40" i="11"/>
  <c r="AD40" i="11" s="1"/>
  <c r="AC41" i="11"/>
  <c r="AD41" i="11" s="1"/>
  <c r="AC42" i="11"/>
  <c r="AD42" i="11" s="1"/>
  <c r="AC44" i="11"/>
  <c r="AD44" i="11" s="1"/>
  <c r="AC45" i="11"/>
  <c r="AD45" i="11" s="1"/>
  <c r="AC46" i="11"/>
  <c r="AD46" i="11" s="1"/>
  <c r="AC47" i="11"/>
  <c r="AD47" i="11" s="1"/>
  <c r="AC49" i="11"/>
  <c r="AD49" i="11" s="1"/>
  <c r="AC50" i="11"/>
  <c r="AD50" i="11" s="1"/>
  <c r="AC51" i="11"/>
  <c r="AD51" i="11" s="1"/>
  <c r="T14" i="14" l="1"/>
  <c r="W2" i="14"/>
  <c r="F292" i="4"/>
  <c r="F299" i="4" s="1"/>
  <c r="G293" i="4"/>
  <c r="F293" i="4"/>
  <c r="F300" i="4" s="1"/>
  <c r="AC10" i="11"/>
  <c r="AD10" i="11" s="1"/>
  <c r="AC9" i="11"/>
  <c r="AD9" i="11" s="1"/>
  <c r="AC8" i="11"/>
  <c r="AD8" i="11" s="1"/>
  <c r="U14" i="14" l="1"/>
  <c r="X2" i="14"/>
  <c r="X306" i="4"/>
  <c r="X307" i="4"/>
  <c r="X292" i="4"/>
  <c r="X293" i="4"/>
  <c r="M19" i="10"/>
  <c r="N19" i="10"/>
  <c r="O19" i="10"/>
  <c r="P19" i="10"/>
  <c r="M20" i="10"/>
  <c r="N20" i="10"/>
  <c r="O20" i="10"/>
  <c r="P20" i="10"/>
  <c r="N18" i="10"/>
  <c r="O18" i="10"/>
  <c r="P18" i="10"/>
  <c r="M18" i="10"/>
  <c r="M7" i="10"/>
  <c r="N7" i="10"/>
  <c r="O7" i="10"/>
  <c r="P7" i="10"/>
  <c r="M8" i="10"/>
  <c r="N8" i="10"/>
  <c r="O8" i="10"/>
  <c r="P8" i="10"/>
  <c r="M9" i="10"/>
  <c r="N9" i="10"/>
  <c r="O9" i="10"/>
  <c r="P9" i="10"/>
  <c r="N6" i="10"/>
  <c r="O6" i="10"/>
  <c r="P6" i="10"/>
  <c r="M6" i="10"/>
  <c r="V14" i="14" l="1"/>
  <c r="Y2" i="14"/>
  <c r="Z2" i="14" s="1"/>
  <c r="G292" i="4"/>
  <c r="G291" i="4"/>
  <c r="W14" i="14" l="1"/>
  <c r="G290" i="4"/>
  <c r="X14" i="14" l="1"/>
  <c r="AA2" i="14"/>
  <c r="Y14" i="14" l="1"/>
  <c r="AB2" i="14"/>
  <c r="AC2" i="14" s="1"/>
  <c r="Z14" i="14" l="1"/>
  <c r="AD2" i="14"/>
  <c r="AA14" i="14" l="1"/>
  <c r="AE2" i="14"/>
  <c r="AB14" i="14" l="1"/>
  <c r="AF2" i="14"/>
  <c r="AC14" i="14" l="1"/>
  <c r="AG2" i="14"/>
  <c r="AD14" i="14" l="1"/>
  <c r="AH2" i="14"/>
  <c r="AE14" i="14" l="1"/>
  <c r="AF14" i="14" l="1"/>
  <c r="AG14" i="14" l="1"/>
  <c r="AH14" i="14" l="1"/>
</calcChain>
</file>

<file path=xl/sharedStrings.xml><?xml version="1.0" encoding="utf-8"?>
<sst xmlns="http://schemas.openxmlformats.org/spreadsheetml/2006/main" count="7148" uniqueCount="228">
  <si>
    <t>Accuracy</t>
    <phoneticPr fontId="1" type="noConversion"/>
  </si>
  <si>
    <t>Time to first click</t>
    <phoneticPr fontId="1" type="noConversion"/>
  </si>
  <si>
    <t>Task completion duration</t>
    <phoneticPr fontId="1" type="noConversion"/>
  </si>
  <si>
    <t>Satisfaction</t>
    <phoneticPr fontId="1" type="noConversion"/>
  </si>
  <si>
    <t>Subject</t>
    <phoneticPr fontId="1" type="noConversion"/>
  </si>
  <si>
    <t>V</t>
    <phoneticPr fontId="1" type="noConversion"/>
  </si>
  <si>
    <t>H</t>
    <phoneticPr fontId="1" type="noConversion"/>
  </si>
  <si>
    <t>Type</t>
    <phoneticPr fontId="1" type="noConversion"/>
  </si>
  <si>
    <t>AOIs</t>
    <phoneticPr fontId="1" type="noConversion"/>
  </si>
  <si>
    <t>Horizontal</t>
    <phoneticPr fontId="1" type="noConversion"/>
  </si>
  <si>
    <t>Vertical</t>
    <phoneticPr fontId="1" type="noConversion"/>
  </si>
  <si>
    <t>Front</t>
    <phoneticPr fontId="1" type="noConversion"/>
  </si>
  <si>
    <t>Back</t>
    <phoneticPr fontId="1" type="noConversion"/>
  </si>
  <si>
    <t>Log(TTF)</t>
    <phoneticPr fontId="1" type="noConversion"/>
  </si>
  <si>
    <t>Control type</t>
    <phoneticPr fontId="1" type="noConversion"/>
  </si>
  <si>
    <t>Target position</t>
    <phoneticPr fontId="1" type="noConversion"/>
  </si>
  <si>
    <t>Postion</t>
    <phoneticPr fontId="1" type="noConversion"/>
  </si>
  <si>
    <t>Interaction</t>
    <phoneticPr fontId="1" type="noConversion"/>
  </si>
  <si>
    <r>
      <rPr>
        <i/>
        <sz val="11"/>
        <color theme="1"/>
        <rFont val="맑은 고딕"/>
        <family val="3"/>
        <charset val="129"/>
        <scheme val="minor"/>
      </rPr>
      <t xml:space="preserve">p </t>
    </r>
    <r>
      <rPr>
        <sz val="11"/>
        <color theme="1"/>
        <rFont val="맑은 고딕"/>
        <family val="2"/>
        <charset val="129"/>
        <scheme val="minor"/>
      </rPr>
      <t>value</t>
    </r>
    <phoneticPr fontId="1" type="noConversion"/>
  </si>
  <si>
    <t>Time to first Click</t>
    <phoneticPr fontId="1" type="noConversion"/>
  </si>
  <si>
    <t>**</t>
    <phoneticPr fontId="1" type="noConversion"/>
  </si>
  <si>
    <t>Time on SERPs</t>
    <phoneticPr fontId="1" type="noConversion"/>
  </si>
  <si>
    <t>***</t>
    <phoneticPr fontId="1" type="noConversion"/>
  </si>
  <si>
    <t>*</t>
    <phoneticPr fontId="1" type="noConversion"/>
  </si>
  <si>
    <t>Time to right Click</t>
    <phoneticPr fontId="1" type="noConversion"/>
  </si>
  <si>
    <t>ANOVA</t>
    <phoneticPr fontId="1" type="noConversion"/>
  </si>
  <si>
    <t>Analysis</t>
    <phoneticPr fontId="1" type="noConversion"/>
  </si>
  <si>
    <t>Accuracy (%)</t>
    <phoneticPr fontId="1" type="noConversion"/>
  </si>
  <si>
    <t>GLMM</t>
    <phoneticPr fontId="1" type="noConversion"/>
  </si>
  <si>
    <t>Scroll (%)</t>
    <phoneticPr fontId="1" type="noConversion"/>
  </si>
  <si>
    <t>Satisfaction (1-7 likert)</t>
    <phoneticPr fontId="1" type="noConversion"/>
  </si>
  <si>
    <t>Fixation with all target positions</t>
    <phoneticPr fontId="1" type="noConversion"/>
  </si>
  <si>
    <t>Fixation duration</t>
    <phoneticPr fontId="1" type="noConversion"/>
  </si>
  <si>
    <t>Fixation with front target positions</t>
    <phoneticPr fontId="1" type="noConversion"/>
  </si>
  <si>
    <t>Fixation with Back target positions</t>
    <phoneticPr fontId="1" type="noConversion"/>
  </si>
  <si>
    <t>GLM</t>
    <phoneticPr fontId="1" type="noConversion"/>
  </si>
  <si>
    <t>Categories</t>
  </si>
  <si>
    <t>Sub-categories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</si>
  <si>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</si>
  <si>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</si>
  <si>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</si>
  <si>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</si>
  <si>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</si>
  <si>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</si>
  <si>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</si>
  <si>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</si>
  <si>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</si>
  <si>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</si>
  <si>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</si>
  <si>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</si>
  <si>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</si>
  <si>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  <phoneticPr fontId="1" type="noConversion"/>
  </si>
  <si>
    <t>S15</t>
  </si>
  <si>
    <t>S16</t>
  </si>
  <si>
    <t>S17</t>
  </si>
  <si>
    <t>S18</t>
  </si>
  <si>
    <t>Total count</t>
  </si>
  <si>
    <t>Rate</t>
  </si>
  <si>
    <t>1.Age</t>
  </si>
  <si>
    <t>number</t>
    <phoneticPr fontId="1" type="noConversion"/>
  </si>
  <si>
    <t>2.Gender</t>
  </si>
  <si>
    <t>Male</t>
  </si>
  <si>
    <t>Female</t>
  </si>
  <si>
    <t>4. major?</t>
    <phoneticPr fontId="1" type="noConversion"/>
  </si>
  <si>
    <t>Rerely</t>
  </si>
  <si>
    <t>Expert</t>
  </si>
  <si>
    <t>Inexperienced</t>
  </si>
  <si>
    <t>Terrible</t>
  </si>
  <si>
    <t>S19</t>
  </si>
  <si>
    <t>S20</t>
  </si>
  <si>
    <t>S21</t>
  </si>
  <si>
    <t>S22</t>
  </si>
  <si>
    <t>S23</t>
  </si>
  <si>
    <t>S24</t>
  </si>
  <si>
    <t>Undergraduate</t>
    <phoneticPr fontId="1" type="noConversion"/>
  </si>
  <si>
    <t>3. Undergraduate?</t>
    <phoneticPr fontId="1" type="noConversion"/>
  </si>
  <si>
    <t>Post-graduated</t>
    <phoneticPr fontId="1" type="noConversion"/>
  </si>
  <si>
    <t>ETC</t>
    <phoneticPr fontId="1" type="noConversion"/>
  </si>
  <si>
    <t>Computer Science</t>
    <phoneticPr fontId="1" type="noConversion"/>
  </si>
  <si>
    <t>5. Preferred control type</t>
    <phoneticPr fontId="1" type="noConversion"/>
  </si>
  <si>
    <t>6. Main contronl?</t>
    <phoneticPr fontId="1" type="noConversion"/>
  </si>
  <si>
    <t>Yes</t>
    <phoneticPr fontId="1" type="noConversion"/>
  </si>
  <si>
    <t>Give a try</t>
    <phoneticPr fontId="1" type="noConversion"/>
  </si>
  <si>
    <t>No</t>
    <phoneticPr fontId="1" type="noConversion"/>
  </si>
  <si>
    <t>7. Difficulty of Tasks</t>
    <phoneticPr fontId="1" type="noConversion"/>
  </si>
  <si>
    <t>8. How often</t>
    <phoneticPr fontId="1" type="noConversion"/>
  </si>
  <si>
    <t>9. How good with S.Engine</t>
    <phoneticPr fontId="1" type="noConversion"/>
  </si>
  <si>
    <t>10. How good with using mobile device?</t>
    <phoneticPr fontId="1" type="noConversion"/>
  </si>
  <si>
    <t>Manytimes a day</t>
    <phoneticPr fontId="1" type="noConversion"/>
  </si>
  <si>
    <t>Once or twice a day</t>
    <phoneticPr fontId="7" type="noConversion"/>
  </si>
  <si>
    <t>A few times a week</t>
    <phoneticPr fontId="7" type="noConversion"/>
  </si>
  <si>
    <t>Good</t>
    <phoneticPr fontId="1" type="noConversion"/>
  </si>
  <si>
    <t>Neither good nor bad</t>
    <phoneticPr fontId="1" type="noConversion"/>
  </si>
  <si>
    <t>Accounting</t>
    <phoneticPr fontId="1" type="noConversion"/>
  </si>
  <si>
    <t>5-1. Reason</t>
    <phoneticPr fontId="1" type="noConversion"/>
  </si>
  <si>
    <t>Bio-chemistry</t>
    <phoneticPr fontId="1" type="noConversion"/>
  </si>
  <si>
    <t>Easy/Fast to control with H</t>
  </si>
  <si>
    <t>Easy/Fast to control with V</t>
  </si>
  <si>
    <t>Both Similar</t>
    <phoneticPr fontId="1" type="noConversion"/>
  </si>
  <si>
    <t>Business</t>
    <phoneticPr fontId="1" type="noConversion"/>
  </si>
  <si>
    <t>Law</t>
    <phoneticPr fontId="1" type="noConversion"/>
  </si>
  <si>
    <t>International Studies</t>
    <phoneticPr fontId="1" type="noConversion"/>
  </si>
  <si>
    <t>Familiar with V</t>
    <phoneticPr fontId="1" type="noConversion"/>
  </si>
  <si>
    <t>Mathematics</t>
    <phoneticPr fontId="1" type="noConversion"/>
  </si>
  <si>
    <t>Extremely easy</t>
    <phoneticPr fontId="1" type="noConversion"/>
  </si>
  <si>
    <t>Very easy</t>
    <phoneticPr fontId="1" type="noConversion"/>
  </si>
  <si>
    <t>easy</t>
    <phoneticPr fontId="1" type="noConversion"/>
  </si>
  <si>
    <t>Neither easy nor hard</t>
    <phoneticPr fontId="1" type="noConversion"/>
  </si>
  <si>
    <t>Very hard</t>
    <phoneticPr fontId="1" type="noConversion"/>
  </si>
  <si>
    <t>Extremely hard</t>
    <phoneticPr fontId="1" type="noConversion"/>
  </si>
  <si>
    <t>Hard</t>
    <phoneticPr fontId="1" type="noConversion"/>
  </si>
  <si>
    <t>LMM</t>
    <phoneticPr fontId="1" type="noConversion"/>
  </si>
  <si>
    <t>Page</t>
    <phoneticPr fontId="1" type="noConversion"/>
  </si>
  <si>
    <t>TTF</t>
    <phoneticPr fontId="1" type="noConversion"/>
  </si>
  <si>
    <t>TCD</t>
    <phoneticPr fontId="1" type="noConversion"/>
  </si>
  <si>
    <t>TOS</t>
    <phoneticPr fontId="1" type="noConversion"/>
  </si>
  <si>
    <t>TTC</t>
    <phoneticPr fontId="1" type="noConversion"/>
  </si>
  <si>
    <t>Fix_all</t>
    <phoneticPr fontId="1" type="noConversion"/>
  </si>
  <si>
    <t>Fix_frontP</t>
    <phoneticPr fontId="1" type="noConversion"/>
  </si>
  <si>
    <t>Fixa_BackP</t>
    <phoneticPr fontId="1" type="noConversion"/>
  </si>
  <si>
    <t>ST</t>
    <phoneticPr fontId="1" type="noConversion"/>
  </si>
  <si>
    <t>ST_firstclick</t>
    <phoneticPr fontId="1" type="noConversion"/>
  </si>
  <si>
    <t>ST_correctC</t>
    <phoneticPr fontId="1" type="noConversion"/>
  </si>
  <si>
    <t>Ave ST</t>
    <phoneticPr fontId="1" type="noConversion"/>
  </si>
  <si>
    <t>Ave ST_first</t>
    <phoneticPr fontId="1" type="noConversion"/>
  </si>
  <si>
    <t>Ave ST_correct</t>
    <phoneticPr fontId="1" type="noConversion"/>
  </si>
  <si>
    <t>LC</t>
    <phoneticPr fontId="1" type="noConversion"/>
  </si>
  <si>
    <t>HC</t>
    <phoneticPr fontId="1" type="noConversion"/>
  </si>
  <si>
    <t>SED</t>
    <phoneticPr fontId="1" type="noConversion"/>
  </si>
  <si>
    <t>Time to first click</t>
  </si>
  <si>
    <t>Task Completioin Duration</t>
    <phoneticPr fontId="1" type="noConversion"/>
  </si>
  <si>
    <t>Time To Correct Click</t>
    <phoneticPr fontId="1" type="noConversion"/>
  </si>
  <si>
    <t>Scroll</t>
    <phoneticPr fontId="1" type="noConversion"/>
  </si>
  <si>
    <t>Fixation_P1</t>
    <phoneticPr fontId="1" type="noConversion"/>
  </si>
  <si>
    <t>Fixation_P3</t>
    <phoneticPr fontId="1" type="noConversion"/>
  </si>
  <si>
    <t>Fixation_P5</t>
    <phoneticPr fontId="1" type="noConversion"/>
  </si>
  <si>
    <t>Fixation_P6</t>
    <phoneticPr fontId="1" type="noConversion"/>
  </si>
  <si>
    <t>Fixation_P8</t>
    <phoneticPr fontId="1" type="noConversion"/>
  </si>
  <si>
    <t>Fixation_P10</t>
    <phoneticPr fontId="1" type="noConversion"/>
  </si>
  <si>
    <t>v</t>
    <phoneticPr fontId="1" type="noConversion"/>
  </si>
  <si>
    <t>h</t>
    <phoneticPr fontId="1" type="noConversion"/>
  </si>
  <si>
    <t>H-F</t>
    <phoneticPr fontId="1" type="noConversion"/>
  </si>
  <si>
    <t>H-B</t>
    <phoneticPr fontId="1" type="noConversion"/>
  </si>
  <si>
    <t>V-F</t>
    <phoneticPr fontId="1" type="noConversion"/>
  </si>
  <si>
    <t>V-B</t>
    <phoneticPr fontId="1" type="noConversion"/>
  </si>
  <si>
    <t>Accuracy</t>
  </si>
  <si>
    <t>Task_type</t>
  </si>
  <si>
    <t>Task_num</t>
  </si>
  <si>
    <t>Snippet_length</t>
  </si>
  <si>
    <t>medium</t>
  </si>
  <si>
    <t>long</t>
  </si>
  <si>
    <t>info</t>
  </si>
  <si>
    <t>nav</t>
  </si>
  <si>
    <t>Shown_T_num</t>
  </si>
  <si>
    <t>short</t>
  </si>
  <si>
    <t>scroll</t>
  </si>
  <si>
    <t>Compressed value</t>
  </si>
  <si>
    <t>Minimal value</t>
  </si>
  <si>
    <t>Fixation _title</t>
  </si>
  <si>
    <t>Fixation_URL</t>
  </si>
  <si>
    <t>Fixation_snippet</t>
  </si>
  <si>
    <t>viewport</t>
  </si>
  <si>
    <t>Task</t>
  </si>
  <si>
    <t>Size</t>
  </si>
  <si>
    <t>Title1</t>
  </si>
  <si>
    <t>URL1</t>
  </si>
  <si>
    <t>Snippet1</t>
  </si>
  <si>
    <t>Title2</t>
  </si>
  <si>
    <t>URL2</t>
  </si>
  <si>
    <t>Snippet2</t>
  </si>
  <si>
    <t>Title3</t>
  </si>
  <si>
    <t>URL3</t>
  </si>
  <si>
    <t>Snippet3</t>
  </si>
  <si>
    <t>Title4</t>
  </si>
  <si>
    <t>URL4</t>
  </si>
  <si>
    <t>Snippet4</t>
  </si>
  <si>
    <t>Title5</t>
  </si>
  <si>
    <t>URL5</t>
  </si>
  <si>
    <t>Snippet5</t>
  </si>
  <si>
    <t>Title6</t>
  </si>
  <si>
    <t>URL6</t>
  </si>
  <si>
    <t>Snippet6</t>
  </si>
  <si>
    <t>Title7</t>
  </si>
  <si>
    <t>URL7</t>
  </si>
  <si>
    <t>Snippet7</t>
  </si>
  <si>
    <t>Title8</t>
  </si>
  <si>
    <t>URL8</t>
  </si>
  <si>
    <t>Snippet8</t>
  </si>
  <si>
    <t>Title9</t>
  </si>
  <si>
    <t>URL9</t>
  </si>
  <si>
    <t>Snippet9</t>
  </si>
  <si>
    <t>Title10</t>
  </si>
  <si>
    <t>URL10</t>
  </si>
  <si>
    <t>Snippet10</t>
  </si>
  <si>
    <t>T1</t>
  </si>
  <si>
    <t>S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</si>
  <si>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</si>
  <si>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</si>
  <si>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</si>
  <si>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</si>
  <si>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</si>
  <si>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</si>
  <si>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</si>
  <si>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</si>
  <si>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</si>
  <si>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</si>
  <si>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</si>
  <si>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M</t>
  </si>
  <si>
    <t>L</t>
  </si>
  <si>
    <t>Title</t>
  </si>
  <si>
    <t>URL</t>
  </si>
  <si>
    <t>Snippet</t>
  </si>
  <si>
    <t>Endtime_SERP</t>
    <phoneticPr fontId="1" type="noConversion"/>
  </si>
  <si>
    <t>StartTime</t>
    <phoneticPr fontId="1" type="noConversion"/>
  </si>
  <si>
    <t>Fixation_total</t>
    <phoneticPr fontId="1" type="noConversion"/>
  </si>
  <si>
    <t>Clicked_rank</t>
    <phoneticPr fontId="1" type="noConversion"/>
  </si>
  <si>
    <t xml:space="preserve"> </t>
    <phoneticPr fontId="1" type="noConversion"/>
  </si>
  <si>
    <t>Log10_Title</t>
  </si>
  <si>
    <t>Log10_URL</t>
  </si>
  <si>
    <t>Log10_Snippet</t>
  </si>
  <si>
    <t>Log10_total</t>
  </si>
  <si>
    <t>Total</t>
  </si>
  <si>
    <t>Log(F_title)</t>
  </si>
  <si>
    <t>Log(F_URL)</t>
  </si>
  <si>
    <t>Log(F_Snippet)</t>
  </si>
  <si>
    <t>Log(F_total)</t>
  </si>
  <si>
    <t>Original_scanpath_value</t>
  </si>
  <si>
    <t>comp-mini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</si>
</sst>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.0000000_ 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Arial"/>
      <family val="2"/>
    </font>
    <font>
      <sz val="9"/>
      <color theme="5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3" fillId="3" borderId="11" xfId="0" applyFont="1" applyFill="1" applyBorder="1">
      <alignment vertical="center"/>
    </xf>
    <xf numFmtId="0" fontId="3" fillId="3" borderId="12" xfId="0" applyFont="1" applyFill="1" applyBorder="1">
      <alignment vertical="center"/>
    </xf>
    <xf numFmtId="0" fontId="0" fillId="0" borderId="0" xfId="0" applyAlignment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6" xfId="0" applyBorder="1" applyAlignment="1">
      <alignment horizontal="center" vertical="center"/>
    </xf>
    <xf numFmtId="0" fontId="0" fillId="0" borderId="21" xfId="0" applyBorder="1" applyAlignment="1"/>
    <xf numFmtId="0" fontId="0" fillId="0" borderId="22" xfId="0" applyBorder="1" applyAlignment="1"/>
    <xf numFmtId="176" fontId="0" fillId="0" borderId="23" xfId="0" applyNumberFormat="1" applyBorder="1" applyAlignment="1"/>
    <xf numFmtId="0" fontId="0" fillId="0" borderId="25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26" xfId="0" applyBorder="1" applyAlignment="1"/>
    <xf numFmtId="10" fontId="0" fillId="0" borderId="24" xfId="0" applyNumberFormat="1" applyBorder="1" applyAlignment="1"/>
    <xf numFmtId="0" fontId="0" fillId="0" borderId="28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29" xfId="0" applyBorder="1" applyAlignment="1"/>
    <xf numFmtId="10" fontId="0" fillId="0" borderId="27" xfId="0" applyNumberFormat="1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2" xfId="0" applyBorder="1" applyAlignment="1"/>
    <xf numFmtId="0" fontId="0" fillId="0" borderId="33" xfId="0" applyBorder="1" applyAlignment="1"/>
    <xf numFmtId="10" fontId="0" fillId="0" borderId="30" xfId="0" applyNumberFormat="1" applyBorder="1" applyAlignment="1"/>
    <xf numFmtId="0" fontId="0" fillId="0" borderId="35" xfId="0" applyBorder="1" applyAlignment="1"/>
    <xf numFmtId="0" fontId="0" fillId="0" borderId="8" xfId="0" applyBorder="1" applyAlignment="1"/>
    <xf numFmtId="0" fontId="0" fillId="0" borderId="1" xfId="0" applyBorder="1" applyAlignment="1"/>
    <xf numFmtId="0" fontId="0" fillId="0" borderId="36" xfId="0" applyBorder="1" applyAlignment="1"/>
    <xf numFmtId="10" fontId="0" fillId="0" borderId="34" xfId="0" applyNumberFormat="1" applyBorder="1" applyAlignment="1"/>
    <xf numFmtId="0" fontId="0" fillId="0" borderId="38" xfId="0" applyBorder="1" applyAlignment="1"/>
    <xf numFmtId="0" fontId="0" fillId="0" borderId="13" xfId="0" applyBorder="1" applyAlignment="1"/>
    <xf numFmtId="0" fontId="0" fillId="0" borderId="4" xfId="0" applyBorder="1" applyAlignment="1"/>
    <xf numFmtId="0" fontId="0" fillId="0" borderId="39" xfId="0" applyBorder="1" applyAlignment="1"/>
    <xf numFmtId="10" fontId="0" fillId="0" borderId="37" xfId="0" applyNumberFormat="1" applyBorder="1" applyAlignment="1"/>
    <xf numFmtId="0" fontId="0" fillId="0" borderId="41" xfId="0" applyBorder="1" applyAlignment="1"/>
    <xf numFmtId="0" fontId="0" fillId="0" borderId="15" xfId="0" applyBorder="1" applyAlignment="1"/>
    <xf numFmtId="0" fontId="0" fillId="0" borderId="3" xfId="0" applyBorder="1" applyAlignment="1"/>
    <xf numFmtId="0" fontId="0" fillId="0" borderId="42" xfId="0" applyBorder="1" applyAlignment="1"/>
    <xf numFmtId="10" fontId="0" fillId="0" borderId="40" xfId="0" applyNumberFormat="1" applyBorder="1" applyAlignment="1"/>
    <xf numFmtId="10" fontId="0" fillId="0" borderId="16" xfId="0" applyNumberFormat="1" applyBorder="1" applyAlignment="1"/>
    <xf numFmtId="0" fontId="0" fillId="0" borderId="24" xfId="0" applyBorder="1" applyAlignment="1"/>
    <xf numFmtId="0" fontId="0" fillId="0" borderId="34" xfId="0" applyBorder="1" applyAlignment="1"/>
    <xf numFmtId="0" fontId="0" fillId="0" borderId="27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14" xfId="0" applyBorder="1" applyAlignment="1"/>
    <xf numFmtId="0" fontId="0" fillId="0" borderId="37" xfId="0" applyBorder="1" applyAlignment="1"/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Border="1">
      <alignment vertical="center"/>
    </xf>
    <xf numFmtId="0" fontId="10" fillId="0" borderId="0" xfId="0" applyFont="1">
      <alignment vertical="center"/>
    </xf>
    <xf numFmtId="0" fontId="0" fillId="0" borderId="1" xfId="0" applyFill="1" applyBorder="1">
      <alignment vertical="center"/>
    </xf>
    <xf numFmtId="0" fontId="12" fillId="0" borderId="1" xfId="0" applyFont="1" applyBorder="1">
      <alignment vertical="center"/>
    </xf>
    <xf numFmtId="176" fontId="12" fillId="0" borderId="1" xfId="0" applyNumberFormat="1" applyFont="1" applyBorder="1">
      <alignment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>
      <alignment vertical="center"/>
    </xf>
    <xf numFmtId="0" fontId="13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/>
    <xf numFmtId="0" fontId="11" fillId="0" borderId="0" xfId="0" applyFont="1" applyAlignment="1"/>
    <xf numFmtId="0" fontId="4" fillId="2" borderId="2" xfId="0" applyFont="1" applyFill="1" applyBorder="1">
      <alignment vertical="center"/>
    </xf>
    <xf numFmtId="3" fontId="4" fillId="3" borderId="1" xfId="0" applyNumberFormat="1" applyFont="1" applyFill="1" applyBorder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/>
    <xf numFmtId="0" fontId="4" fillId="3" borderId="1" xfId="0" applyFont="1" applyFill="1" applyBorder="1" applyAlignment="1"/>
    <xf numFmtId="0" fontId="3" fillId="3" borderId="1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3" fillId="3" borderId="4" xfId="0" applyFont="1" applyFill="1" applyBorder="1" applyAlignment="1"/>
    <xf numFmtId="0" fontId="3" fillId="3" borderId="6" xfId="0" applyFont="1" applyFill="1" applyBorder="1" applyAlignment="1"/>
    <xf numFmtId="0" fontId="3" fillId="3" borderId="11" xfId="0" applyFont="1" applyFill="1" applyBorder="1" applyAlignment="1"/>
    <xf numFmtId="0" fontId="3" fillId="3" borderId="45" xfId="0" applyFont="1" applyFill="1" applyBorder="1" applyAlignment="1"/>
    <xf numFmtId="0" fontId="3" fillId="3" borderId="46" xfId="0" applyFont="1" applyFill="1" applyBorder="1" applyAlignment="1"/>
    <xf numFmtId="0" fontId="3" fillId="3" borderId="47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79-4E92-ACAE-7C6D3A65B0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79-4E92-ACAE-7C6D3A65B0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Summary!$U$4:$U$5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Summary!$V$4:$V$5</c:f>
              <c:numCache>
                <c:formatCode>General</c:formatCode>
                <c:ptCount val="2"/>
                <c:pt idx="0">
                  <c:v>14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9-4E92-ACAE-7C6D3A65B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Job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8A6-4295-892F-92EA7632C8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8A6-4295-892F-92EA7632C8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8A6-4295-892F-92EA7632C8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Summary!$U$6:$U$8</c:f>
              <c:strCache>
                <c:ptCount val="3"/>
                <c:pt idx="0">
                  <c:v>Undergraduate</c:v>
                </c:pt>
                <c:pt idx="1">
                  <c:v>Post-graduated</c:v>
                </c:pt>
                <c:pt idx="2">
                  <c:v>ETC</c:v>
                </c:pt>
              </c:strCache>
            </c:strRef>
          </c:cat>
          <c:val>
            <c:numRef>
              <c:f>Summary!$V$6:$V$8</c:f>
              <c:numCache>
                <c:formatCode>General</c:formatCode>
                <c:ptCount val="3"/>
                <c:pt idx="0">
                  <c:v>4</c:v>
                </c:pt>
                <c:pt idx="1">
                  <c:v>17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6-4295-892F-92EA7632C8E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Major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997-4A9F-A8B2-CF5C35BEC6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997-4A9F-A8B2-CF5C35BEC6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997-4A9F-A8B2-CF5C35BEC6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997-4A9F-A8B2-CF5C35BEC6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997-4A9F-A8B2-CF5C35BEC6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997-4A9F-A8B2-CF5C35BEC63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997-4A9F-A8B2-CF5C35BEC6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Summary!$U$9:$U$15</c:f>
              <c:strCache>
                <c:ptCount val="7"/>
                <c:pt idx="0">
                  <c:v>Computer Science</c:v>
                </c:pt>
                <c:pt idx="1">
                  <c:v>Accounting</c:v>
                </c:pt>
                <c:pt idx="2">
                  <c:v>Bio-chemistry</c:v>
                </c:pt>
                <c:pt idx="3">
                  <c:v>Business</c:v>
                </c:pt>
                <c:pt idx="4">
                  <c:v>Mathematics</c:v>
                </c:pt>
                <c:pt idx="5">
                  <c:v>Law</c:v>
                </c:pt>
                <c:pt idx="6">
                  <c:v>International Studies</c:v>
                </c:pt>
              </c:strCache>
            </c:strRef>
          </c:cat>
          <c:val>
            <c:numRef>
              <c:f>Summary!$V$9:$V$15</c:f>
              <c:numCache>
                <c:formatCode>General</c:formatCode>
                <c:ptCount val="7"/>
                <c:pt idx="0">
                  <c:v>16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997-4A9F-A8B2-CF5C35BEC6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Which control type is more</a:t>
            </a:r>
            <a:r>
              <a:rPr lang="en-US" altLang="ko-KR" baseline="0"/>
              <a:t> convenient?</a:t>
            </a:r>
            <a:r>
              <a:rPr lang="en-US" altLang="ko-KR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02D-475A-A5C0-D3B218C32B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02D-475A-A5C0-D3B218C32B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02D-475A-A5C0-D3B218C32B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Summary!$U$16:$U$18</c:f>
              <c:strCache>
                <c:ptCount val="3"/>
                <c:pt idx="0">
                  <c:v>Horizontal</c:v>
                </c:pt>
                <c:pt idx="1">
                  <c:v>Both Similar</c:v>
                </c:pt>
                <c:pt idx="2">
                  <c:v>Vertical</c:v>
                </c:pt>
              </c:strCache>
            </c:strRef>
          </c:cat>
          <c:val>
            <c:numRef>
              <c:f>Summary!$V$16:$V$18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2D-475A-A5C0-D3B218C32BF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Reason for the decision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CE-42C3-A6CB-8D2E92D6FD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CE-42C3-A6CB-8D2E92D6FD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CE-42C3-A6CB-8D2E92D6FD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CE-42C3-A6CB-8D2E92D6FD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Summary!$U$19:$U$22</c:f>
              <c:strCache>
                <c:ptCount val="4"/>
                <c:pt idx="0">
                  <c:v>Familiar with V</c:v>
                </c:pt>
                <c:pt idx="1">
                  <c:v>Easy/Fast to control with H</c:v>
                </c:pt>
                <c:pt idx="2">
                  <c:v>Easy/Fast to control with V</c:v>
                </c:pt>
                <c:pt idx="3">
                  <c:v>ETC</c:v>
                </c:pt>
              </c:strCache>
            </c:strRef>
          </c:cat>
          <c:val>
            <c:numRef>
              <c:f>Summary!$V$19:$V$22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CE-42C3-A6CB-8D2E92D6FD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Main</a:t>
            </a:r>
            <a:r>
              <a:rPr lang="en-US" altLang="ko-KR" baseline="0"/>
              <a:t> control type with Horizontal, if provided?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08-4A27-A1A8-A2F1E12631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08-4A27-A1A8-A2F1E12631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08-4A27-A1A8-A2F1E12631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Summary!$U$23:$U$25</c:f>
              <c:strCache>
                <c:ptCount val="3"/>
                <c:pt idx="0">
                  <c:v>Yes</c:v>
                </c:pt>
                <c:pt idx="1">
                  <c:v>Give a try</c:v>
                </c:pt>
                <c:pt idx="2">
                  <c:v>No</c:v>
                </c:pt>
              </c:strCache>
            </c:strRef>
          </c:cat>
          <c:val>
            <c:numRef>
              <c:f>Summary!$V$23:$V$25</c:f>
              <c:numCache>
                <c:formatCode>General</c:formatCode>
                <c:ptCount val="3"/>
                <c:pt idx="0">
                  <c:v>6</c:v>
                </c:pt>
                <c:pt idx="1">
                  <c:v>16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08-4A27-A1A8-A2F1E126313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How often web</a:t>
            </a:r>
            <a:r>
              <a:rPr lang="en-US" altLang="ko-KR" baseline="0"/>
              <a:t> search?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07C-447F-A7FD-9DAADE3976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07C-447F-A7FD-9DAADE3976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07C-447F-A7FD-9DAADE3976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07C-447F-A7FD-9DAADE3976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Summary!$U$33:$U$36</c:f>
              <c:strCache>
                <c:ptCount val="4"/>
                <c:pt idx="0">
                  <c:v>Manytimes a day</c:v>
                </c:pt>
                <c:pt idx="1">
                  <c:v>Once or twice a day</c:v>
                </c:pt>
                <c:pt idx="2">
                  <c:v>A few times a week</c:v>
                </c:pt>
                <c:pt idx="3">
                  <c:v>Rerely</c:v>
                </c:pt>
              </c:strCache>
            </c:strRef>
          </c:cat>
          <c:val>
            <c:numRef>
              <c:f>Summary!$V$33:$V$36</c:f>
              <c:numCache>
                <c:formatCode>General</c:formatCode>
                <c:ptCount val="4"/>
                <c:pt idx="0">
                  <c:v>22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7C-447F-A7FD-9DAADE3976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How good with search engine?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A77-4CAF-B02E-C4967EB679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A77-4CAF-B02E-C4967EB679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A77-4CAF-B02E-C4967EB679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A77-4CAF-B02E-C4967EB679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A77-4CAF-B02E-C4967EB679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Summary!$U$37:$U$41</c:f>
              <c:strCache>
                <c:ptCount val="5"/>
                <c:pt idx="0">
                  <c:v>Expert</c:v>
                </c:pt>
                <c:pt idx="1">
                  <c:v>Good</c:v>
                </c:pt>
                <c:pt idx="2">
                  <c:v>Neither good nor bad</c:v>
                </c:pt>
                <c:pt idx="3">
                  <c:v>Inexperienced</c:v>
                </c:pt>
                <c:pt idx="4">
                  <c:v>Terrible</c:v>
                </c:pt>
              </c:strCache>
            </c:strRef>
          </c:cat>
          <c:val>
            <c:numRef>
              <c:f>Summary!$V$37:$V$41</c:f>
              <c:numCache>
                <c:formatCode>General</c:formatCode>
                <c:ptCount val="5"/>
                <c:pt idx="0">
                  <c:v>7</c:v>
                </c:pt>
                <c:pt idx="1">
                  <c:v>16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77-4CAF-B02E-C4967EB679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How good with mobile devices?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DF-45EA-BD26-1C7DC7660E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DF-45EA-BD26-1C7DC7660E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DF-45EA-BD26-1C7DC7660E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0DF-45EA-BD26-1C7DC7660E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0DF-45EA-BD26-1C7DC7660E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Summary!$U$42:$U$46</c:f>
              <c:strCache>
                <c:ptCount val="5"/>
                <c:pt idx="0">
                  <c:v>Expert</c:v>
                </c:pt>
                <c:pt idx="1">
                  <c:v>Good</c:v>
                </c:pt>
                <c:pt idx="2">
                  <c:v>Neither good nor bad</c:v>
                </c:pt>
                <c:pt idx="3">
                  <c:v>Inexperienced</c:v>
                </c:pt>
                <c:pt idx="4">
                  <c:v>Terrible</c:v>
                </c:pt>
              </c:strCache>
            </c:strRef>
          </c:cat>
          <c:val>
            <c:numRef>
              <c:f>Summary!$V$42:$V$46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5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F-45EA-BD26-1C7DC7660E1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Task difficulty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3B7-43B9-A752-CA1E6D4AD0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3B7-43B9-A752-CA1E6D4AD0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3B7-43B9-A752-CA1E6D4AD0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3B7-43B9-A752-CA1E6D4AD0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3B7-43B9-A752-CA1E6D4AD0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3B7-43B9-A752-CA1E6D4AD04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3B7-43B9-A752-CA1E6D4AD0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Summary!$U$26:$U$32</c:f>
              <c:strCache>
                <c:ptCount val="7"/>
                <c:pt idx="0">
                  <c:v>Extremely easy</c:v>
                </c:pt>
                <c:pt idx="1">
                  <c:v>Very easy</c:v>
                </c:pt>
                <c:pt idx="2">
                  <c:v>easy</c:v>
                </c:pt>
                <c:pt idx="3">
                  <c:v>Neither easy nor hard</c:v>
                </c:pt>
                <c:pt idx="4">
                  <c:v>Hard</c:v>
                </c:pt>
                <c:pt idx="5">
                  <c:v>Very hard</c:v>
                </c:pt>
                <c:pt idx="6">
                  <c:v>Extremely hard</c:v>
                </c:pt>
              </c:strCache>
            </c:strRef>
          </c:cat>
          <c:val>
            <c:numRef>
              <c:f>Summary!$V$26:$V$32</c:f>
              <c:numCache>
                <c:formatCode>General</c:formatCode>
                <c:ptCount val="7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3B7-43B9-A752-CA1E6D4AD04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Time to first click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graph'!$X$3:$X$8</c:f>
                <c:numCache>
                  <c:formatCode>General</c:formatCode>
                  <c:ptCount val="6"/>
                  <c:pt idx="0">
                    <c:v>2.8729889453661439</c:v>
                  </c:pt>
                  <c:pt idx="1">
                    <c:v>3.8577488895740721</c:v>
                  </c:pt>
                  <c:pt idx="2">
                    <c:v>4.7351523310210126</c:v>
                  </c:pt>
                  <c:pt idx="3">
                    <c:v>5.2763543581808499</c:v>
                  </c:pt>
                  <c:pt idx="4">
                    <c:v>4.5324597379312763</c:v>
                  </c:pt>
                  <c:pt idx="5">
                    <c:v>5.1207544953336956</c:v>
                  </c:pt>
                </c:numCache>
              </c:numRef>
            </c:plus>
            <c:minus>
              <c:numRef>
                <c:f>'6target data 4 graph'!$W$3:$W$8</c:f>
                <c:numCache>
                  <c:formatCode>General</c:formatCode>
                  <c:ptCount val="6"/>
                  <c:pt idx="0">
                    <c:v>2.4234493919046614</c:v>
                  </c:pt>
                  <c:pt idx="1">
                    <c:v>3.2541229285404469</c:v>
                  </c:pt>
                  <c:pt idx="2">
                    <c:v>3.9942381455026279</c:v>
                  </c:pt>
                  <c:pt idx="3">
                    <c:v>4.4507577313971325</c:v>
                  </c:pt>
                  <c:pt idx="4">
                    <c:v>3.8232610722148266</c:v>
                  </c:pt>
                  <c:pt idx="5">
                    <c:v>4.3195047401158426</c:v>
                  </c:pt>
                </c:numCache>
              </c:numRef>
            </c:minus>
          </c:errBars>
          <c:cat>
            <c:numRef>
              <c:f>'6target data 4 graph'!$U$3:$U$8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graph'!$V$3:$V$8</c:f>
              <c:numCache>
                <c:formatCode>General</c:formatCode>
                <c:ptCount val="6"/>
                <c:pt idx="0">
                  <c:v>14.488166189124817</c:v>
                </c:pt>
                <c:pt idx="1">
                  <c:v>19.796966871036972</c:v>
                </c:pt>
                <c:pt idx="2">
                  <c:v>24.52701302661248</c:v>
                </c:pt>
                <c:pt idx="3">
                  <c:v>27.444611074479159</c:v>
                </c:pt>
                <c:pt idx="4">
                  <c:v>23.434305526939717</c:v>
                </c:pt>
                <c:pt idx="5">
                  <c:v>26.605778562203465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B-4C52-8C54-18320307265D}"/>
            </c:ext>
          </c:extLst>
        </c:ser>
        <c:ser>
          <c:idx val="0"/>
          <c:order val="1"/>
          <c:tx>
            <c:strRef>
              <c:f>'6target data 4 graph'!$Y$2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graph'!$AA$3:$AA$8</c:f>
                <c:numCache>
                  <c:formatCode>General</c:formatCode>
                  <c:ptCount val="6"/>
                  <c:pt idx="0">
                    <c:v>4.0302682656146303</c:v>
                  </c:pt>
                  <c:pt idx="1">
                    <c:v>4.5743980715335084</c:v>
                  </c:pt>
                  <c:pt idx="2">
                    <c:v>4.9926825702450799</c:v>
                  </c:pt>
                  <c:pt idx="3">
                    <c:v>4.8678137704011633</c:v>
                  </c:pt>
                  <c:pt idx="4">
                    <c:v>4.6701836054248282</c:v>
                  </c:pt>
                  <c:pt idx="5">
                    <c:v>5.4366822972011768</c:v>
                  </c:pt>
                </c:numCache>
              </c:numRef>
            </c:plus>
            <c:minus>
              <c:numRef>
                <c:f>'6target data 4 graph'!$Z$3:$Z$8</c:f>
                <c:numCache>
                  <c:formatCode>General</c:formatCode>
                  <c:ptCount val="6"/>
                  <c:pt idx="0">
                    <c:v>3.3996480192762064</c:v>
                  </c:pt>
                  <c:pt idx="1">
                    <c:v>3.8586372713574555</c:v>
                  </c:pt>
                  <c:pt idx="2">
                    <c:v>4.2114723616840877</c:v>
                  </c:pt>
                  <c:pt idx="3">
                    <c:v>4.1061419121751612</c:v>
                  </c:pt>
                  <c:pt idx="4">
                    <c:v>3.9394351436348813</c:v>
                  </c:pt>
                  <c:pt idx="5">
                    <c:v>4.5859989918798227</c:v>
                  </c:pt>
                </c:numCache>
              </c:numRef>
            </c:minus>
          </c:errBars>
          <c:cat>
            <c:numRef>
              <c:f>'6target data 4 graph'!$U$3:$U$8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graph'!$Y$3:$Y$8</c:f>
              <c:numCache>
                <c:formatCode>General</c:formatCode>
                <c:ptCount val="6"/>
                <c:pt idx="0">
                  <c:v>20.727011788637451</c:v>
                </c:pt>
                <c:pt idx="1">
                  <c:v>23.660393372343396</c:v>
                </c:pt>
                <c:pt idx="2">
                  <c:v>25.915348039269158</c:v>
                </c:pt>
                <c:pt idx="3">
                  <c:v>25.242185433844426</c:v>
                </c:pt>
                <c:pt idx="4">
                  <c:v>24.176769277588562</c:v>
                </c:pt>
                <c:pt idx="5">
                  <c:v>28.308932452503218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B-4C52-8C54-183203072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3683448"/>
        <c:axId val="633683840"/>
      </c:lineChart>
      <c:catAx>
        <c:axId val="633683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3683840"/>
        <c:crosses val="autoZero"/>
        <c:auto val="1"/>
        <c:lblAlgn val="ctr"/>
        <c:lblOffset val="100"/>
        <c:noMultiLvlLbl val="0"/>
      </c:catAx>
      <c:valAx>
        <c:axId val="633683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Duration</a:t>
                </a:r>
                <a:r>
                  <a:rPr lang="en-US" altLang="ko-KR" baseline="0"/>
                  <a:t>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3683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Task</a:t>
            </a:r>
            <a:r>
              <a:rPr lang="en-US" altLang="ko-KR" baseline="0"/>
              <a:t> completion curation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graph'!$X$13:$X$18</c:f>
                <c:numCache>
                  <c:formatCode>General</c:formatCode>
                  <c:ptCount val="6"/>
                  <c:pt idx="0">
                    <c:v>6.11174193287588</c:v>
                  </c:pt>
                  <c:pt idx="1">
                    <c:v>7.1148378691003984</c:v>
                  </c:pt>
                  <c:pt idx="2">
                    <c:v>9.2292202002087294</c:v>
                  </c:pt>
                  <c:pt idx="3">
                    <c:v>8.4754937499764011</c:v>
                  </c:pt>
                  <c:pt idx="4">
                    <c:v>8.7129457096448064</c:v>
                  </c:pt>
                  <c:pt idx="5">
                    <c:v>8.8138368659585637</c:v>
                  </c:pt>
                </c:numCache>
              </c:numRef>
            </c:plus>
            <c:minus>
              <c:numRef>
                <c:f>'6target data 4 graph'!$W$13:$W$18</c:f>
                <c:numCache>
                  <c:formatCode>General</c:formatCode>
                  <c:ptCount val="6"/>
                  <c:pt idx="0">
                    <c:v>5.3096391633136264</c:v>
                  </c:pt>
                  <c:pt idx="1">
                    <c:v>6.1810891567907404</c:v>
                  </c:pt>
                  <c:pt idx="2">
                    <c:v>8.0179807262926417</c:v>
                  </c:pt>
                  <c:pt idx="3">
                    <c:v>7.3631730589316291</c:v>
                  </c:pt>
                  <c:pt idx="4">
                    <c:v>7.5694619105074707</c:v>
                  </c:pt>
                  <c:pt idx="5">
                    <c:v>7.6571121484722653</c:v>
                  </c:pt>
                </c:numCache>
              </c:numRef>
            </c:minus>
          </c:errBars>
          <c:cat>
            <c:numRef>
              <c:f>'6target data 4 graph'!$U$13:$U$18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graph'!$V$13:$V$18</c:f>
              <c:numCache>
                <c:formatCode>General</c:formatCode>
                <c:ptCount val="6"/>
                <c:pt idx="0">
                  <c:v>39.457589169744281</c:v>
                </c:pt>
                <c:pt idx="1">
                  <c:v>46.097732639695309</c:v>
                </c:pt>
                <c:pt idx="2">
                  <c:v>60.094202490557237</c:v>
                </c:pt>
                <c:pt idx="3">
                  <c:v>55.104797603247071</c:v>
                </c:pt>
                <c:pt idx="4">
                  <c:v>56.676646339225066</c:v>
                </c:pt>
                <c:pt idx="5">
                  <c:v>57.344510427374516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F-4246-BD29-F3A02D374392}"/>
            </c:ext>
          </c:extLst>
        </c:ser>
        <c:ser>
          <c:idx val="0"/>
          <c:order val="1"/>
          <c:tx>
            <c:strRef>
              <c:f>'6target data 4 graph'!$Y$12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graph'!$AA$13:$AA$18</c:f>
                <c:numCache>
                  <c:formatCode>General</c:formatCode>
                  <c:ptCount val="6"/>
                  <c:pt idx="0">
                    <c:v>8.0568449873313881</c:v>
                  </c:pt>
                  <c:pt idx="1">
                    <c:v>7.9463009299156084</c:v>
                  </c:pt>
                  <c:pt idx="2">
                    <c:v>8.1501388553412895</c:v>
                  </c:pt>
                  <c:pt idx="3">
                    <c:v>9.1868157852178669</c:v>
                  </c:pt>
                  <c:pt idx="4">
                    <c:v>9.5535549948047702</c:v>
                  </c:pt>
                  <c:pt idx="5">
                    <c:v>11.044981885949269</c:v>
                  </c:pt>
                </c:numCache>
              </c:numRef>
            </c:plus>
            <c:minus>
              <c:numRef>
                <c:f>'6target data 4 graph'!$Z$13:$Z$18</c:f>
                <c:numCache>
                  <c:formatCode>General</c:formatCode>
                  <c:ptCount val="6"/>
                  <c:pt idx="0">
                    <c:v>6.9994676063411916</c:v>
                  </c:pt>
                  <c:pt idx="1">
                    <c:v>6.9034313104745308</c:v>
                  </c:pt>
                  <c:pt idx="2">
                    <c:v>7.0805176213324614</c:v>
                  </c:pt>
                  <c:pt idx="3">
                    <c:v>7.981141451171851</c:v>
                  </c:pt>
                  <c:pt idx="4">
                    <c:v>8.2997499414078035</c:v>
                  </c:pt>
                  <c:pt idx="5">
                    <c:v>9.5954425143947333</c:v>
                  </c:pt>
                </c:numCache>
              </c:numRef>
            </c:minus>
          </c:errBars>
          <c:cat>
            <c:numRef>
              <c:f>'6target data 4 graph'!$U$13:$U$18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graph'!$Y$13:$Y$18</c:f>
              <c:numCache>
                <c:formatCode>General</c:formatCode>
                <c:ptCount val="6"/>
                <c:pt idx="0">
                  <c:v>52.333489548762124</c:v>
                </c:pt>
                <c:pt idx="1">
                  <c:v>51.601726639070655</c:v>
                </c:pt>
                <c:pt idx="2">
                  <c:v>52.951062251512788</c:v>
                </c:pt>
                <c:pt idx="3">
                  <c:v>59.813500127871841</c:v>
                </c:pt>
                <c:pt idx="4">
                  <c:v>62.241185137621969</c:v>
                </c:pt>
                <c:pt idx="5">
                  <c:v>72.113908348341823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F-4246-BD29-F3A02D374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501104"/>
        <c:axId val="620501496"/>
      </c:lineChart>
      <c:catAx>
        <c:axId val="620501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0501496"/>
        <c:crosses val="autoZero"/>
        <c:auto val="1"/>
        <c:lblAlgn val="ctr"/>
        <c:lblOffset val="100"/>
        <c:noMultiLvlLbl val="0"/>
      </c:catAx>
      <c:valAx>
        <c:axId val="6205014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Duration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0501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Time to correct click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graph'!$V$22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graph'!$AA$23:$AA$28</c:f>
                <c:numCache>
                  <c:formatCode>General</c:formatCode>
                  <c:ptCount val="6"/>
                  <c:pt idx="0">
                    <c:v>6.0127486219479884</c:v>
                  </c:pt>
                  <c:pt idx="1">
                    <c:v>6.4427762259580845</c:v>
                  </c:pt>
                  <c:pt idx="2">
                    <c:v>6.3984244663838332</c:v>
                  </c:pt>
                  <c:pt idx="3">
                    <c:v>8.2048953740585162</c:v>
                  </c:pt>
                  <c:pt idx="4">
                    <c:v>9.1426700640054861</c:v>
                  </c:pt>
                  <c:pt idx="5">
                    <c:v>11.616439835790693</c:v>
                  </c:pt>
                </c:numCache>
              </c:numRef>
            </c:plus>
            <c:minus>
              <c:numRef>
                <c:f>'6target data 4 graph'!$Z$23:$Z$28</c:f>
                <c:numCache>
                  <c:formatCode>General</c:formatCode>
                  <c:ptCount val="6"/>
                  <c:pt idx="0">
                    <c:v>4.9393869212053509</c:v>
                  </c:pt>
                  <c:pt idx="1">
                    <c:v>5.2926484421096767</c:v>
                  </c:pt>
                  <c:pt idx="2">
                    <c:v>5.2562141065091623</c:v>
                  </c:pt>
                  <c:pt idx="3">
                    <c:v>6.7402040977647104</c:v>
                  </c:pt>
                  <c:pt idx="4">
                    <c:v>7.510572581431795</c:v>
                  </c:pt>
                  <c:pt idx="5">
                    <c:v>9.5427390372565029</c:v>
                  </c:pt>
                </c:numCache>
              </c:numRef>
            </c:minus>
          </c:errBars>
          <c:cat>
            <c:numRef>
              <c:f>'6target data 4 graph'!$U$23:$U$28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graph'!$V$23:$V$28</c:f>
              <c:numCache>
                <c:formatCode>General</c:formatCode>
                <c:ptCount val="6"/>
                <c:pt idx="0">
                  <c:v>18.275249131909362</c:v>
                </c:pt>
                <c:pt idx="1">
                  <c:v>23.434305526939717</c:v>
                </c:pt>
                <c:pt idx="2">
                  <c:v>33.994516702835746</c:v>
                </c:pt>
                <c:pt idx="3">
                  <c:v>35.559479161312495</c:v>
                </c:pt>
                <c:pt idx="4">
                  <c:v>30.695674630434915</c:v>
                </c:pt>
                <c:pt idx="5">
                  <c:v>35.982817978026638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D-4833-BCB9-222531F7C3A0}"/>
            </c:ext>
          </c:extLst>
        </c:ser>
        <c:ser>
          <c:idx val="0"/>
          <c:order val="1"/>
          <c:tx>
            <c:strRef>
              <c:f>'6target data 4 graph'!$Y$22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graph'!$X$23:$X$28</c:f>
                <c:numCache>
                  <c:formatCode>General</c:formatCode>
                  <c:ptCount val="6"/>
                  <c:pt idx="0">
                    <c:v>4.1886401127319566</c:v>
                  </c:pt>
                  <c:pt idx="1">
                    <c:v>5.30973745431168</c:v>
                  </c:pt>
                  <c:pt idx="2">
                    <c:v>7.6045417303847032</c:v>
                  </c:pt>
                  <c:pt idx="3">
                    <c:v>7.9446185036412231</c:v>
                  </c:pt>
                  <c:pt idx="4">
                    <c:v>6.8876813601002311</c:v>
                  </c:pt>
                  <c:pt idx="5">
                    <c:v>8.0366128502164855</c:v>
                  </c:pt>
                </c:numCache>
              </c:numRef>
            </c:plus>
            <c:minus>
              <c:numRef>
                <c:f>'6target data 4 graph'!$W$23:$W$28</c:f>
                <c:numCache>
                  <c:formatCode>General</c:formatCode>
                  <c:ptCount val="6"/>
                  <c:pt idx="0">
                    <c:v>3.4409078927636045</c:v>
                  </c:pt>
                  <c:pt idx="1">
                    <c:v>4.3618733105067697</c:v>
                  </c:pt>
                  <c:pt idx="2">
                    <c:v>6.2470221734720326</c:v>
                  </c:pt>
                  <c:pt idx="3">
                    <c:v>6.5263903745468994</c:v>
                  </c:pt>
                  <c:pt idx="4">
                    <c:v>5.6581316410475502</c:v>
                  </c:pt>
                  <c:pt idx="5">
                    <c:v>6.6019624133712078</c:v>
                  </c:pt>
                </c:numCache>
              </c:numRef>
            </c:minus>
          </c:errBars>
          <c:cat>
            <c:numRef>
              <c:f>'6target data 4 graph'!$U$23:$U$28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graph'!$Y$23:$Y$28</c:f>
              <c:numCache>
                <c:formatCode>General</c:formatCode>
                <c:ptCount val="6"/>
                <c:pt idx="0">
                  <c:v>26.669416454115119</c:v>
                </c:pt>
                <c:pt idx="1">
                  <c:v>28.648313895243433</c:v>
                </c:pt>
                <c:pt idx="2">
                  <c:v>28.444216337987623</c:v>
                </c:pt>
                <c:pt idx="3">
                  <c:v>36.757219092541611</c:v>
                </c:pt>
                <c:pt idx="4">
                  <c:v>41.072662838444437</c:v>
                </c:pt>
                <c:pt idx="5">
                  <c:v>52.45643593969718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7D-4833-BCB9-222531F7C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502280"/>
        <c:axId val="436475400"/>
      </c:lineChart>
      <c:catAx>
        <c:axId val="62050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</a:t>
                </a:r>
                <a:r>
                  <a:rPr lang="en-US" altLang="ko-KR" baseline="0"/>
                  <a:t>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475400"/>
        <c:crosses val="autoZero"/>
        <c:auto val="1"/>
        <c:lblAlgn val="ctr"/>
        <c:lblOffset val="100"/>
        <c:noMultiLvlLbl val="0"/>
      </c:catAx>
      <c:valAx>
        <c:axId val="436475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000" b="1" i="0" u="none" strike="noStrike" baseline="0">
                    <a:effectLst/>
                  </a:rPr>
                  <a:t>Duration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0502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Time on SERPs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graph'!$V$32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graph'!$X$33:$X$38</c:f>
                <c:numCache>
                  <c:formatCode>General</c:formatCode>
                  <c:ptCount val="6"/>
                  <c:pt idx="0">
                    <c:v>3.5199998473800775</c:v>
                  </c:pt>
                  <c:pt idx="1">
                    <c:v>4.5450916460538515</c:v>
                  </c:pt>
                  <c:pt idx="2">
                    <c:v>5.6304440165992133</c:v>
                  </c:pt>
                  <c:pt idx="3">
                    <c:v>6.3174620925384062</c:v>
                  </c:pt>
                  <c:pt idx="4">
                    <c:v>5.6174943547103489</c:v>
                  </c:pt>
                  <c:pt idx="5">
                    <c:v>6.1736590988058886</c:v>
                  </c:pt>
                </c:numCache>
              </c:numRef>
            </c:plus>
            <c:minus>
              <c:numRef>
                <c:f>'6target data 4 graph'!$W$33:$W$38</c:f>
                <c:numCache>
                  <c:formatCode>General</c:formatCode>
                  <c:ptCount val="6"/>
                  <c:pt idx="0">
                    <c:v>2.9494609095006759</c:v>
                  </c:pt>
                  <c:pt idx="1">
                    <c:v>3.8084007731169791</c:v>
                  </c:pt>
                  <c:pt idx="2">
                    <c:v>4.7178338778769273</c:v>
                  </c:pt>
                  <c:pt idx="3">
                    <c:v>5.2934966753089086</c:v>
                  </c:pt>
                  <c:pt idx="4">
                    <c:v>4.7069831610620163</c:v>
                  </c:pt>
                  <c:pt idx="5">
                    <c:v>5.1730019801177036</c:v>
                  </c:pt>
                </c:numCache>
              </c:numRef>
            </c:minus>
          </c:errBars>
          <c:cat>
            <c:numRef>
              <c:f>'6target data 4 graph'!$U$33:$U$38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graph'!$V$33:$V$38</c:f>
              <c:numCache>
                <c:formatCode>General</c:formatCode>
                <c:ptCount val="6"/>
                <c:pt idx="0">
                  <c:v>17.197008586099841</c:v>
                </c:pt>
                <c:pt idx="1">
                  <c:v>22.496328208483085</c:v>
                </c:pt>
                <c:pt idx="2">
                  <c:v>28.107171180666064</c:v>
                </c:pt>
                <c:pt idx="3">
                  <c:v>31.658783217233591</c:v>
                </c:pt>
                <c:pt idx="4">
                  <c:v>28.040226544644522</c:v>
                </c:pt>
                <c:pt idx="5">
                  <c:v>30.915378551007631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B-4C59-97FA-049FA0C83BC6}"/>
            </c:ext>
          </c:extLst>
        </c:ser>
        <c:ser>
          <c:idx val="0"/>
          <c:order val="1"/>
          <c:tx>
            <c:strRef>
              <c:f>'6target data 4 graph'!$Y$32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graph'!$AA$33:$AA$38</c:f>
                <c:numCache>
                  <c:formatCode>General</c:formatCode>
                  <c:ptCount val="6"/>
                  <c:pt idx="0">
                    <c:v>4.8701534428208859</c:v>
                  </c:pt>
                  <c:pt idx="1">
                    <c:v>5.3154819121894867</c:v>
                  </c:pt>
                  <c:pt idx="2">
                    <c:v>5.4644020381272647</c:v>
                  </c:pt>
                  <c:pt idx="3">
                    <c:v>6.259543251936158</c:v>
                  </c:pt>
                  <c:pt idx="4">
                    <c:v>7.0720063937551458</c:v>
                  </c:pt>
                  <c:pt idx="5">
                    <c:v>8.3472350820101724</c:v>
                  </c:pt>
                </c:numCache>
              </c:numRef>
            </c:plus>
            <c:minus>
              <c:numRef>
                <c:f>'6target data 4 graph'!$Z$33:$Z$38</c:f>
                <c:numCache>
                  <c:formatCode>General</c:formatCode>
                  <c:ptCount val="6"/>
                  <c:pt idx="0">
                    <c:v>4.0807749504766591</c:v>
                  </c:pt>
                  <c:pt idx="1">
                    <c:v>4.4539223849199132</c:v>
                  </c:pt>
                  <c:pt idx="2">
                    <c:v>4.5787048022880015</c:v>
                  </c:pt>
                  <c:pt idx="3">
                    <c:v>5.2449656060797132</c:v>
                  </c:pt>
                  <c:pt idx="4">
                    <c:v>5.9257407143481977</c:v>
                  </c:pt>
                  <c:pt idx="5">
                    <c:v>6.994274046666817</c:v>
                  </c:pt>
                </c:numCache>
              </c:numRef>
            </c:minus>
          </c:errBars>
          <c:cat>
            <c:numRef>
              <c:f>'6target data 4 graph'!$U$33:$U$38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graph'!$Y$33:$Y$38</c:f>
              <c:numCache>
                <c:formatCode>General</c:formatCode>
                <c:ptCount val="6"/>
                <c:pt idx="0">
                  <c:v>24.176769277588562</c:v>
                </c:pt>
                <c:pt idx="1">
                  <c:v>26.478941531023988</c:v>
                </c:pt>
                <c:pt idx="2">
                  <c:v>27.24879974915709</c:v>
                </c:pt>
                <c:pt idx="3">
                  <c:v>31.359365692962832</c:v>
                </c:pt>
                <c:pt idx="4">
                  <c:v>35.559479161312495</c:v>
                </c:pt>
                <c:pt idx="5">
                  <c:v>42.151907682776539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B-4C59-97FA-049FA0C83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476184"/>
        <c:axId val="436476576"/>
      </c:lineChart>
      <c:catAx>
        <c:axId val="436476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476576"/>
        <c:crosses val="autoZero"/>
        <c:auto val="1"/>
        <c:lblAlgn val="ctr"/>
        <c:lblOffset val="100"/>
        <c:noMultiLvlLbl val="0"/>
      </c:catAx>
      <c:valAx>
        <c:axId val="436476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 sz="1000" b="1" i="0" u="none" strike="noStrike" baseline="0">
                    <a:effectLst/>
                  </a:rPr>
                  <a:t>Duration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6476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Scroll rate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graph'!$V$62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graph'!$X$63:$X$68</c:f>
                <c:numCache>
                  <c:formatCode>General</c:formatCode>
                  <c:ptCount val="6"/>
                  <c:pt idx="0">
                    <c:v>0.14208298758391608</c:v>
                  </c:pt>
                  <c:pt idx="1">
                    <c:v>0.14448676062325694</c:v>
                  </c:pt>
                  <c:pt idx="2">
                    <c:v>0.1592591028906658</c:v>
                  </c:pt>
                  <c:pt idx="3">
                    <c:v>7.8894413330371727E-2</c:v>
                  </c:pt>
                  <c:pt idx="4">
                    <c:v>8.5676689720357802E-2</c:v>
                  </c:pt>
                  <c:pt idx="5">
                    <c:v>5.7253099041399635E-2</c:v>
                  </c:pt>
                </c:numCache>
              </c:numRef>
            </c:plus>
            <c:minus>
              <c:numRef>
                <c:f>'6target data 4 graph'!$W$63:$W$68</c:f>
                <c:numCache>
                  <c:formatCode>General</c:formatCode>
                  <c:ptCount val="6"/>
                  <c:pt idx="0">
                    <c:v>0.11554829862707805</c:v>
                  </c:pt>
                  <c:pt idx="1">
                    <c:v>0.13749789636580473</c:v>
                  </c:pt>
                  <c:pt idx="2">
                    <c:v>0.15080988387447375</c:v>
                  </c:pt>
                  <c:pt idx="3">
                    <c:v>0.1363739228847386</c:v>
                  </c:pt>
                  <c:pt idx="4">
                    <c:v>0.12881243475959936</c:v>
                  </c:pt>
                  <c:pt idx="5">
                    <c:v>0.10233661969325736</c:v>
                  </c:pt>
                </c:numCache>
              </c:numRef>
            </c:minus>
          </c:errBars>
          <c:cat>
            <c:numRef>
              <c:f>'6target data 4 graph'!$U$63:$U$68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graph'!$V$63:$V$68</c:f>
              <c:numCache>
                <c:formatCode>General</c:formatCode>
                <c:ptCount val="6"/>
                <c:pt idx="0">
                  <c:v>0.32322285492109443</c:v>
                </c:pt>
                <c:pt idx="1">
                  <c:v>0.45636131276292113</c:v>
                </c:pt>
                <c:pt idx="2">
                  <c:v>0.45636131276292113</c:v>
                </c:pt>
                <c:pt idx="3">
                  <c:v>0.84670653465192491</c:v>
                </c:pt>
                <c:pt idx="4">
                  <c:v>0.80580829099812235</c:v>
                </c:pt>
                <c:pt idx="5">
                  <c:v>0.88665302115033073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F-4E94-ABBB-A686AABDEE4E}"/>
            </c:ext>
          </c:extLst>
        </c:ser>
        <c:ser>
          <c:idx val="0"/>
          <c:order val="1"/>
          <c:tx>
            <c:strRef>
              <c:f>'6target data 4 graph'!$Y$62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graph'!$AA$63:$AA$68</c:f>
                <c:numCache>
                  <c:formatCode>General</c:formatCode>
                  <c:ptCount val="6"/>
                  <c:pt idx="0">
                    <c:v>0.14876684429837123</c:v>
                  </c:pt>
                  <c:pt idx="1">
                    <c:v>0.14482158512437909</c:v>
                  </c:pt>
                  <c:pt idx="2">
                    <c:v>8.2045139340087059E-2</c:v>
                  </c:pt>
                  <c:pt idx="3">
                    <c:v>5.9639526556658495E-2</c:v>
                  </c:pt>
                  <c:pt idx="4">
                    <c:v>0.10101606161097954</c:v>
                  </c:pt>
                  <c:pt idx="5">
                    <c:v>0.11041436303959518</c:v>
                  </c:pt>
                </c:numCache>
              </c:numRef>
            </c:plus>
            <c:minus>
              <c:numRef>
                <c:f>'6target data 4 graph'!$Z$63:$Z$68</c:f>
                <c:numCache>
                  <c:formatCode>General</c:formatCode>
                  <c:ptCount val="6"/>
                  <c:pt idx="0">
                    <c:v>0.13420672811074835</c:v>
                  </c:pt>
                  <c:pt idx="1">
                    <c:v>0.13098758333138999</c:v>
                  </c:pt>
                  <c:pt idx="2">
                    <c:v>0.12077510562584526</c:v>
                  </c:pt>
                  <c:pt idx="3">
                    <c:v>0.11021988381693248</c:v>
                  </c:pt>
                  <c:pt idx="4">
                    <c:v>0.14347013187037516</c:v>
                  </c:pt>
                  <c:pt idx="5">
                    <c:v>0.16319952641128799</c:v>
                  </c:pt>
                </c:numCache>
              </c:numRef>
            </c:minus>
          </c:errBars>
          <c:cat>
            <c:numRef>
              <c:f>'6target data 4 graph'!$U$63:$U$68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graph'!$Y$63:$Y$68</c:f>
              <c:numCache>
                <c:formatCode>General</c:formatCode>
                <c:ptCount val="6"/>
                <c:pt idx="0">
                  <c:v>0.41168597483912689</c:v>
                </c:pt>
                <c:pt idx="1">
                  <c:v>0.41168597483912689</c:v>
                </c:pt>
                <c:pt idx="2">
                  <c:v>0.80580829099812235</c:v>
                </c:pt>
                <c:pt idx="3">
                  <c:v>0.88665302115033073</c:v>
                </c:pt>
                <c:pt idx="4">
                  <c:v>0.76404759979746606</c:v>
                </c:pt>
                <c:pt idx="5">
                  <c:v>0.76404759979746606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F-4E94-ABBB-A686AABDE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988192"/>
        <c:axId val="528988584"/>
      </c:lineChart>
      <c:catAx>
        <c:axId val="528988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8988584"/>
        <c:crosses val="autoZero"/>
        <c:auto val="1"/>
        <c:lblAlgn val="ctr"/>
        <c:lblOffset val="100"/>
        <c:noMultiLvlLbl val="0"/>
      </c:catAx>
      <c:valAx>
        <c:axId val="5289885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Chance (%)</a:t>
                </a:r>
                <a:endParaRPr lang="ko-KR" alt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28988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Search accuracy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graph'!$V$42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graph'!$X$43:$X$48</c:f>
                <c:numCache>
                  <c:formatCode>General</c:formatCode>
                  <c:ptCount val="6"/>
                  <c:pt idx="0">
                    <c:v>8.108186610633572E-2</c:v>
                  </c:pt>
                  <c:pt idx="1">
                    <c:v>6.4279269523069504E-2</c:v>
                  </c:pt>
                  <c:pt idx="2">
                    <c:v>0.16086434644048131</c:v>
                  </c:pt>
                  <c:pt idx="3">
                    <c:v>9.0488761277585872E-2</c:v>
                  </c:pt>
                  <c:pt idx="4">
                    <c:v>8.9130587248027915E-2</c:v>
                  </c:pt>
                  <c:pt idx="5">
                    <c:v>0.10010558929026847</c:v>
                  </c:pt>
                </c:numCache>
              </c:numRef>
            </c:plus>
            <c:minus>
              <c:numRef>
                <c:f>'6target data 4 graph'!$W$43:$W$48</c:f>
                <c:numCache>
                  <c:formatCode>General</c:formatCode>
                  <c:ptCount val="6"/>
                  <c:pt idx="0">
                    <c:v>0.132705360809518</c:v>
                  </c:pt>
                  <c:pt idx="1">
                    <c:v>0.11495137459991156</c:v>
                  </c:pt>
                  <c:pt idx="2">
                    <c:v>0.21200877853829908</c:v>
                  </c:pt>
                  <c:pt idx="3">
                    <c:v>0.13308033229320981</c:v>
                  </c:pt>
                  <c:pt idx="4">
                    <c:v>0.13016333152690207</c:v>
                  </c:pt>
                  <c:pt idx="5">
                    <c:v>0.13658416447119204</c:v>
                  </c:pt>
                </c:numCache>
              </c:numRef>
            </c:minus>
          </c:errBars>
          <c:cat>
            <c:numRef>
              <c:f>'6target data 4 graph'!$U$43:$U$48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graph'!$V$43:$V$48</c:f>
              <c:numCache>
                <c:formatCode>General</c:formatCode>
                <c:ptCount val="6"/>
                <c:pt idx="0">
                  <c:v>0.8332725032834909</c:v>
                </c:pt>
                <c:pt idx="1">
                  <c:v>0.87500982711595265</c:v>
                </c:pt>
                <c:pt idx="2">
                  <c:v>0.66663395907330647</c:v>
                </c:pt>
                <c:pt idx="3">
                  <c:v>0.79166649072985451</c:v>
                </c:pt>
                <c:pt idx="4">
                  <c:v>0.79166649072985451</c:v>
                </c:pt>
                <c:pt idx="5">
                  <c:v>0.7500726888282484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831-A0FE-42B277399002}"/>
            </c:ext>
          </c:extLst>
        </c:ser>
        <c:ser>
          <c:idx val="0"/>
          <c:order val="1"/>
          <c:tx>
            <c:strRef>
              <c:f>'6target data 4 graph'!$Y$42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graph'!$AA$43:$AA$48</c:f>
                <c:numCache>
                  <c:formatCode>General</c:formatCode>
                  <c:ptCount val="6"/>
                  <c:pt idx="0">
                    <c:v>9.8652150614031431E-2</c:v>
                  </c:pt>
                  <c:pt idx="1">
                    <c:v>0.11891071231755557</c:v>
                  </c:pt>
                  <c:pt idx="2">
                    <c:v>4.6816180976508193E-2</c:v>
                  </c:pt>
                  <c:pt idx="3">
                    <c:v>0.13090771149441682</c:v>
                  </c:pt>
                  <c:pt idx="4">
                    <c:v>0.14803659604445674</c:v>
                  </c:pt>
                  <c:pt idx="5">
                    <c:v>0.15407499202979913</c:v>
                  </c:pt>
                </c:numCache>
              </c:numRef>
            </c:plus>
            <c:minus>
              <c:numRef>
                <c:f>'6target data 4 graph'!$Z$43:$Z$48</c:f>
                <c:numCache>
                  <c:formatCode>General</c:formatCode>
                  <c:ptCount val="6"/>
                  <c:pt idx="0">
                    <c:v>0.15152000276088773</c:v>
                  </c:pt>
                  <c:pt idx="1">
                    <c:v>0.17416408138157469</c:v>
                  </c:pt>
                  <c:pt idx="2">
                    <c:v>9.5694845202963008E-2</c:v>
                  </c:pt>
                  <c:pt idx="3">
                    <c:v>0.16288402938422453</c:v>
                  </c:pt>
                  <c:pt idx="4">
                    <c:v>0.16473459064690832</c:v>
                  </c:pt>
                  <c:pt idx="5">
                    <c:v>0.15407499202979907</c:v>
                  </c:pt>
                </c:numCache>
              </c:numRef>
            </c:minus>
          </c:errBars>
          <c:cat>
            <c:numRef>
              <c:f>'6target data 4 graph'!$U$43:$U$48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graph'!$Y$43:$Y$48</c:f>
              <c:numCache>
                <c:formatCode>General</c:formatCode>
                <c:ptCount val="6"/>
                <c:pt idx="0">
                  <c:v>0.79166649072985451</c:v>
                </c:pt>
                <c:pt idx="1">
                  <c:v>0.7500726888282484</c:v>
                </c:pt>
                <c:pt idx="2">
                  <c:v>0.91667466631215311</c:v>
                </c:pt>
                <c:pt idx="3">
                  <c:v>0.66663395907330647</c:v>
                </c:pt>
                <c:pt idx="4">
                  <c:v>0.58321854908403337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A-4831-A0FE-42B277399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989368"/>
        <c:axId val="528989760"/>
      </c:lineChart>
      <c:catAx>
        <c:axId val="528989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8989760"/>
        <c:crosses val="autoZero"/>
        <c:auto val="1"/>
        <c:lblAlgn val="ctr"/>
        <c:lblOffset val="100"/>
        <c:noMultiLvlLbl val="0"/>
      </c:catAx>
      <c:valAx>
        <c:axId val="528989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Chance (%)</a:t>
                </a:r>
                <a:endParaRPr lang="ko-KR" alt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28989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Fixation duration with TP1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graph'!$V$72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graph'!$X$73:$X$82</c:f>
                <c:numCache>
                  <c:formatCode>General</c:formatCode>
                  <c:ptCount val="10"/>
                  <c:pt idx="0">
                    <c:v>0.54899236015566277</c:v>
                  </c:pt>
                  <c:pt idx="1">
                    <c:v>0.30589071935124013</c:v>
                  </c:pt>
                  <c:pt idx="2">
                    <c:v>0.24686885388917834</c:v>
                  </c:pt>
                  <c:pt idx="3">
                    <c:v>0.21225909137475285</c:v>
                  </c:pt>
                  <c:pt idx="4">
                    <c:v>0.20728424822528835</c:v>
                  </c:pt>
                  <c:pt idx="5">
                    <c:v>0.21575769848634963</c:v>
                  </c:pt>
                  <c:pt idx="6">
                    <c:v>0.28514535463797208</c:v>
                  </c:pt>
                  <c:pt idx="7">
                    <c:v>0.20205346419548498</c:v>
                  </c:pt>
                  <c:pt idx="8">
                    <c:v>0.17663074503009546</c:v>
                  </c:pt>
                  <c:pt idx="9">
                    <c:v>0.17732350245331063</c:v>
                  </c:pt>
                </c:numCache>
              </c:numRef>
            </c:plus>
            <c:minus>
              <c:numRef>
                <c:f>'6target data 4 graph'!$W$73:$W$82</c:f>
                <c:numCache>
                  <c:formatCode>General</c:formatCode>
                  <c:ptCount val="10"/>
                  <c:pt idx="0">
                    <c:v>0.47666833283118004</c:v>
                  </c:pt>
                  <c:pt idx="1">
                    <c:v>0.2655928020206757</c:v>
                  </c:pt>
                  <c:pt idx="2">
                    <c:v>0.21434645279568798</c:v>
                  </c:pt>
                  <c:pt idx="3">
                    <c:v>0.18429616613458277</c:v>
                  </c:pt>
                  <c:pt idx="4">
                    <c:v>0.1799767067718343</c:v>
                  </c:pt>
                  <c:pt idx="5">
                    <c:v>0.18733386818683617</c:v>
                  </c:pt>
                  <c:pt idx="6">
                    <c:v>0.24758042310697892</c:v>
                  </c:pt>
                  <c:pt idx="7">
                    <c:v>0.17543502407486633</c:v>
                  </c:pt>
                  <c:pt idx="8">
                    <c:v>0.15336148345735157</c:v>
                  </c:pt>
                  <c:pt idx="9">
                    <c:v>0.15396297730307018</c:v>
                  </c:pt>
                </c:numCache>
              </c:numRef>
            </c:minus>
          </c:errBars>
          <c:cat>
            <c:numRef>
              <c:f>'6target data 4 graph'!$U$73:$U$82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graph'!$V$73:$V$82</c:f>
              <c:numCache>
                <c:formatCode>General</c:formatCode>
                <c:ptCount val="10"/>
                <c:pt idx="0">
                  <c:v>2.6182619073242988</c:v>
                </c:pt>
                <c:pt idx="1">
                  <c:v>1.0160439706643625</c:v>
                </c:pt>
                <c:pt idx="2">
                  <c:v>0.62704663117489146</c:v>
                </c:pt>
                <c:pt idx="3">
                  <c:v>0.39894293717816698</c:v>
                </c:pt>
                <c:pt idx="4">
                  <c:v>0.36615507569041017</c:v>
                </c:pt>
                <c:pt idx="5">
                  <c:v>0.42200132151888115</c:v>
                </c:pt>
                <c:pt idx="6">
                  <c:v>0.87931681680326856</c:v>
                </c:pt>
                <c:pt idx="7">
                  <c:v>0.33168037626998093</c:v>
                </c:pt>
                <c:pt idx="8">
                  <c:v>0.16412602941049137</c:v>
                </c:pt>
                <c:pt idx="9">
                  <c:v>0.16869180842192311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0-4891-ABDE-B04553A8BFFF}"/>
            </c:ext>
          </c:extLst>
        </c:ser>
        <c:ser>
          <c:idx val="0"/>
          <c:order val="1"/>
          <c:tx>
            <c:strRef>
              <c:f>'6target data 4 graph'!$Y$72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graph'!$AA$73:$AA$82</c:f>
                <c:numCache>
                  <c:formatCode>General</c:formatCode>
                  <c:ptCount val="10"/>
                  <c:pt idx="0">
                    <c:v>0.58974776107102711</c:v>
                  </c:pt>
                  <c:pt idx="1">
                    <c:v>0.44052067985414745</c:v>
                  </c:pt>
                  <c:pt idx="2">
                    <c:v>0.36691570470167445</c:v>
                  </c:pt>
                  <c:pt idx="3">
                    <c:v>0.27369464533801469</c:v>
                  </c:pt>
                  <c:pt idx="4">
                    <c:v>0.24641452323733137</c:v>
                  </c:pt>
                  <c:pt idx="5">
                    <c:v>0.22848952814159795</c:v>
                  </c:pt>
                  <c:pt idx="6">
                    <c:v>0.23354270214769524</c:v>
                  </c:pt>
                  <c:pt idx="7">
                    <c:v>0.2129934758111669</c:v>
                  </c:pt>
                  <c:pt idx="8">
                    <c:v>0.19845694461369301</c:v>
                  </c:pt>
                  <c:pt idx="9">
                    <c:v>0.16366895171165297</c:v>
                  </c:pt>
                </c:numCache>
              </c:numRef>
            </c:plus>
            <c:minus>
              <c:numRef>
                <c:f>'6target data 4 graph'!$Z$73:$Z$82</c:f>
                <c:numCache>
                  <c:formatCode>General</c:formatCode>
                  <c:ptCount val="10"/>
                  <c:pt idx="0">
                    <c:v>0.5120546340224843</c:v>
                  </c:pt>
                  <c:pt idx="1">
                    <c:v>0.38248666699878298</c:v>
                  </c:pt>
                  <c:pt idx="2">
                    <c:v>0.31857838094529178</c:v>
                  </c:pt>
                  <c:pt idx="3">
                    <c:v>0.23763822553213942</c:v>
                  </c:pt>
                  <c:pt idx="4">
                    <c:v>0.21395197547671629</c:v>
                  </c:pt>
                  <c:pt idx="5">
                    <c:v>0.19838841184922318</c:v>
                  </c:pt>
                  <c:pt idx="6">
                    <c:v>0.20277588279382686</c:v>
                  </c:pt>
                  <c:pt idx="7">
                    <c:v>0.1849338030679335</c:v>
                  </c:pt>
                  <c:pt idx="8">
                    <c:v>0.17231230850089885</c:v>
                  </c:pt>
                  <c:pt idx="9">
                    <c:v>0.14210727145000679</c:v>
                  </c:pt>
                </c:numCache>
              </c:numRef>
            </c:minus>
          </c:errBars>
          <c:cat>
            <c:numRef>
              <c:f>'6target data 4 graph'!$U$73:$U$82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graph'!$Y$73:$Y$82</c:f>
              <c:numCache>
                <c:formatCode>General</c:formatCode>
                <c:ptCount val="10"/>
                <c:pt idx="0">
                  <c:v>2.8868698613730239</c:v>
                </c:pt>
                <c:pt idx="1">
                  <c:v>1.9033540555153148</c:v>
                </c:pt>
                <c:pt idx="2">
                  <c:v>1.4182433379304098</c:v>
                </c:pt>
                <c:pt idx="3">
                  <c:v>0.8038482524317494</c:v>
                </c:pt>
                <c:pt idx="4">
                  <c:v>0.62405225928519448</c:v>
                </c:pt>
                <c:pt idx="5">
                  <c:v>0.50591340772544413</c:v>
                </c:pt>
                <c:pt idx="6">
                  <c:v>0.5392175269524575</c:v>
                </c:pt>
                <c:pt idx="7">
                  <c:v>0.40378306870723835</c:v>
                </c:pt>
                <c:pt idx="8">
                  <c:v>0.30797667700893228</c:v>
                </c:pt>
                <c:pt idx="9">
                  <c:v>7.8698314166087524E-2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0-4891-ABDE-B04553A8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978488"/>
        <c:axId val="623978880"/>
      </c:lineChart>
      <c:catAx>
        <c:axId val="623978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3978880"/>
        <c:crosses val="autoZero"/>
        <c:auto val="1"/>
        <c:lblAlgn val="ctr"/>
        <c:lblOffset val="100"/>
        <c:noMultiLvlLbl val="0"/>
      </c:catAx>
      <c:valAx>
        <c:axId val="62397888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Fixation duration (s)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3978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TP3</a:t>
            </a:r>
            <a:endParaRPr lang="ko-KR" altLang="ko-K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graph'!$V$86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graph'!$X$87:$X$96</c:f>
                <c:numCache>
                  <c:formatCode>General</c:formatCode>
                  <c:ptCount val="10"/>
                  <c:pt idx="0">
                    <c:v>0.34297211826860075</c:v>
                  </c:pt>
                  <c:pt idx="1">
                    <c:v>0.35063786699234489</c:v>
                  </c:pt>
                  <c:pt idx="2">
                    <c:v>0.57604818917438028</c:v>
                  </c:pt>
                  <c:pt idx="3">
                    <c:v>0.2665991839645363</c:v>
                  </c:pt>
                  <c:pt idx="4">
                    <c:v>0.20396648691624986</c:v>
                  </c:pt>
                  <c:pt idx="5">
                    <c:v>0.20689920206097834</c:v>
                  </c:pt>
                  <c:pt idx="6">
                    <c:v>0.21294076783726545</c:v>
                  </c:pt>
                  <c:pt idx="7">
                    <c:v>0.21006747522779712</c:v>
                  </c:pt>
                  <c:pt idx="8">
                    <c:v>0.19708737979189483</c:v>
                  </c:pt>
                  <c:pt idx="9">
                    <c:v>0.17504867014162806</c:v>
                  </c:pt>
                </c:numCache>
              </c:numRef>
            </c:plus>
            <c:minus>
              <c:numRef>
                <c:f>'6target data 4 graph'!$W$87:$W$96</c:f>
                <c:numCache>
                  <c:formatCode>General</c:formatCode>
                  <c:ptCount val="10"/>
                  <c:pt idx="0">
                    <c:v>0.30033698434685663</c:v>
                  </c:pt>
                  <c:pt idx="1">
                    <c:v>0.30704979781423924</c:v>
                  </c:pt>
                  <c:pt idx="2">
                    <c:v>0.50443918546057587</c:v>
                  </c:pt>
                  <c:pt idx="3">
                    <c:v>0.23345802960733608</c:v>
                  </c:pt>
                  <c:pt idx="4">
                    <c:v>0.17861125241753295</c:v>
                  </c:pt>
                  <c:pt idx="5">
                    <c:v>0.1811793994347386</c:v>
                  </c:pt>
                  <c:pt idx="6">
                    <c:v>0.18646993341500284</c:v>
                  </c:pt>
                  <c:pt idx="7">
                    <c:v>0.18395382207093713</c:v>
                  </c:pt>
                  <c:pt idx="8">
                    <c:v>0.17258729251327742</c:v>
                  </c:pt>
                  <c:pt idx="9">
                    <c:v>0.15328823220286081</c:v>
                  </c:pt>
                </c:numCache>
              </c:numRef>
            </c:minus>
          </c:errBars>
          <c:cat>
            <c:numRef>
              <c:f>'6target data 4 graph'!$U$87:$U$96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graph'!$V$87:$V$96</c:f>
              <c:numCache>
                <c:formatCode>General</c:formatCode>
                <c:ptCount val="10"/>
                <c:pt idx="0">
                  <c:v>1.416017078893502</c:v>
                </c:pt>
                <c:pt idx="1">
                  <c:v>1.4700173280466049</c:v>
                </c:pt>
                <c:pt idx="2">
                  <c:v>3.0578874759172869</c:v>
                </c:pt>
                <c:pt idx="3">
                  <c:v>0.87801907901141085</c:v>
                </c:pt>
                <c:pt idx="4">
                  <c:v>0.43681217703428099</c:v>
                </c:pt>
                <c:pt idx="5">
                  <c:v>0.45747126125652904</c:v>
                </c:pt>
                <c:pt idx="6">
                  <c:v>0.50003019045594788</c:v>
                </c:pt>
                <c:pt idx="7">
                  <c:v>0.4797896996190294</c:v>
                </c:pt>
                <c:pt idx="8">
                  <c:v>0.38835330992904549</c:v>
                </c:pt>
                <c:pt idx="9">
                  <c:v>0.23310483322890918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7-416F-938E-CB8D0B617AD5}"/>
            </c:ext>
          </c:extLst>
        </c:ser>
        <c:ser>
          <c:idx val="0"/>
          <c:order val="1"/>
          <c:tx>
            <c:strRef>
              <c:f>'6target data 4 graph'!$Y$86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graph'!$AA$87:$AA$96</c:f>
                <c:numCache>
                  <c:formatCode>General</c:formatCode>
                  <c:ptCount val="10"/>
                  <c:pt idx="0">
                    <c:v>0.35814493676290082</c:v>
                  </c:pt>
                  <c:pt idx="1">
                    <c:v>0.22200298593704249</c:v>
                  </c:pt>
                  <c:pt idx="2">
                    <c:v>0.51281275152275141</c:v>
                  </c:pt>
                  <c:pt idx="3">
                    <c:v>0.3300341008273695</c:v>
                  </c:pt>
                  <c:pt idx="4">
                    <c:v>0.25209185601283202</c:v>
                  </c:pt>
                  <c:pt idx="5">
                    <c:v>0.2119135933539491</c:v>
                  </c:pt>
                  <c:pt idx="6">
                    <c:v>0.22164544762007354</c:v>
                  </c:pt>
                  <c:pt idx="7">
                    <c:v>0.20771067436757251</c:v>
                  </c:pt>
                  <c:pt idx="8">
                    <c:v>0.18700741014636479</c:v>
                  </c:pt>
                  <c:pt idx="9">
                    <c:v>0.17324424462027577</c:v>
                  </c:pt>
                </c:numCache>
              </c:numRef>
            </c:plus>
            <c:minus>
              <c:numRef>
                <c:f>'6target data 4 graph'!$Z$87:$Z$96</c:f>
                <c:numCache>
                  <c:formatCode>General</c:formatCode>
                  <c:ptCount val="10"/>
                  <c:pt idx="0">
                    <c:v>0.3136236578339755</c:v>
                  </c:pt>
                  <c:pt idx="1">
                    <c:v>0.19440562005134021</c:v>
                  </c:pt>
                  <c:pt idx="2">
                    <c:v>0.44906459482615446</c:v>
                  </c:pt>
                  <c:pt idx="3">
                    <c:v>0.28900730203523661</c:v>
                  </c:pt>
                  <c:pt idx="4">
                    <c:v>0.22075411900975972</c:v>
                  </c:pt>
                  <c:pt idx="5">
                    <c:v>0.18557044780003618</c:v>
                  </c:pt>
                  <c:pt idx="6">
                    <c:v>0.19409252760391671</c:v>
                  </c:pt>
                  <c:pt idx="7">
                    <c:v>0.18188999698031671</c:v>
                  </c:pt>
                  <c:pt idx="8">
                    <c:v>0.1637603718267524</c:v>
                  </c:pt>
                  <c:pt idx="9">
                    <c:v>0.15170811623804914</c:v>
                  </c:pt>
                </c:numCache>
              </c:numRef>
            </c:minus>
          </c:errBars>
          <c:cat>
            <c:numRef>
              <c:f>'6target data 4 graph'!$U$87:$U$96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graph'!$Y$87:$Y$96</c:f>
              <c:numCache>
                <c:formatCode>General</c:formatCode>
                <c:ptCount val="10"/>
                <c:pt idx="0">
                  <c:v>1.5228997864507132</c:v>
                </c:pt>
                <c:pt idx="1">
                  <c:v>0.56386766451141046</c:v>
                </c:pt>
                <c:pt idx="2">
                  <c:v>2.612434655644615</c:v>
                </c:pt>
                <c:pt idx="3">
                  <c:v>1.3248771015016447</c:v>
                </c:pt>
                <c:pt idx="4">
                  <c:v>0.77582432254733935</c:v>
                </c:pt>
                <c:pt idx="5">
                  <c:v>0.49279440957899623</c:v>
                </c:pt>
                <c:pt idx="6">
                  <c:v>0.56134903796965041</c:v>
                </c:pt>
                <c:pt idx="7">
                  <c:v>0.46318755960077262</c:v>
                </c:pt>
                <c:pt idx="8">
                  <c:v>0.31734643350634872</c:v>
                </c:pt>
                <c:pt idx="9">
                  <c:v>0.22039382074431835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D7-416F-938E-CB8D0B617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3979664"/>
        <c:axId val="435934904"/>
      </c:lineChart>
      <c:catAx>
        <c:axId val="62397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5934904"/>
        <c:crosses val="autoZero"/>
        <c:auto val="1"/>
        <c:lblAlgn val="ctr"/>
        <c:lblOffset val="100"/>
        <c:noMultiLvlLbl val="0"/>
      </c:catAx>
      <c:valAx>
        <c:axId val="435934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397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TP5</a:t>
            </a:r>
            <a:endParaRPr lang="ko-KR" altLang="ko-K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graph'!$V$100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graph'!$X$101:$X$110</c:f>
                <c:numCache>
                  <c:formatCode>General</c:formatCode>
                  <c:ptCount val="10"/>
                  <c:pt idx="0">
                    <c:v>0.49494827899575311</c:v>
                  </c:pt>
                  <c:pt idx="1">
                    <c:v>0.38041691426550006</c:v>
                  </c:pt>
                  <c:pt idx="2">
                    <c:v>0.35486226358790907</c:v>
                  </c:pt>
                  <c:pt idx="3">
                    <c:v>0.32015465330937865</c:v>
                  </c:pt>
                  <c:pt idx="4">
                    <c:v>0.33943749871176676</c:v>
                  </c:pt>
                  <c:pt idx="5">
                    <c:v>0.22545497260432557</c:v>
                  </c:pt>
                  <c:pt idx="6">
                    <c:v>0.20340415422371994</c:v>
                  </c:pt>
                  <c:pt idx="7">
                    <c:v>0.22659995458607951</c:v>
                  </c:pt>
                  <c:pt idx="8">
                    <c:v>0.21900791896123462</c:v>
                  </c:pt>
                  <c:pt idx="9">
                    <c:v>0.20699498253800042</c:v>
                  </c:pt>
                </c:numCache>
              </c:numRef>
            </c:plus>
            <c:minus>
              <c:numRef>
                <c:f>'6target data 4 graph'!$W$101:$W$110</c:f>
                <c:numCache>
                  <c:formatCode>General</c:formatCode>
                  <c:ptCount val="10"/>
                  <c:pt idx="0">
                    <c:v>0.43088345505561998</c:v>
                  </c:pt>
                  <c:pt idx="1">
                    <c:v>0.33117673368397149</c:v>
                  </c:pt>
                  <c:pt idx="2">
                    <c:v>0.30892981083570747</c:v>
                  </c:pt>
                  <c:pt idx="3">
                    <c:v>0.27871466378260434</c:v>
                  </c:pt>
                  <c:pt idx="4">
                    <c:v>0.29550158759440581</c:v>
                  </c:pt>
                  <c:pt idx="5">
                    <c:v>0.19627266459503279</c:v>
                  </c:pt>
                  <c:pt idx="6">
                    <c:v>0.1770760470617474</c:v>
                  </c:pt>
                  <c:pt idx="7">
                    <c:v>0.19726944307313099</c:v>
                  </c:pt>
                  <c:pt idx="8">
                    <c:v>0.19066010088574914</c:v>
                  </c:pt>
                  <c:pt idx="9">
                    <c:v>0.180202087854753</c:v>
                  </c:pt>
                </c:numCache>
              </c:numRef>
            </c:minus>
          </c:errBars>
          <c:cat>
            <c:numRef>
              <c:f>'6target data 4 graph'!$U$101:$U$110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graph'!$V$101:$V$110</c:f>
              <c:numCache>
                <c:formatCode>General</c:formatCode>
                <c:ptCount val="10"/>
                <c:pt idx="0">
                  <c:v>2.3288942575853739</c:v>
                </c:pt>
                <c:pt idx="1">
                  <c:v>1.5585858869056457</c:v>
                </c:pt>
                <c:pt idx="2">
                  <c:v>1.3867119083399739</c:v>
                </c:pt>
                <c:pt idx="3">
                  <c:v>1.1532774881109855</c:v>
                </c:pt>
                <c:pt idx="4">
                  <c:v>1.2829689246791784</c:v>
                </c:pt>
                <c:pt idx="5">
                  <c:v>0.51635190078728876</c:v>
                </c:pt>
                <c:pt idx="6">
                  <c:v>0.36804379305693402</c:v>
                </c:pt>
                <c:pt idx="7">
                  <c:v>0.52405275379729144</c:v>
                </c:pt>
                <c:pt idx="8">
                  <c:v>0.47299068354177054</c:v>
                </c:pt>
                <c:pt idx="9">
                  <c:v>0.39219477662967583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0-45CC-9F13-068FBC8B4B08}"/>
            </c:ext>
          </c:extLst>
        </c:ser>
        <c:ser>
          <c:idx val="0"/>
          <c:order val="1"/>
          <c:tx>
            <c:strRef>
              <c:f>'6target data 4 graph'!$Y$100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graph'!$AA$101:$AA$110</c:f>
                <c:numCache>
                  <c:formatCode>General</c:formatCode>
                  <c:ptCount val="10"/>
                  <c:pt idx="0">
                    <c:v>0.35063867658212988</c:v>
                  </c:pt>
                  <c:pt idx="1">
                    <c:v>0.35559841660156888</c:v>
                  </c:pt>
                  <c:pt idx="2">
                    <c:v>0.3760623178570035</c:v>
                  </c:pt>
                  <c:pt idx="3">
                    <c:v>0.45725642704248903</c:v>
                  </c:pt>
                  <c:pt idx="4">
                    <c:v>0.45989619720375474</c:v>
                  </c:pt>
                  <c:pt idx="5">
                    <c:v>0.28944084572109197</c:v>
                  </c:pt>
                  <c:pt idx="6">
                    <c:v>0.21640127662250008</c:v>
                  </c:pt>
                  <c:pt idx="7">
                    <c:v>0.21103758990253896</c:v>
                  </c:pt>
                  <c:pt idx="8">
                    <c:v>0.19237995485670378</c:v>
                  </c:pt>
                  <c:pt idx="9">
                    <c:v>0.17102508639646019</c:v>
                  </c:pt>
                </c:numCache>
              </c:numRef>
            </c:plus>
            <c:minus>
              <c:numRef>
                <c:f>'6target data 4 graph'!$Z$101:$Z$110</c:f>
                <c:numCache>
                  <c:formatCode>General</c:formatCode>
                  <c:ptCount val="10"/>
                  <c:pt idx="0">
                    <c:v>0.30525291399818189</c:v>
                  </c:pt>
                  <c:pt idx="1">
                    <c:v>0.30957067810898886</c:v>
                  </c:pt>
                  <c:pt idx="2">
                    <c:v>0.32738578496166681</c:v>
                  </c:pt>
                  <c:pt idx="3">
                    <c:v>0.39807033884473064</c:v>
                  </c:pt>
                  <c:pt idx="4">
                    <c:v>0.40036842399000472</c:v>
                  </c:pt>
                  <c:pt idx="5">
                    <c:v>0.25197637193844091</c:v>
                  </c:pt>
                  <c:pt idx="6">
                    <c:v>0.1883908555834175</c:v>
                  </c:pt>
                  <c:pt idx="7">
                    <c:v>0.18372143058729051</c:v>
                  </c:pt>
                  <c:pt idx="8">
                    <c:v>0.16747879152199707</c:v>
                  </c:pt>
                  <c:pt idx="9">
                    <c:v>0.1488880419530163</c:v>
                  </c:pt>
                </c:numCache>
              </c:numRef>
            </c:minus>
          </c:errBars>
          <c:cat>
            <c:numRef>
              <c:f>'6target data 4 graph'!$U$101:$U$110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graph'!$Y$101:$Y$110</c:f>
              <c:numCache>
                <c:formatCode>General</c:formatCode>
                <c:ptCount val="10"/>
                <c:pt idx="0">
                  <c:v>1.3583051532776511</c:v>
                </c:pt>
                <c:pt idx="1">
                  <c:v>1.3916630833291053</c:v>
                </c:pt>
                <c:pt idx="2">
                  <c:v>1.5292979964461448</c:v>
                </c:pt>
                <c:pt idx="3">
                  <c:v>2.0753885988131864</c:v>
                </c:pt>
                <c:pt idx="4">
                  <c:v>2.0931430109489622</c:v>
                </c:pt>
                <c:pt idx="5">
                  <c:v>0.94670435300142963</c:v>
                </c:pt>
                <c:pt idx="6">
                  <c:v>0.45545908058196605</c:v>
                </c:pt>
                <c:pt idx="7">
                  <c:v>0.4193843093800258</c:v>
                </c:pt>
                <c:pt idx="8">
                  <c:v>0.29389787615063168</c:v>
                </c:pt>
                <c:pt idx="9">
                  <c:v>0.15027054779011495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0-45CC-9F13-068FBC8B4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5935688"/>
        <c:axId val="435936080"/>
      </c:lineChart>
      <c:catAx>
        <c:axId val="435935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5936080"/>
        <c:crosses val="autoZero"/>
        <c:auto val="1"/>
        <c:lblAlgn val="ctr"/>
        <c:lblOffset val="100"/>
        <c:noMultiLvlLbl val="0"/>
      </c:catAx>
      <c:valAx>
        <c:axId val="43593608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5935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TP6</a:t>
            </a:r>
            <a:endParaRPr lang="ko-KR" altLang="ko-K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graph'!$V$114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graph'!$AA$115:$AA$124</c:f>
                <c:numCache>
                  <c:formatCode>General</c:formatCode>
                  <c:ptCount val="10"/>
                  <c:pt idx="0">
                    <c:v>0.46089561815933777</c:v>
                  </c:pt>
                  <c:pt idx="1">
                    <c:v>0.37696634538341822</c:v>
                  </c:pt>
                  <c:pt idx="2">
                    <c:v>0.4445315391173561</c:v>
                  </c:pt>
                  <c:pt idx="3">
                    <c:v>0.38725994479067749</c:v>
                  </c:pt>
                  <c:pt idx="4">
                    <c:v>0.41162579187632842</c:v>
                  </c:pt>
                  <c:pt idx="5">
                    <c:v>0.33728931176108246</c:v>
                  </c:pt>
                  <c:pt idx="6">
                    <c:v>0.21271718602645118</c:v>
                  </c:pt>
                  <c:pt idx="7">
                    <c:v>0.19182383938074743</c:v>
                  </c:pt>
                  <c:pt idx="8">
                    <c:v>0.18163627182369213</c:v>
                  </c:pt>
                  <c:pt idx="9">
                    <c:v>0.1706878386767785</c:v>
                  </c:pt>
                </c:numCache>
              </c:numRef>
            </c:plus>
            <c:minus>
              <c:numRef>
                <c:f>'6target data 4 graph'!$Z$115:$Z$124</c:f>
                <c:numCache>
                  <c:formatCode>General</c:formatCode>
                  <c:ptCount val="10"/>
                  <c:pt idx="0">
                    <c:v>0.40105374787461923</c:v>
                  </c:pt>
                  <c:pt idx="1">
                    <c:v>0.3280217031404975</c:v>
                  </c:pt>
                  <c:pt idx="2">
                    <c:v>0.38681435185581448</c:v>
                  </c:pt>
                  <c:pt idx="3">
                    <c:v>0.33697879984254131</c:v>
                  </c:pt>
                  <c:pt idx="4">
                    <c:v>0.35818102852257594</c:v>
                  </c:pt>
                  <c:pt idx="5">
                    <c:v>0.29349626524995132</c:v>
                  </c:pt>
                  <c:pt idx="6">
                    <c:v>0.18509836355996279</c:v>
                  </c:pt>
                  <c:pt idx="7">
                    <c:v>0.16691777201655134</c:v>
                  </c:pt>
                  <c:pt idx="8">
                    <c:v>0.15805294017718596</c:v>
                  </c:pt>
                  <c:pt idx="9">
                    <c:v>0.14852603218777982</c:v>
                  </c:pt>
                </c:numCache>
              </c:numRef>
            </c:minus>
          </c:errBars>
          <c:cat>
            <c:numRef>
              <c:f>'6target data 4 graph'!$U$115:$U$124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graph'!$V$115:$V$124</c:f>
              <c:numCache>
                <c:formatCode>General</c:formatCode>
                <c:ptCount val="10"/>
                <c:pt idx="0">
                  <c:v>1.9484923138943682</c:v>
                </c:pt>
                <c:pt idx="1">
                  <c:v>1.6847261934311448</c:v>
                </c:pt>
                <c:pt idx="2">
                  <c:v>1.0955595172278132</c:v>
                </c:pt>
                <c:pt idx="3">
                  <c:v>0.85395846398330888</c:v>
                </c:pt>
                <c:pt idx="4">
                  <c:v>1.125200943273629</c:v>
                </c:pt>
                <c:pt idx="5">
                  <c:v>2.4458788144433496</c:v>
                </c:pt>
                <c:pt idx="6">
                  <c:v>0.7831997722329167</c:v>
                </c:pt>
                <c:pt idx="7">
                  <c:v>0.503488117168986</c:v>
                </c:pt>
                <c:pt idx="8">
                  <c:v>0.40410633892044912</c:v>
                </c:pt>
                <c:pt idx="9">
                  <c:v>0.25545167368713861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8-4BB3-808E-1AC37A734D5A}"/>
            </c:ext>
          </c:extLst>
        </c:ser>
        <c:ser>
          <c:idx val="0"/>
          <c:order val="1"/>
          <c:tx>
            <c:strRef>
              <c:f>'6target data 4 graph'!$Y$114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graph'!$X$115:$X$124</c:f>
                <c:numCache>
                  <c:formatCode>General</c:formatCode>
                  <c:ptCount val="10"/>
                  <c:pt idx="0">
                    <c:v>0.43994924749765829</c:v>
                  </c:pt>
                  <c:pt idx="1">
                    <c:v>0.40059228337523756</c:v>
                  </c:pt>
                  <c:pt idx="2">
                    <c:v>0.31268178260001411</c:v>
                  </c:pt>
                  <c:pt idx="3">
                    <c:v>0.27663210355941659</c:v>
                  </c:pt>
                  <c:pt idx="4">
                    <c:v>0.3171046271236917</c:v>
                  </c:pt>
                  <c:pt idx="5">
                    <c:v>0.51416508167190234</c:v>
                  </c:pt>
                  <c:pt idx="6">
                    <c:v>0.26607408614732875</c:v>
                  </c:pt>
                  <c:pt idx="7">
                    <c:v>0.22433786333887751</c:v>
                  </c:pt>
                  <c:pt idx="8">
                    <c:v>0.20950894947351517</c:v>
                  </c:pt>
                  <c:pt idx="9">
                    <c:v>0.18732794944233988</c:v>
                  </c:pt>
                </c:numCache>
              </c:numRef>
            </c:plus>
            <c:minus>
              <c:numRef>
                <c:f>'6target data 4 graph'!$W$115:$W$124</c:f>
                <c:numCache>
                  <c:formatCode>General</c:formatCode>
                  <c:ptCount val="10"/>
                  <c:pt idx="0">
                    <c:v>0.38282701685949982</c:v>
                  </c:pt>
                  <c:pt idx="1">
                    <c:v>0.34858009121221256</c:v>
                  </c:pt>
                  <c:pt idx="2">
                    <c:v>0.27208373406687403</c:v>
                  </c:pt>
                  <c:pt idx="3">
                    <c:v>0.24071468146739683</c:v>
                  </c:pt>
                  <c:pt idx="4">
                    <c:v>0.2759323242955507</c:v>
                  </c:pt>
                  <c:pt idx="5">
                    <c:v>0.4474067986462984</c:v>
                  </c:pt>
                  <c:pt idx="6">
                    <c:v>0.23152749832568276</c:v>
                  </c:pt>
                  <c:pt idx="7">
                    <c:v>0.1952102327237506</c:v>
                  </c:pt>
                  <c:pt idx="8">
                    <c:v>0.18230667875557738</c:v>
                  </c:pt>
                  <c:pt idx="9">
                    <c:v>0.16300562046034628</c:v>
                  </c:pt>
                </c:numCache>
              </c:numRef>
            </c:minus>
          </c:errBars>
          <c:cat>
            <c:numRef>
              <c:f>'6target data 4 graph'!$U$115:$U$124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graph'!$Y$115:$Y$124</c:f>
              <c:numCache>
                <c:formatCode>General</c:formatCode>
                <c:ptCount val="10"/>
                <c:pt idx="0">
                  <c:v>2.088872626512754</c:v>
                </c:pt>
                <c:pt idx="1">
                  <c:v>1.5263877101318966</c:v>
                </c:pt>
                <c:pt idx="2">
                  <c:v>1.9792023371471683</c:v>
                </c:pt>
                <c:pt idx="3">
                  <c:v>1.5953743009880927</c:v>
                </c:pt>
                <c:pt idx="4">
                  <c:v>1.758671575076395</c:v>
                </c:pt>
                <c:pt idx="5">
                  <c:v>1.2604765184683426</c:v>
                </c:pt>
                <c:pt idx="6">
                  <c:v>0.42560759360218814</c:v>
                </c:pt>
                <c:pt idx="7">
                  <c:v>0.28558264220886631</c:v>
                </c:pt>
                <c:pt idx="8">
                  <c:v>0.21730666535447485</c:v>
                </c:pt>
                <c:pt idx="9">
                  <c:v>0.1439314495393067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8-4BB3-808E-1AC37A734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386680"/>
        <c:axId val="377387072"/>
      </c:lineChart>
      <c:catAx>
        <c:axId val="377386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387072"/>
        <c:crosses val="autoZero"/>
        <c:auto val="1"/>
        <c:lblAlgn val="ctr"/>
        <c:lblOffset val="100"/>
        <c:noMultiLvlLbl val="0"/>
      </c:catAx>
      <c:valAx>
        <c:axId val="37738707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77386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TP8</a:t>
            </a:r>
            <a:endParaRPr lang="ko-KR" altLang="ko-KR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graph'!$V$128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graph'!$AA$129:$AA$138</c:f>
                <c:numCache>
                  <c:formatCode>General</c:formatCode>
                  <c:ptCount val="10"/>
                  <c:pt idx="0">
                    <c:v>0.39140104244058582</c:v>
                  </c:pt>
                  <c:pt idx="1">
                    <c:v>0.43885593698108494</c:v>
                  </c:pt>
                  <c:pt idx="2">
                    <c:v>0.30805054253513608</c:v>
                  </c:pt>
                  <c:pt idx="3">
                    <c:v>0.29350937525288234</c:v>
                  </c:pt>
                  <c:pt idx="4">
                    <c:v>0.28908261724660367</c:v>
                  </c:pt>
                  <c:pt idx="5">
                    <c:v>0.32138231739864942</c:v>
                  </c:pt>
                  <c:pt idx="6">
                    <c:v>0.31363316304038369</c:v>
                  </c:pt>
                  <c:pt idx="7">
                    <c:v>0.23967458165997768</c:v>
                  </c:pt>
                  <c:pt idx="8">
                    <c:v>0.21728111338524947</c:v>
                  </c:pt>
                  <c:pt idx="9">
                    <c:v>0.18273510116979108</c:v>
                  </c:pt>
                </c:numCache>
              </c:numRef>
            </c:plus>
            <c:minus>
              <c:numRef>
                <c:f>'6target data 4 graph'!$Z$129:$Z$138</c:f>
                <c:numCache>
                  <c:formatCode>General</c:formatCode>
                  <c:ptCount val="10"/>
                  <c:pt idx="0">
                    <c:v>0.33998673904294208</c:v>
                  </c:pt>
                  <c:pt idx="1">
                    <c:v>0.38120797531213269</c:v>
                  </c:pt>
                  <c:pt idx="2">
                    <c:v>0.26758513151591345</c:v>
                  </c:pt>
                  <c:pt idx="3">
                    <c:v>0.25495408685812682</c:v>
                  </c:pt>
                  <c:pt idx="4">
                    <c:v>0.25110882622800101</c:v>
                  </c:pt>
                  <c:pt idx="5">
                    <c:v>0.27916564911810871</c:v>
                  </c:pt>
                  <c:pt idx="6">
                    <c:v>0.27243442095331094</c:v>
                  </c:pt>
                  <c:pt idx="7">
                    <c:v>0.20819101283417374</c:v>
                  </c:pt>
                  <c:pt idx="8">
                    <c:v>0.18873914268300473</c:v>
                  </c:pt>
                  <c:pt idx="9">
                    <c:v>0.15873108249278634</c:v>
                  </c:pt>
                </c:numCache>
              </c:numRef>
            </c:minus>
          </c:errBars>
          <c:cat>
            <c:numRef>
              <c:f>'6target data 4 graph'!$U$129:$U$138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graph'!$V$129:$V$138</c:f>
              <c:numCache>
                <c:formatCode>General</c:formatCode>
                <c:ptCount val="10"/>
                <c:pt idx="0">
                  <c:v>1.5834496392584798</c:v>
                </c:pt>
                <c:pt idx="1">
                  <c:v>1.6958765435574454</c:v>
                </c:pt>
                <c:pt idx="2">
                  <c:v>1.3356082466252199</c:v>
                </c:pt>
                <c:pt idx="3">
                  <c:v>0.69824365246174436</c:v>
                </c:pt>
                <c:pt idx="4">
                  <c:v>0.71593171012099477</c:v>
                </c:pt>
                <c:pt idx="5">
                  <c:v>0.82473583076258072</c:v>
                </c:pt>
                <c:pt idx="6">
                  <c:v>1.0417379446695296</c:v>
                </c:pt>
                <c:pt idx="7">
                  <c:v>1.7669416454115119</c:v>
                </c:pt>
                <c:pt idx="8">
                  <c:v>0.5874497982957565</c:v>
                </c:pt>
                <c:pt idx="9">
                  <c:v>0.26211811457075118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B-415B-8D3D-36D39A2DDFDA}"/>
            </c:ext>
          </c:extLst>
        </c:ser>
        <c:ser>
          <c:idx val="0"/>
          <c:order val="1"/>
          <c:tx>
            <c:strRef>
              <c:f>'6target data 4 graph'!$Y$128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graph'!$X$129:$X$138</c:f>
                <c:numCache>
                  <c:formatCode>General</c:formatCode>
                  <c:ptCount val="10"/>
                  <c:pt idx="0">
                    <c:v>0.39068071872236798</c:v>
                  </c:pt>
                  <c:pt idx="1">
                    <c:v>0.40768241409424233</c:v>
                  </c:pt>
                  <c:pt idx="2">
                    <c:v>0.35320104351147208</c:v>
                  </c:pt>
                  <c:pt idx="3">
                    <c:v>0.25681594122341345</c:v>
                  </c:pt>
                  <c:pt idx="4">
                    <c:v>0.25949080779487921</c:v>
                  </c:pt>
                  <c:pt idx="5">
                    <c:v>0.27594464974567923</c:v>
                  </c:pt>
                  <c:pt idx="6">
                    <c:v>0.30876067237570526</c:v>
                  </c:pt>
                  <c:pt idx="7">
                    <c:v>0.4184291941539442</c:v>
                  </c:pt>
                  <c:pt idx="8">
                    <c:v>0.24006120293944466</c:v>
                  </c:pt>
                  <c:pt idx="9">
                    <c:v>0.19086310204001111</c:v>
                  </c:pt>
                </c:numCache>
              </c:numRef>
            </c:plus>
            <c:minus>
              <c:numRef>
                <c:f>'6target data 4 graph'!$W$129:$W$138</c:f>
                <c:numCache>
                  <c:formatCode>General</c:formatCode>
                  <c:ptCount val="10"/>
                  <c:pt idx="0">
                    <c:v>0.33936103679522889</c:v>
                  </c:pt>
                  <c:pt idx="1">
                    <c:v>0.35412939543740718</c:v>
                  </c:pt>
                  <c:pt idx="2">
                    <c:v>0.30680467854977156</c:v>
                  </c:pt>
                  <c:pt idx="3">
                    <c:v>0.22308068942878734</c:v>
                  </c:pt>
                  <c:pt idx="4">
                    <c:v>0.22540418646736726</c:v>
                  </c:pt>
                  <c:pt idx="5">
                    <c:v>0.23969665752134905</c:v>
                  </c:pt>
                  <c:pt idx="6">
                    <c:v>0.26820197895016396</c:v>
                  </c:pt>
                  <c:pt idx="7">
                    <c:v>0.36346448224485739</c:v>
                  </c:pt>
                  <c:pt idx="8">
                    <c:v>0.20852684767822738</c:v>
                  </c:pt>
                  <c:pt idx="9">
                    <c:v>0.16579139202485371</c:v>
                  </c:pt>
                </c:numCache>
              </c:numRef>
            </c:minus>
          </c:errBars>
          <c:cat>
            <c:numRef>
              <c:f>'6target data 4 graph'!$U$129:$U$138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graph'!$Y$129:$Y$138</c:f>
              <c:numCache>
                <c:formatCode>General</c:formatCode>
                <c:ptCount val="10"/>
                <c:pt idx="0">
                  <c:v>1.5882129151530919</c:v>
                </c:pt>
                <c:pt idx="1">
                  <c:v>1.9020173193802266</c:v>
                </c:pt>
                <c:pt idx="2">
                  <c:v>1.0370420777057183</c:v>
                </c:pt>
                <c:pt idx="3">
                  <c:v>0.9408858775927782</c:v>
                </c:pt>
                <c:pt idx="4">
                  <c:v>0.91161310873997836</c:v>
                </c:pt>
                <c:pt idx="5">
                  <c:v>1.125200943273629</c:v>
                </c:pt>
                <c:pt idx="6">
                  <c:v>1.0739582044538323</c:v>
                </c:pt>
                <c:pt idx="7">
                  <c:v>0.5848931924611136</c:v>
                </c:pt>
                <c:pt idx="8">
                  <c:v>0.43681217703428099</c:v>
                </c:pt>
                <c:pt idx="9">
                  <c:v>0.20837018202692614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B-415B-8D3D-36D39A2DD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387856"/>
        <c:axId val="377388248"/>
      </c:lineChart>
      <c:catAx>
        <c:axId val="37738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7388248"/>
        <c:crosses val="autoZero"/>
        <c:auto val="1"/>
        <c:lblAlgn val="ctr"/>
        <c:lblOffset val="100"/>
        <c:noMultiLvlLbl val="0"/>
      </c:catAx>
      <c:valAx>
        <c:axId val="377388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7387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baseline="0">
                <a:effectLst/>
              </a:rPr>
              <a:t>Fixation duration with TP10</a:t>
            </a:r>
            <a:endParaRPr lang="ko-KR" altLang="ko-KR">
              <a:effectLst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graph'!$V$142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graph'!$AA$143:$AA$152</c:f>
                <c:numCache>
                  <c:formatCode>General</c:formatCode>
                  <c:ptCount val="10"/>
                  <c:pt idx="0">
                    <c:v>0.48404946474203925</c:v>
                  </c:pt>
                  <c:pt idx="1">
                    <c:v>0.41418059171275301</c:v>
                  </c:pt>
                  <c:pt idx="2">
                    <c:v>0.3730694992510144</c:v>
                  </c:pt>
                  <c:pt idx="3">
                    <c:v>0.31929325497051941</c:v>
                  </c:pt>
                  <c:pt idx="4">
                    <c:v>0.37204009296214524</c:v>
                  </c:pt>
                  <c:pt idx="5">
                    <c:v>0.31360988572759219</c:v>
                  </c:pt>
                  <c:pt idx="6">
                    <c:v>0.26698677179799124</c:v>
                  </c:pt>
                  <c:pt idx="7">
                    <c:v>0.28687304565114591</c:v>
                  </c:pt>
                  <c:pt idx="8">
                    <c:v>0.27082561886023271</c:v>
                  </c:pt>
                  <c:pt idx="9">
                    <c:v>0.22038891367836366</c:v>
                  </c:pt>
                </c:numCache>
              </c:numRef>
            </c:plus>
            <c:minus>
              <c:numRef>
                <c:f>'6target data 4 graph'!$Z$143:$Z$152</c:f>
                <c:numCache>
                  <c:formatCode>General</c:formatCode>
                  <c:ptCount val="10"/>
                  <c:pt idx="0">
                    <c:v>0.41848485380371336</c:v>
                  </c:pt>
                  <c:pt idx="1">
                    <c:v>0.35807973563945028</c:v>
                  </c:pt>
                  <c:pt idx="2">
                    <c:v>0.32253715007388184</c:v>
                  </c:pt>
                  <c:pt idx="3">
                    <c:v>0.27604491040612644</c:v>
                  </c:pt>
                  <c:pt idx="4">
                    <c:v>0.32164717710276935</c:v>
                  </c:pt>
                  <c:pt idx="5">
                    <c:v>0.27113135482972184</c:v>
                  </c:pt>
                  <c:pt idx="6">
                    <c:v>0.2308233523674097</c:v>
                  </c:pt>
                  <c:pt idx="7">
                    <c:v>0.24801602586943106</c:v>
                  </c:pt>
                  <c:pt idx="8">
                    <c:v>0.23414222671524754</c:v>
                  </c:pt>
                  <c:pt idx="9">
                    <c:v>0.19053718480982207</c:v>
                  </c:pt>
                </c:numCache>
              </c:numRef>
            </c:minus>
          </c:errBars>
          <c:cat>
            <c:numRef>
              <c:f>'6target data 4 graph'!$U$143:$U$152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graph'!$V$143:$V$152</c:f>
              <c:numCache>
                <c:formatCode>General</c:formatCode>
                <c:ptCount val="10"/>
                <c:pt idx="0">
                  <c:v>2.1145836540121334</c:v>
                </c:pt>
                <c:pt idx="1">
                  <c:v>1.7739587587298944</c:v>
                </c:pt>
                <c:pt idx="2">
                  <c:v>1.0030878652699919</c:v>
                </c:pt>
                <c:pt idx="3">
                  <c:v>0.95704134148067665</c:v>
                </c:pt>
                <c:pt idx="4">
                  <c:v>0.51216784879176736</c:v>
                </c:pt>
                <c:pt idx="5">
                  <c:v>1.0796966871036959</c:v>
                </c:pt>
                <c:pt idx="6">
                  <c:v>1.0332931614677077</c:v>
                </c:pt>
                <c:pt idx="7">
                  <c:v>0.94043902355183051</c:v>
                </c:pt>
                <c:pt idx="8">
                  <c:v>1.0169726070331109</c:v>
                </c:pt>
                <c:pt idx="9">
                  <c:v>1.3795783009563971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6-4F20-AABE-0B519C65876F}"/>
            </c:ext>
          </c:extLst>
        </c:ser>
        <c:ser>
          <c:idx val="0"/>
          <c:order val="1"/>
          <c:tx>
            <c:strRef>
              <c:f>'6target data 4 graph'!$Y$142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graph'!$X$143:$X$152</c:f>
                <c:numCache>
                  <c:formatCode>General</c:formatCode>
                  <c:ptCount val="10"/>
                  <c:pt idx="0">
                    <c:v>0.48796620392372869</c:v>
                  </c:pt>
                  <c:pt idx="1">
                    <c:v>0.4346000222516837</c:v>
                  </c:pt>
                  <c:pt idx="2">
                    <c:v>0.31382659460193629</c:v>
                  </c:pt>
                  <c:pt idx="3">
                    <c:v>0.30661242092308449</c:v>
                  </c:pt>
                  <c:pt idx="4">
                    <c:v>0.23691346479645881</c:v>
                  </c:pt>
                  <c:pt idx="5">
                    <c:v>0.3258290065227416</c:v>
                  </c:pt>
                  <c:pt idx="6">
                    <c:v>0.31855890086219807</c:v>
                  </c:pt>
                  <c:pt idx="7">
                    <c:v>0.30401131241034984</c:v>
                  </c:pt>
                  <c:pt idx="8">
                    <c:v>0.31600193663260612</c:v>
                  </c:pt>
                  <c:pt idx="9">
                    <c:v>0.37281188095917628</c:v>
                  </c:pt>
                </c:numCache>
              </c:numRef>
            </c:plus>
            <c:minus>
              <c:numRef>
                <c:f>'6target data 4 graph'!$W$143:$W$152</c:f>
                <c:numCache>
                  <c:formatCode>General</c:formatCode>
                  <c:ptCount val="10"/>
                  <c:pt idx="0">
                    <c:v>0.42187106976556787</c:v>
                  </c:pt>
                  <c:pt idx="1">
                    <c:v>0.37573334963196592</c:v>
                  </c:pt>
                  <c:pt idx="2">
                    <c:v>0.27131871043736822</c:v>
                  </c:pt>
                  <c:pt idx="3">
                    <c:v>0.26508169823672945</c:v>
                  </c:pt>
                  <c:pt idx="4">
                    <c:v>0.20482348169171849</c:v>
                  </c:pt>
                  <c:pt idx="5">
                    <c:v>0.28169539291267509</c:v>
                  </c:pt>
                  <c:pt idx="6">
                    <c:v>0.27541002473008325</c:v>
                  </c:pt>
                  <c:pt idx="7">
                    <c:v>0.26283291046819168</c:v>
                  </c:pt>
                  <c:pt idx="8">
                    <c:v>0.27319940189141856</c:v>
                  </c:pt>
                  <c:pt idx="9">
                    <c:v>0.32231442623871676</c:v>
                  </c:pt>
                </c:numCache>
              </c:numRef>
            </c:minus>
          </c:errBars>
          <c:cat>
            <c:numRef>
              <c:f>'6target data 4 graph'!$U$143:$U$152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'6target data 4 graph'!$Y$143:$Y$152</c:f>
              <c:numCache>
                <c:formatCode>General</c:formatCode>
                <c:ptCount val="10"/>
                <c:pt idx="0">
                  <c:v>2.0895839476098756</c:v>
                </c:pt>
                <c:pt idx="1">
                  <c:v>1.6436259117634444</c:v>
                </c:pt>
                <c:pt idx="2">
                  <c:v>1.3812226232768396</c:v>
                </c:pt>
                <c:pt idx="3">
                  <c:v>1.0379803862870562</c:v>
                </c:pt>
                <c:pt idx="4">
                  <c:v>1.3746521436516752</c:v>
                </c:pt>
                <c:pt idx="5">
                  <c:v>1.0017046589899601</c:v>
                </c:pt>
                <c:pt idx="6">
                  <c:v>0.70411931931553751</c:v>
                </c:pt>
                <c:pt idx="7">
                  <c:v>0.8310491414716763</c:v>
                </c:pt>
                <c:pt idx="8">
                  <c:v>0.72862185702033844</c:v>
                </c:pt>
                <c:pt idx="9">
                  <c:v>0.40669518206103827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56-4F20-AABE-0B519C65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779664"/>
        <c:axId val="531780056"/>
      </c:lineChart>
      <c:catAx>
        <c:axId val="53177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AOIs</a:t>
                </a:r>
                <a:endParaRPr lang="ko-KR" alt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31780056"/>
        <c:crosses val="autoZero"/>
        <c:auto val="1"/>
        <c:lblAlgn val="ctr"/>
        <c:lblOffset val="100"/>
        <c:noMultiLvlLbl val="0"/>
      </c:catAx>
      <c:valAx>
        <c:axId val="531780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algn="ctr" rtl="0">
                  <a:def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Fixation duration (s)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31779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User satisfaction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'6target data 4 graph'!$V$52</c:f>
              <c:strCache>
                <c:ptCount val="1"/>
                <c:pt idx="0">
                  <c:v>Horizontal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graph'!$X$53:$X$58</c:f>
                <c:numCache>
                  <c:formatCode>General</c:formatCode>
                  <c:ptCount val="6"/>
                  <c:pt idx="0">
                    <c:v>0.22590000000000021</c:v>
                  </c:pt>
                  <c:pt idx="1">
                    <c:v>0.22590000000000021</c:v>
                  </c:pt>
                  <c:pt idx="2">
                    <c:v>0.22590000000000021</c:v>
                  </c:pt>
                  <c:pt idx="3">
                    <c:v>0.22590000000000021</c:v>
                  </c:pt>
                  <c:pt idx="4">
                    <c:v>0.22590000000000021</c:v>
                  </c:pt>
                  <c:pt idx="5">
                    <c:v>0.22590000000000021</c:v>
                  </c:pt>
                </c:numCache>
              </c:numRef>
            </c:plus>
            <c:minus>
              <c:numRef>
                <c:f>'6target data 4 graph'!$W$53:$W$58</c:f>
                <c:numCache>
                  <c:formatCode>General</c:formatCode>
                  <c:ptCount val="6"/>
                  <c:pt idx="0">
                    <c:v>0.22590000000000021</c:v>
                  </c:pt>
                  <c:pt idx="1">
                    <c:v>0.22590000000000021</c:v>
                  </c:pt>
                  <c:pt idx="2">
                    <c:v>0.22590000000000021</c:v>
                  </c:pt>
                  <c:pt idx="3">
                    <c:v>0.22590000000000021</c:v>
                  </c:pt>
                  <c:pt idx="4">
                    <c:v>0.22590000000000021</c:v>
                  </c:pt>
                  <c:pt idx="5">
                    <c:v>0.22590000000000021</c:v>
                  </c:pt>
                </c:numCache>
              </c:numRef>
            </c:minus>
          </c:errBars>
          <c:cat>
            <c:numRef>
              <c:f>'6target data 4 graph'!$U$53:$U$58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graph'!$V$53:$V$58</c:f>
              <c:numCache>
                <c:formatCode>General</c:formatCode>
                <c:ptCount val="6"/>
                <c:pt idx="0">
                  <c:v>5.7919999999999998</c:v>
                </c:pt>
                <c:pt idx="1">
                  <c:v>5.4580000000000002</c:v>
                </c:pt>
                <c:pt idx="2">
                  <c:v>5.5419999999999998</c:v>
                </c:pt>
                <c:pt idx="3">
                  <c:v>5.5830000000000002</c:v>
                </c:pt>
                <c:pt idx="4">
                  <c:v>5.4580000000000002</c:v>
                </c:pt>
                <c:pt idx="5">
                  <c:v>5.4169999999999998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831-A0FE-42B277399002}"/>
            </c:ext>
          </c:extLst>
        </c:ser>
        <c:ser>
          <c:idx val="0"/>
          <c:order val="1"/>
          <c:tx>
            <c:strRef>
              <c:f>'6target data 4 graph'!$Y$52</c:f>
              <c:strCache>
                <c:ptCount val="1"/>
                <c:pt idx="0">
                  <c:v>Vertical</c:v>
                </c:pt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'6target data 4 graph'!$AA$53:$AA$58</c:f>
                <c:numCache>
                  <c:formatCode>General</c:formatCode>
                  <c:ptCount val="6"/>
                  <c:pt idx="0">
                    <c:v>0.22590000000000021</c:v>
                  </c:pt>
                  <c:pt idx="1">
                    <c:v>0.22590000000000021</c:v>
                  </c:pt>
                  <c:pt idx="2">
                    <c:v>0.22590000000000021</c:v>
                  </c:pt>
                  <c:pt idx="3">
                    <c:v>0.22590000000000021</c:v>
                  </c:pt>
                  <c:pt idx="4">
                    <c:v>0.22590000000000021</c:v>
                  </c:pt>
                  <c:pt idx="5">
                    <c:v>0.22590000000000021</c:v>
                  </c:pt>
                </c:numCache>
              </c:numRef>
            </c:plus>
            <c:minus>
              <c:numRef>
                <c:f>'6target data 4 graph'!$Z$53:$Z$58</c:f>
                <c:numCache>
                  <c:formatCode>General</c:formatCode>
                  <c:ptCount val="6"/>
                  <c:pt idx="0">
                    <c:v>0.22590000000000021</c:v>
                  </c:pt>
                  <c:pt idx="1">
                    <c:v>0.22590000000000021</c:v>
                  </c:pt>
                  <c:pt idx="2">
                    <c:v>0.22590000000000021</c:v>
                  </c:pt>
                  <c:pt idx="3">
                    <c:v>0.22590000000000021</c:v>
                  </c:pt>
                  <c:pt idx="4">
                    <c:v>0.22590000000000021</c:v>
                  </c:pt>
                  <c:pt idx="5">
                    <c:v>0.22590000000000021</c:v>
                  </c:pt>
                </c:numCache>
              </c:numRef>
            </c:minus>
          </c:errBars>
          <c:cat>
            <c:numRef>
              <c:f>'6target data 4 graph'!$U$53:$U$58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'6target data 4 graph'!$Y$53:$Y$58</c:f>
              <c:numCache>
                <c:formatCode>General</c:formatCode>
                <c:ptCount val="6"/>
                <c:pt idx="0">
                  <c:v>5.6669999999999998</c:v>
                </c:pt>
                <c:pt idx="1">
                  <c:v>5.75</c:v>
                </c:pt>
                <c:pt idx="2">
                  <c:v>5.7919999999999998</c:v>
                </c:pt>
                <c:pt idx="3">
                  <c:v>5.75</c:v>
                </c:pt>
                <c:pt idx="4">
                  <c:v>5.5</c:v>
                </c:pt>
                <c:pt idx="5">
                  <c:v>5.0830000000000002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9-42C9-821B-F430C420F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780840"/>
        <c:axId val="540220416"/>
      </c:lineChart>
      <c:catAx>
        <c:axId val="531780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Target positions</a:t>
                </a: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0220416"/>
        <c:crosses val="autoZero"/>
        <c:auto val="1"/>
        <c:lblAlgn val="ctr"/>
        <c:lblOffset val="100"/>
        <c:noMultiLvlLbl val="0"/>
      </c:catAx>
      <c:valAx>
        <c:axId val="540220416"/>
        <c:scaling>
          <c:orientation val="minMax"/>
          <c:min val="4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ko-KR"/>
                  <a:t>Chance (%)</a:t>
                </a:r>
                <a:endParaRPr lang="ko-KR" alt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31780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238125</xdr:colOff>
      <xdr:row>47</xdr:row>
      <xdr:rowOff>147637</xdr:rowOff>
    </xdr:from>
    <xdr:to>
      <xdr:col>17</xdr:col>
      <xdr:colOff>666750</xdr:colOff>
      <xdr:row>60</xdr:row>
      <xdr:rowOff>166687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252412</xdr:colOff>
      <xdr:row>62</xdr:row>
      <xdr:rowOff>33337</xdr:rowOff>
    </xdr:from>
    <xdr:to>
      <xdr:col>17</xdr:col>
      <xdr:colOff>681037</xdr:colOff>
      <xdr:row>75</xdr:row>
      <xdr:rowOff>52387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261937</xdr:colOff>
      <xdr:row>76</xdr:row>
      <xdr:rowOff>80962</xdr:rowOff>
    </xdr:from>
    <xdr:to>
      <xdr:col>18</xdr:col>
      <xdr:colOff>4762</xdr:colOff>
      <xdr:row>89</xdr:row>
      <xdr:rowOff>100012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271462</xdr:colOff>
      <xdr:row>90</xdr:row>
      <xdr:rowOff>119062</xdr:rowOff>
    </xdr:from>
    <xdr:to>
      <xdr:col>18</xdr:col>
      <xdr:colOff>14287</xdr:colOff>
      <xdr:row>103</xdr:row>
      <xdr:rowOff>138112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42862</xdr:colOff>
      <xdr:row>48</xdr:row>
      <xdr:rowOff>4762</xdr:rowOff>
    </xdr:from>
    <xdr:to>
      <xdr:col>20</xdr:col>
      <xdr:colOff>1614487</xdr:colOff>
      <xdr:row>61</xdr:row>
      <xdr:rowOff>23812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14287</xdr:colOff>
      <xdr:row>62</xdr:row>
      <xdr:rowOff>100012</xdr:rowOff>
    </xdr:from>
    <xdr:to>
      <xdr:col>20</xdr:col>
      <xdr:colOff>1585912</xdr:colOff>
      <xdr:row>75</xdr:row>
      <xdr:rowOff>119062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128587</xdr:colOff>
      <xdr:row>90</xdr:row>
      <xdr:rowOff>100012</xdr:rowOff>
    </xdr:from>
    <xdr:to>
      <xdr:col>20</xdr:col>
      <xdr:colOff>1700212</xdr:colOff>
      <xdr:row>103</xdr:row>
      <xdr:rowOff>119062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233362</xdr:colOff>
      <xdr:row>105</xdr:row>
      <xdr:rowOff>23812</xdr:rowOff>
    </xdr:from>
    <xdr:to>
      <xdr:col>20</xdr:col>
      <xdr:colOff>1804987</xdr:colOff>
      <xdr:row>118</xdr:row>
      <xdr:rowOff>42862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138112</xdr:colOff>
      <xdr:row>119</xdr:row>
      <xdr:rowOff>138112</xdr:rowOff>
    </xdr:from>
    <xdr:to>
      <xdr:col>20</xdr:col>
      <xdr:colOff>1709737</xdr:colOff>
      <xdr:row>132</xdr:row>
      <xdr:rowOff>157162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97896</xdr:colOff>
      <xdr:row>76</xdr:row>
      <xdr:rowOff>50269</xdr:rowOff>
    </xdr:from>
    <xdr:to>
      <xdr:col>20</xdr:col>
      <xdr:colOff>1671637</xdr:colOff>
      <xdr:row>89</xdr:row>
      <xdr:rowOff>71436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16933</xdr:colOff>
      <xdr:row>0</xdr:row>
      <xdr:rowOff>216504</xdr:rowOff>
    </xdr:from>
    <xdr:to>
      <xdr:col>36</xdr:col>
      <xdr:colOff>674913</xdr:colOff>
      <xdr:row>19</xdr:row>
      <xdr:rowOff>185058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21770</xdr:colOff>
      <xdr:row>0</xdr:row>
      <xdr:rowOff>206826</xdr:rowOff>
    </xdr:from>
    <xdr:to>
      <xdr:col>46</xdr:col>
      <xdr:colOff>21770</xdr:colOff>
      <xdr:row>19</xdr:row>
      <xdr:rowOff>206829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21771</xdr:colOff>
      <xdr:row>20</xdr:row>
      <xdr:rowOff>21770</xdr:rowOff>
    </xdr:from>
    <xdr:to>
      <xdr:col>37</xdr:col>
      <xdr:colOff>21771</xdr:colOff>
      <xdr:row>39</xdr:row>
      <xdr:rowOff>195943</xdr:rowOff>
    </xdr:to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32655</xdr:colOff>
      <xdr:row>20</xdr:row>
      <xdr:rowOff>10884</xdr:rowOff>
    </xdr:from>
    <xdr:to>
      <xdr:col>45</xdr:col>
      <xdr:colOff>576942</xdr:colOff>
      <xdr:row>39</xdr:row>
      <xdr:rowOff>185056</xdr:rowOff>
    </xdr:to>
    <xdr:graphicFrame macro="">
      <xdr:nvGraphicFramePr>
        <xdr:cNvPr id="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32657</xdr:colOff>
      <xdr:row>40</xdr:row>
      <xdr:rowOff>10887</xdr:rowOff>
    </xdr:from>
    <xdr:to>
      <xdr:col>54</xdr:col>
      <xdr:colOff>631371</xdr:colOff>
      <xdr:row>59</xdr:row>
      <xdr:rowOff>174171</xdr:rowOff>
    </xdr:to>
    <xdr:graphicFrame macro="">
      <xdr:nvGraphicFramePr>
        <xdr:cNvPr id="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2179</xdr:colOff>
      <xdr:row>40</xdr:row>
      <xdr:rowOff>222066</xdr:rowOff>
    </xdr:from>
    <xdr:to>
      <xdr:col>36</xdr:col>
      <xdr:colOff>650966</xdr:colOff>
      <xdr:row>60</xdr:row>
      <xdr:rowOff>222067</xdr:rowOff>
    </xdr:to>
    <xdr:graphicFrame macro="">
      <xdr:nvGraphicFramePr>
        <xdr:cNvPr id="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21771</xdr:colOff>
      <xdr:row>71</xdr:row>
      <xdr:rowOff>1</xdr:rowOff>
    </xdr:from>
    <xdr:to>
      <xdr:col>35</xdr:col>
      <xdr:colOff>4838</xdr:colOff>
      <xdr:row>84</xdr:row>
      <xdr:rowOff>185057</xdr:rowOff>
    </xdr:to>
    <xdr:graphicFrame macro="">
      <xdr:nvGraphicFramePr>
        <xdr:cNvPr id="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21772</xdr:colOff>
      <xdr:row>85</xdr:row>
      <xdr:rowOff>0</xdr:rowOff>
    </xdr:from>
    <xdr:to>
      <xdr:col>35</xdr:col>
      <xdr:colOff>4839</xdr:colOff>
      <xdr:row>98</xdr:row>
      <xdr:rowOff>185056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10886</xdr:colOff>
      <xdr:row>99</xdr:row>
      <xdr:rowOff>21772</xdr:rowOff>
    </xdr:from>
    <xdr:to>
      <xdr:col>34</xdr:col>
      <xdr:colOff>668867</xdr:colOff>
      <xdr:row>112</xdr:row>
      <xdr:rowOff>206828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10886</xdr:colOff>
      <xdr:row>112</xdr:row>
      <xdr:rowOff>206829</xdr:rowOff>
    </xdr:from>
    <xdr:to>
      <xdr:col>34</xdr:col>
      <xdr:colOff>668867</xdr:colOff>
      <xdr:row>126</xdr:row>
      <xdr:rowOff>174171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28</xdr:col>
      <xdr:colOff>10886</xdr:colOff>
      <xdr:row>127</xdr:row>
      <xdr:rowOff>10886</xdr:rowOff>
    </xdr:from>
    <xdr:to>
      <xdr:col>34</xdr:col>
      <xdr:colOff>668867</xdr:colOff>
      <xdr:row>140</xdr:row>
      <xdr:rowOff>195942</xdr:rowOff>
    </xdr:to>
    <xdr:graphicFrame macro="">
      <xdr:nvGraphicFramePr>
        <xdr:cNvPr id="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0</xdr:colOff>
      <xdr:row>140</xdr:row>
      <xdr:rowOff>206829</xdr:rowOff>
    </xdr:from>
    <xdr:to>
      <xdr:col>34</xdr:col>
      <xdr:colOff>657981</xdr:colOff>
      <xdr:row>154</xdr:row>
      <xdr:rowOff>174171</xdr:rowOff>
    </xdr:to>
    <xdr:graphicFrame macro="">
      <xdr:nvGraphicFramePr>
        <xdr:cNvPr id="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37</xdr:col>
      <xdr:colOff>81643</xdr:colOff>
      <xdr:row>40</xdr:row>
      <xdr:rowOff>95249</xdr:rowOff>
    </xdr:from>
    <xdr:to>
      <xdr:col>45</xdr:col>
      <xdr:colOff>653142</xdr:colOff>
      <xdr:row>59</xdr:row>
      <xdr:rowOff>163286</xdr:rowOff>
    </xdr:to>
    <xdr:graphicFrame macro="">
      <xdr:nvGraphicFramePr>
        <xdr:cNvPr id="1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1:W87"/>
  <sheetViews>
    <sheetView topLeftCell="A40" zoomScale="90" zoomScaleNormal="90" workbookViewId="0">
      <selection activeCell="I60" sqref="I60"/>
    </sheetView>
  </sheetViews>
  <sheetFormatPr defaultRowHeight="17.399999999999999"/>
  <cols>
    <col min="3" max="3" width="31.296875" bestFit="1" customWidth="1"/>
    <col min="4" max="7" width="6.3984375" bestFit="1" customWidth="1"/>
    <col min="8" max="8" width="8" bestFit="1" customWidth="1"/>
    <col min="9" max="9" width="6.3984375" bestFit="1" customWidth="1"/>
    <col min="10" max="10" width="10.59765625" bestFit="1" customWidth="1"/>
    <col min="13" max="13" width="18.3984375" bestFit="1" customWidth="1"/>
    <col min="20" max="20" width="39.3984375" bestFit="1" customWidth="1"/>
    <col min="21" max="21" width="26.296875" bestFit="1" customWidth="1"/>
  </cols>
  <sheetData>
    <row r="1" spans="3:23" ht="18" thickBot="1"/>
    <row r="2" spans="3:23" ht="18" thickBot="1">
      <c r="T2" s="24" t="s">
        <v>36</v>
      </c>
      <c r="U2" s="25" t="s">
        <v>37</v>
      </c>
      <c r="V2" s="28" t="s">
        <v>56</v>
      </c>
      <c r="W2" s="24" t="s">
        <v>57</v>
      </c>
    </row>
    <row r="3" spans="3:23" ht="18" thickBot="1">
      <c r="D3" s="17"/>
      <c r="E3" s="17"/>
      <c r="F3" s="17"/>
      <c r="G3" s="17"/>
      <c r="T3" s="29" t="s">
        <v>58</v>
      </c>
      <c r="U3" s="25" t="s">
        <v>59</v>
      </c>
      <c r="V3" s="31">
        <v>650</v>
      </c>
      <c r="W3" s="32">
        <v>28.260869565217391</v>
      </c>
    </row>
    <row r="4" spans="3:23">
      <c r="C4" s="18" t="s">
        <v>15</v>
      </c>
      <c r="D4" s="94" t="s">
        <v>11</v>
      </c>
      <c r="E4" s="94"/>
      <c r="F4" s="94" t="s">
        <v>12</v>
      </c>
      <c r="G4" s="94"/>
      <c r="H4" s="95" t="s">
        <v>18</v>
      </c>
      <c r="I4" s="96"/>
      <c r="J4" s="96"/>
      <c r="K4" s="96" t="s">
        <v>26</v>
      </c>
      <c r="T4" s="103" t="s">
        <v>60</v>
      </c>
      <c r="U4" s="33" t="s">
        <v>61</v>
      </c>
      <c r="V4" s="36">
        <v>14</v>
      </c>
      <c r="W4" s="37">
        <v>0.58333333333333337</v>
      </c>
    </row>
    <row r="5" spans="3:23" ht="18" thickBot="1">
      <c r="C5" s="18" t="s">
        <v>14</v>
      </c>
      <c r="D5" s="18" t="s">
        <v>6</v>
      </c>
      <c r="E5" s="18" t="s">
        <v>5</v>
      </c>
      <c r="F5" s="18" t="s">
        <v>6</v>
      </c>
      <c r="G5" s="18" t="s">
        <v>5</v>
      </c>
      <c r="H5" s="19" t="s">
        <v>16</v>
      </c>
      <c r="I5" s="19" t="s">
        <v>7</v>
      </c>
      <c r="J5" s="19" t="s">
        <v>17</v>
      </c>
      <c r="K5" s="96"/>
      <c r="T5" s="104"/>
      <c r="U5" s="58" t="s">
        <v>62</v>
      </c>
      <c r="V5" s="61">
        <v>10</v>
      </c>
      <c r="W5" s="47">
        <v>0.41666666666666669</v>
      </c>
    </row>
    <row r="6" spans="3:23">
      <c r="C6" s="21" t="s">
        <v>19</v>
      </c>
      <c r="D6" s="22">
        <v>1.3049999999999999</v>
      </c>
      <c r="E6" s="22">
        <v>1.3859999999999999</v>
      </c>
      <c r="F6" s="22">
        <v>1.4279999999999999</v>
      </c>
      <c r="G6" s="22">
        <v>1.429</v>
      </c>
      <c r="H6" s="23" t="s">
        <v>20</v>
      </c>
      <c r="I6" s="23">
        <v>0.17499999999999999</v>
      </c>
      <c r="J6" s="23">
        <v>0.187</v>
      </c>
      <c r="K6" s="21" t="s">
        <v>25</v>
      </c>
      <c r="M6" s="20">
        <f t="shared" ref="M6:P9" si="0">10^D6-1</f>
        <v>19.183663636815609</v>
      </c>
      <c r="N6" s="20">
        <f t="shared" si="0"/>
        <v>23.322040090738149</v>
      </c>
      <c r="O6" s="20">
        <f t="shared" si="0"/>
        <v>25.791683248190321</v>
      </c>
      <c r="P6" s="20">
        <f t="shared" si="0"/>
        <v>25.853444456585081</v>
      </c>
      <c r="T6" s="105" t="s">
        <v>75</v>
      </c>
      <c r="U6" s="64" t="s">
        <v>74</v>
      </c>
      <c r="V6" s="64">
        <v>4</v>
      </c>
      <c r="W6" s="37">
        <v>0.16666666666666666</v>
      </c>
    </row>
    <row r="7" spans="3:23">
      <c r="C7" s="21" t="s">
        <v>2</v>
      </c>
      <c r="D7" s="22">
        <v>1.6890000000000001</v>
      </c>
      <c r="E7" s="22">
        <v>1.7270000000000001</v>
      </c>
      <c r="F7" s="22">
        <v>1.7589999999999999</v>
      </c>
      <c r="G7" s="22">
        <v>1.8160000000000001</v>
      </c>
      <c r="H7" s="23" t="s">
        <v>20</v>
      </c>
      <c r="I7" s="23">
        <v>5.7000000000000002E-2</v>
      </c>
      <c r="J7" s="23">
        <v>0.69899999999999995</v>
      </c>
      <c r="K7" s="21" t="s">
        <v>25</v>
      </c>
      <c r="M7" s="20">
        <f t="shared" si="0"/>
        <v>47.865235934283383</v>
      </c>
      <c r="N7" s="20">
        <f t="shared" si="0"/>
        <v>52.333489548762124</v>
      </c>
      <c r="O7" s="20">
        <f t="shared" si="0"/>
        <v>56.41164622073277</v>
      </c>
      <c r="P7" s="20">
        <f t="shared" si="0"/>
        <v>64.463617406727508</v>
      </c>
      <c r="T7" s="106"/>
      <c r="U7" s="65" t="s">
        <v>76</v>
      </c>
      <c r="V7" s="65">
        <v>17</v>
      </c>
      <c r="W7" s="52">
        <v>0.70833333333333337</v>
      </c>
    </row>
    <row r="8" spans="3:23" ht="18" thickBot="1">
      <c r="C8" s="21" t="s">
        <v>21</v>
      </c>
      <c r="D8" s="22">
        <v>1.365</v>
      </c>
      <c r="E8" s="22">
        <v>1.431</v>
      </c>
      <c r="F8" s="22">
        <v>1.494</v>
      </c>
      <c r="G8" s="22">
        <v>1.57</v>
      </c>
      <c r="H8" s="23" t="s">
        <v>22</v>
      </c>
      <c r="I8" s="23" t="s">
        <v>23</v>
      </c>
      <c r="J8" s="23">
        <v>0.87</v>
      </c>
      <c r="K8" s="21" t="s">
        <v>25</v>
      </c>
      <c r="M8" s="20">
        <f t="shared" si="0"/>
        <v>22.173946499684792</v>
      </c>
      <c r="N8" s="20">
        <f t="shared" si="0"/>
        <v>25.977394324449211</v>
      </c>
      <c r="O8" s="20">
        <f t="shared" si="0"/>
        <v>30.188895840939374</v>
      </c>
      <c r="P8" s="20">
        <f t="shared" si="0"/>
        <v>36.153522909717275</v>
      </c>
      <c r="T8" s="107"/>
      <c r="U8" s="66" t="s">
        <v>77</v>
      </c>
      <c r="V8" s="66">
        <v>3</v>
      </c>
      <c r="W8" s="42">
        <v>0.125</v>
      </c>
    </row>
    <row r="9" spans="3:23">
      <c r="C9" s="21" t="s">
        <v>24</v>
      </c>
      <c r="D9" s="22">
        <v>1.4059999999999999</v>
      </c>
      <c r="E9" s="22">
        <v>1.4610000000000001</v>
      </c>
      <c r="F9" s="22">
        <v>1.544</v>
      </c>
      <c r="G9" s="22">
        <v>1.643</v>
      </c>
      <c r="H9" s="23" t="s">
        <v>22</v>
      </c>
      <c r="I9" s="23" t="s">
        <v>23</v>
      </c>
      <c r="J9" s="23">
        <v>0.53500000000000003</v>
      </c>
      <c r="K9" s="21" t="s">
        <v>25</v>
      </c>
      <c r="M9" s="20">
        <f t="shared" si="0"/>
        <v>24.468302525850415</v>
      </c>
      <c r="N9" s="20">
        <f t="shared" si="0"/>
        <v>27.906798823654771</v>
      </c>
      <c r="O9" s="20">
        <f t="shared" si="0"/>
        <v>33.994516702835746</v>
      </c>
      <c r="P9" s="20">
        <f t="shared" si="0"/>
        <v>42.954161543782462</v>
      </c>
      <c r="T9" s="100" t="s">
        <v>63</v>
      </c>
      <c r="U9" s="33" t="s">
        <v>78</v>
      </c>
      <c r="V9" s="36">
        <v>16</v>
      </c>
      <c r="W9" s="37">
        <v>0.66666666666666663</v>
      </c>
    </row>
    <row r="10" spans="3:23">
      <c r="C10" s="21" t="s">
        <v>27</v>
      </c>
      <c r="D10" s="22">
        <v>79.2</v>
      </c>
      <c r="E10" s="22">
        <v>81.94</v>
      </c>
      <c r="F10" s="22">
        <v>77.78</v>
      </c>
      <c r="G10" s="22">
        <v>58.33</v>
      </c>
      <c r="H10" s="23">
        <v>0.69799999999999995</v>
      </c>
      <c r="I10" s="23">
        <v>0.84599999999999997</v>
      </c>
      <c r="J10" s="23" t="s">
        <v>23</v>
      </c>
      <c r="K10" s="21" t="s">
        <v>35</v>
      </c>
      <c r="T10" s="101"/>
      <c r="U10" s="48" t="s">
        <v>93</v>
      </c>
      <c r="V10" s="51">
        <v>1</v>
      </c>
      <c r="W10" s="52">
        <v>4.1666666666666664E-2</v>
      </c>
    </row>
    <row r="11" spans="3:23">
      <c r="C11" s="21" t="s">
        <v>29</v>
      </c>
      <c r="D11" s="22">
        <v>41.25</v>
      </c>
      <c r="E11" s="22">
        <v>54.5</v>
      </c>
      <c r="F11" s="22">
        <v>84.44</v>
      </c>
      <c r="G11" s="22">
        <v>80.33</v>
      </c>
      <c r="H11" s="23" t="s">
        <v>22</v>
      </c>
      <c r="I11" s="23">
        <v>0.40500000000000003</v>
      </c>
      <c r="J11" s="23">
        <v>0.129</v>
      </c>
      <c r="K11" s="21" t="s">
        <v>28</v>
      </c>
      <c r="T11" s="101"/>
      <c r="U11" s="48" t="s">
        <v>95</v>
      </c>
      <c r="V11" s="51">
        <v>2</v>
      </c>
      <c r="W11" s="52">
        <v>8.3333333333333329E-2</v>
      </c>
    </row>
    <row r="12" spans="3:23">
      <c r="C12" s="21" t="s">
        <v>30</v>
      </c>
      <c r="D12" s="22">
        <v>5.5510000000000002</v>
      </c>
      <c r="E12" s="22">
        <v>5.6879999999999997</v>
      </c>
      <c r="F12" s="22">
        <v>5.44</v>
      </c>
      <c r="G12" s="22">
        <v>5.399</v>
      </c>
      <c r="H12" s="23" t="s">
        <v>23</v>
      </c>
      <c r="I12" s="23">
        <v>0.60699999999999998</v>
      </c>
      <c r="J12" s="23">
        <v>0.34399999999999997</v>
      </c>
      <c r="K12" s="21" t="s">
        <v>28</v>
      </c>
      <c r="T12" s="101"/>
      <c r="U12" s="48" t="s">
        <v>99</v>
      </c>
      <c r="V12" s="51">
        <v>1</v>
      </c>
      <c r="W12" s="52">
        <v>4.1666666666666664E-2</v>
      </c>
    </row>
    <row r="13" spans="3:23">
      <c r="D13" s="20"/>
      <c r="E13" s="20"/>
      <c r="F13" s="20"/>
      <c r="G13" s="20"/>
      <c r="T13" s="101"/>
      <c r="U13" s="65" t="s">
        <v>103</v>
      </c>
      <c r="V13" s="51">
        <v>1</v>
      </c>
      <c r="W13" s="52">
        <v>4.1666666666666664E-2</v>
      </c>
    </row>
    <row r="14" spans="3:23">
      <c r="D14" s="20"/>
      <c r="E14" s="20"/>
      <c r="F14" s="20"/>
      <c r="G14" s="20"/>
      <c r="T14" s="101"/>
      <c r="U14" s="71" t="s">
        <v>100</v>
      </c>
      <c r="V14" s="51">
        <v>1</v>
      </c>
      <c r="W14" s="52">
        <v>4.1666666666666664E-2</v>
      </c>
    </row>
    <row r="15" spans="3:23" ht="18" thickBot="1">
      <c r="D15" s="20"/>
      <c r="E15" s="20"/>
      <c r="F15" s="20"/>
      <c r="G15" s="20"/>
      <c r="T15" s="102"/>
      <c r="U15" s="43" t="s">
        <v>101</v>
      </c>
      <c r="V15" s="46">
        <v>1</v>
      </c>
      <c r="W15" s="57">
        <v>4.1666666666666664E-2</v>
      </c>
    </row>
    <row r="16" spans="3:23">
      <c r="C16" s="18" t="s">
        <v>32</v>
      </c>
      <c r="D16" s="94" t="s">
        <v>11</v>
      </c>
      <c r="E16" s="94"/>
      <c r="F16" s="94" t="s">
        <v>12</v>
      </c>
      <c r="G16" s="94"/>
      <c r="H16" s="95" t="s">
        <v>18</v>
      </c>
      <c r="I16" s="96"/>
      <c r="J16" s="96"/>
      <c r="K16" s="96" t="s">
        <v>26</v>
      </c>
      <c r="T16" s="100" t="s">
        <v>79</v>
      </c>
      <c r="U16" s="33" t="s">
        <v>9</v>
      </c>
      <c r="V16" s="36">
        <v>8</v>
      </c>
      <c r="W16" s="37">
        <v>0.33333333333333331</v>
      </c>
    </row>
    <row r="17" spans="3:23">
      <c r="C17" s="18" t="s">
        <v>14</v>
      </c>
      <c r="D17" s="18" t="s">
        <v>6</v>
      </c>
      <c r="E17" s="18" t="s">
        <v>5</v>
      </c>
      <c r="F17" s="18" t="s">
        <v>6</v>
      </c>
      <c r="G17" s="18" t="s">
        <v>5</v>
      </c>
      <c r="H17" s="19" t="s">
        <v>16</v>
      </c>
      <c r="I17" s="19" t="s">
        <v>7</v>
      </c>
      <c r="J17" s="19" t="s">
        <v>17</v>
      </c>
      <c r="K17" s="96"/>
      <c r="T17" s="101"/>
      <c r="U17" s="43" t="s">
        <v>98</v>
      </c>
      <c r="V17" s="46">
        <v>4</v>
      </c>
      <c r="W17" s="47">
        <v>0.16666666666666666</v>
      </c>
    </row>
    <row r="18" spans="3:23" ht="18" thickBot="1">
      <c r="C18" s="21" t="s">
        <v>31</v>
      </c>
      <c r="D18" s="22">
        <v>0.90200000000000002</v>
      </c>
      <c r="E18" s="22">
        <v>0.97</v>
      </c>
      <c r="F18" s="22">
        <v>0.54900000000000004</v>
      </c>
      <c r="G18" s="22">
        <v>0.47199999999999998</v>
      </c>
      <c r="H18" s="21" t="s">
        <v>22</v>
      </c>
      <c r="I18" s="21">
        <v>0.878</v>
      </c>
      <c r="J18" s="21" t="s">
        <v>23</v>
      </c>
      <c r="K18" s="21" t="s">
        <v>25</v>
      </c>
      <c r="M18" s="20">
        <f t="shared" ref="M18:P20" si="1">10^D18-1</f>
        <v>6.9799468726797693</v>
      </c>
      <c r="N18" s="20">
        <f t="shared" si="1"/>
        <v>8.3325430079699103</v>
      </c>
      <c r="O18" s="20">
        <f t="shared" si="1"/>
        <v>2.5399734108343477</v>
      </c>
      <c r="P18" s="20">
        <f t="shared" si="1"/>
        <v>1.9648313895243423</v>
      </c>
      <c r="T18" s="102"/>
      <c r="U18" s="58" t="s">
        <v>10</v>
      </c>
      <c r="V18" s="61">
        <v>11</v>
      </c>
      <c r="W18" s="62">
        <v>0.45833333333333331</v>
      </c>
    </row>
    <row r="19" spans="3:23">
      <c r="C19" s="21" t="s">
        <v>33</v>
      </c>
      <c r="D19" s="22">
        <v>0.91</v>
      </c>
      <c r="E19" s="22">
        <v>0.98699999999999999</v>
      </c>
      <c r="F19" s="22">
        <v>0.36099999999999999</v>
      </c>
      <c r="G19" s="22">
        <v>0.38500000000000001</v>
      </c>
      <c r="H19" s="21" t="s">
        <v>23</v>
      </c>
      <c r="I19" s="21">
        <v>0.19700000000000001</v>
      </c>
      <c r="J19" s="21">
        <v>0.50700000000000001</v>
      </c>
      <c r="K19" s="21" t="s">
        <v>25</v>
      </c>
      <c r="M19" s="20">
        <f t="shared" si="1"/>
        <v>7.1283051616409931</v>
      </c>
      <c r="N19" s="20">
        <f t="shared" si="1"/>
        <v>8.7050996724548959</v>
      </c>
      <c r="O19" s="20">
        <f t="shared" si="1"/>
        <v>1.2961486481123621</v>
      </c>
      <c r="P19" s="20">
        <f t="shared" si="1"/>
        <v>1.4266100950824159</v>
      </c>
      <c r="T19" s="100" t="s">
        <v>94</v>
      </c>
      <c r="U19" s="64" t="s">
        <v>102</v>
      </c>
      <c r="V19" s="36">
        <v>8</v>
      </c>
      <c r="W19" s="37">
        <v>0.33333333333333331</v>
      </c>
    </row>
    <row r="20" spans="3:23">
      <c r="C20" s="21" t="s">
        <v>34</v>
      </c>
      <c r="D20" s="22">
        <v>0.89400000000000002</v>
      </c>
      <c r="E20" s="22">
        <v>0.95399999999999996</v>
      </c>
      <c r="F20" s="22">
        <v>0.73799999999999999</v>
      </c>
      <c r="G20" s="22">
        <v>0.55900000000000005</v>
      </c>
      <c r="H20" s="21" t="s">
        <v>22</v>
      </c>
      <c r="I20" s="21">
        <v>9.6000000000000002E-2</v>
      </c>
      <c r="J20" s="21" t="s">
        <v>22</v>
      </c>
      <c r="K20" s="21" t="s">
        <v>25</v>
      </c>
      <c r="M20" s="20">
        <f t="shared" si="1"/>
        <v>6.8342964276621183</v>
      </c>
      <c r="N20" s="20">
        <f t="shared" si="1"/>
        <v>7.9949758153003518</v>
      </c>
      <c r="O20" s="20">
        <f t="shared" si="1"/>
        <v>4.470159628939717</v>
      </c>
      <c r="P20" s="20">
        <f t="shared" si="1"/>
        <v>2.6224299841669869</v>
      </c>
      <c r="T20" s="101"/>
      <c r="U20" s="71" t="s">
        <v>96</v>
      </c>
      <c r="V20" s="56">
        <v>8</v>
      </c>
      <c r="W20" s="57">
        <v>0.33333333333333331</v>
      </c>
    </row>
    <row r="21" spans="3:23">
      <c r="T21" s="101"/>
      <c r="U21" s="65" t="s">
        <v>97</v>
      </c>
      <c r="V21" s="51">
        <v>5</v>
      </c>
      <c r="W21" s="52">
        <v>0.20833333333333334</v>
      </c>
    </row>
    <row r="22" spans="3:23" ht="18" thickBot="1">
      <c r="T22" s="102"/>
      <c r="U22" s="43" t="s">
        <v>77</v>
      </c>
      <c r="V22" s="46">
        <v>3</v>
      </c>
      <c r="W22" s="47">
        <v>0.125</v>
      </c>
    </row>
    <row r="23" spans="3:23">
      <c r="T23" s="100" t="s">
        <v>80</v>
      </c>
      <c r="U23" s="33" t="s">
        <v>81</v>
      </c>
      <c r="V23" s="36">
        <v>6</v>
      </c>
      <c r="W23" s="37">
        <v>0.25</v>
      </c>
    </row>
    <row r="24" spans="3:23">
      <c r="T24" s="101"/>
      <c r="U24" s="48" t="s">
        <v>82</v>
      </c>
      <c r="V24" s="51">
        <v>16</v>
      </c>
      <c r="W24" s="52">
        <v>0.66666666666666663</v>
      </c>
    </row>
    <row r="25" spans="3:23" ht="18" thickBot="1">
      <c r="C25" s="18" t="s">
        <v>15</v>
      </c>
      <c r="D25" s="94" t="s">
        <v>11</v>
      </c>
      <c r="E25" s="94"/>
      <c r="F25" s="94" t="s">
        <v>12</v>
      </c>
      <c r="G25" s="94"/>
      <c r="H25" s="95" t="s">
        <v>18</v>
      </c>
      <c r="I25" s="96"/>
      <c r="J25" s="96"/>
      <c r="K25" s="96" t="s">
        <v>26</v>
      </c>
      <c r="T25" s="102"/>
      <c r="U25" s="38" t="s">
        <v>83</v>
      </c>
      <c r="V25" s="41">
        <v>2</v>
      </c>
      <c r="W25" s="42">
        <v>8.3333333333333329E-2</v>
      </c>
    </row>
    <row r="26" spans="3:23">
      <c r="C26" s="18" t="s">
        <v>14</v>
      </c>
      <c r="D26" s="18" t="s">
        <v>6</v>
      </c>
      <c r="E26" s="18" t="s">
        <v>5</v>
      </c>
      <c r="F26" s="18" t="s">
        <v>6</v>
      </c>
      <c r="G26" s="18" t="s">
        <v>5</v>
      </c>
      <c r="H26" s="19" t="s">
        <v>16</v>
      </c>
      <c r="I26" s="19" t="s">
        <v>7</v>
      </c>
      <c r="J26" s="19" t="s">
        <v>17</v>
      </c>
      <c r="K26" s="96"/>
      <c r="T26" s="97" t="s">
        <v>84</v>
      </c>
      <c r="U26" s="53" t="s">
        <v>104</v>
      </c>
      <c r="V26" s="56">
        <v>2</v>
      </c>
      <c r="W26" s="57">
        <v>8.3333333333333329E-2</v>
      </c>
    </row>
    <row r="27" spans="3:23">
      <c r="C27" s="21" t="s">
        <v>19</v>
      </c>
      <c r="D27" s="22">
        <v>19.183663636815609</v>
      </c>
      <c r="E27" s="22">
        <v>23.322040090738149</v>
      </c>
      <c r="F27" s="22">
        <v>25.791683248190321</v>
      </c>
      <c r="G27" s="22">
        <v>25.853444456585081</v>
      </c>
      <c r="H27" s="23" t="s">
        <v>20</v>
      </c>
      <c r="I27" s="23">
        <v>0.17499999999999999</v>
      </c>
      <c r="J27" s="23">
        <v>0.187</v>
      </c>
      <c r="K27" s="21" t="s">
        <v>25</v>
      </c>
      <c r="T27" s="98"/>
      <c r="U27" s="48" t="s">
        <v>105</v>
      </c>
      <c r="V27" s="51">
        <v>7</v>
      </c>
      <c r="W27" s="52">
        <v>0.29166666666666669</v>
      </c>
    </row>
    <row r="28" spans="3:23">
      <c r="C28" s="21" t="s">
        <v>2</v>
      </c>
      <c r="D28" s="22">
        <v>47.865235934283383</v>
      </c>
      <c r="E28" s="22">
        <v>52.333489548762124</v>
      </c>
      <c r="F28" s="22">
        <v>56.41164622073277</v>
      </c>
      <c r="G28" s="22">
        <v>64.463617406727508</v>
      </c>
      <c r="H28" s="23" t="s">
        <v>20</v>
      </c>
      <c r="I28" s="23">
        <v>5.7000000000000002E-2</v>
      </c>
      <c r="J28" s="23">
        <v>0.69899999999999995</v>
      </c>
      <c r="K28" s="21" t="s">
        <v>25</v>
      </c>
      <c r="T28" s="98"/>
      <c r="U28" s="48" t="s">
        <v>106</v>
      </c>
      <c r="V28" s="51">
        <v>10</v>
      </c>
      <c r="W28" s="52">
        <v>0.41666666666666669</v>
      </c>
    </row>
    <row r="29" spans="3:23">
      <c r="C29" s="21" t="s">
        <v>21</v>
      </c>
      <c r="D29" s="22">
        <v>22.173946499684792</v>
      </c>
      <c r="E29" s="22">
        <v>25.977394324449211</v>
      </c>
      <c r="F29" s="22">
        <v>30.188895840939374</v>
      </c>
      <c r="G29" s="22">
        <v>36.153522909717275</v>
      </c>
      <c r="H29" s="23" t="s">
        <v>22</v>
      </c>
      <c r="I29" s="23" t="s">
        <v>23</v>
      </c>
      <c r="J29" s="23">
        <v>0.87</v>
      </c>
      <c r="K29" s="21" t="s">
        <v>25</v>
      </c>
      <c r="T29" s="98"/>
      <c r="U29" s="48" t="s">
        <v>107</v>
      </c>
      <c r="V29" s="51">
        <v>4</v>
      </c>
      <c r="W29" s="52">
        <v>0.16666666666666666</v>
      </c>
    </row>
    <row r="30" spans="3:23">
      <c r="C30" s="21" t="s">
        <v>24</v>
      </c>
      <c r="D30" s="22">
        <v>24.468302525850415</v>
      </c>
      <c r="E30" s="22">
        <v>27.906798823654771</v>
      </c>
      <c r="F30" s="22">
        <v>33.994516702835746</v>
      </c>
      <c r="G30" s="22">
        <v>42.954161543782462</v>
      </c>
      <c r="H30" s="23" t="s">
        <v>22</v>
      </c>
      <c r="I30" s="23" t="s">
        <v>23</v>
      </c>
      <c r="J30" s="23">
        <v>0.53500000000000003</v>
      </c>
      <c r="K30" s="21" t="s">
        <v>25</v>
      </c>
      <c r="T30" s="98"/>
      <c r="U30" s="48" t="s">
        <v>110</v>
      </c>
      <c r="V30" s="51">
        <v>1</v>
      </c>
      <c r="W30" s="52">
        <v>4.1666666666666664E-2</v>
      </c>
    </row>
    <row r="31" spans="3:23">
      <c r="C31" s="21" t="s">
        <v>27</v>
      </c>
      <c r="D31" s="22">
        <v>79.2</v>
      </c>
      <c r="E31" s="22">
        <v>81.94</v>
      </c>
      <c r="F31" s="22">
        <v>77.78</v>
      </c>
      <c r="G31" s="22">
        <v>58.33</v>
      </c>
      <c r="H31" s="73" t="s">
        <v>23</v>
      </c>
      <c r="I31" s="74">
        <v>0.10299999999999999</v>
      </c>
      <c r="J31" s="74">
        <v>5.0999999999999997E-2</v>
      </c>
      <c r="K31" s="21" t="s">
        <v>35</v>
      </c>
      <c r="T31" s="98"/>
      <c r="U31" s="48" t="s">
        <v>108</v>
      </c>
      <c r="V31" s="51">
        <v>0</v>
      </c>
      <c r="W31" s="52">
        <v>0</v>
      </c>
    </row>
    <row r="32" spans="3:23" ht="18" thickBot="1">
      <c r="C32" s="21" t="s">
        <v>29</v>
      </c>
      <c r="D32" s="22">
        <v>41.25</v>
      </c>
      <c r="E32" s="22">
        <v>54.5</v>
      </c>
      <c r="F32" s="22">
        <v>84.44</v>
      </c>
      <c r="G32" s="22">
        <v>80.33</v>
      </c>
      <c r="H32" s="23" t="s">
        <v>22</v>
      </c>
      <c r="I32" s="23">
        <v>0.40500000000000003</v>
      </c>
      <c r="J32" s="23">
        <v>0.129</v>
      </c>
      <c r="K32" s="21" t="s">
        <v>28</v>
      </c>
      <c r="T32" s="99"/>
      <c r="U32" s="58" t="s">
        <v>109</v>
      </c>
      <c r="V32" s="61">
        <v>0</v>
      </c>
      <c r="W32" s="62">
        <v>0</v>
      </c>
    </row>
    <row r="33" spans="3:23">
      <c r="C33" s="21" t="s">
        <v>30</v>
      </c>
      <c r="D33" s="22">
        <v>5.5510000000000002</v>
      </c>
      <c r="E33" s="22">
        <v>5.6879999999999997</v>
      </c>
      <c r="F33" s="22">
        <v>5.44</v>
      </c>
      <c r="G33" s="22">
        <v>5.399</v>
      </c>
      <c r="H33" s="23" t="s">
        <v>23</v>
      </c>
      <c r="I33" s="23">
        <v>0.60099999999999998</v>
      </c>
      <c r="J33" s="23">
        <v>0.33200000000000002</v>
      </c>
      <c r="K33" s="21" t="s">
        <v>111</v>
      </c>
      <c r="T33" s="100" t="s">
        <v>85</v>
      </c>
      <c r="U33" s="33" t="s">
        <v>88</v>
      </c>
      <c r="V33" s="36">
        <v>22</v>
      </c>
      <c r="W33" s="37">
        <v>0.91666666666666663</v>
      </c>
    </row>
    <row r="34" spans="3:23">
      <c r="D34" s="20"/>
      <c r="E34" s="20"/>
      <c r="F34" s="20"/>
      <c r="G34" s="20"/>
      <c r="T34" s="101"/>
      <c r="U34" s="48" t="s">
        <v>89</v>
      </c>
      <c r="V34" s="51">
        <v>2</v>
      </c>
      <c r="W34" s="52">
        <v>8.3333333333333329E-2</v>
      </c>
    </row>
    <row r="35" spans="3:23">
      <c r="D35" s="20"/>
      <c r="E35" s="20"/>
      <c r="F35" s="20"/>
      <c r="G35" s="20"/>
      <c r="T35" s="101"/>
      <c r="U35" s="48" t="s">
        <v>90</v>
      </c>
      <c r="V35" s="51">
        <v>0</v>
      </c>
      <c r="W35" s="52">
        <v>0</v>
      </c>
    </row>
    <row r="36" spans="3:23" ht="18" thickBot="1">
      <c r="D36" s="20"/>
      <c r="E36" s="20"/>
      <c r="F36" s="20"/>
      <c r="G36" s="20"/>
      <c r="T36" s="102"/>
      <c r="U36" s="38" t="s">
        <v>64</v>
      </c>
      <c r="V36" s="41">
        <v>0</v>
      </c>
      <c r="W36" s="42">
        <v>0</v>
      </c>
    </row>
    <row r="37" spans="3:23">
      <c r="C37" s="18" t="s">
        <v>32</v>
      </c>
      <c r="D37" s="94" t="s">
        <v>11</v>
      </c>
      <c r="E37" s="94"/>
      <c r="F37" s="94" t="s">
        <v>12</v>
      </c>
      <c r="G37" s="94"/>
      <c r="H37" s="95" t="s">
        <v>18</v>
      </c>
      <c r="I37" s="96"/>
      <c r="J37" s="96"/>
      <c r="K37" s="96" t="s">
        <v>26</v>
      </c>
      <c r="T37" s="100" t="s">
        <v>86</v>
      </c>
      <c r="U37" s="33" t="s">
        <v>65</v>
      </c>
      <c r="V37" s="56">
        <v>7</v>
      </c>
      <c r="W37" s="57">
        <v>0.29166666666666669</v>
      </c>
    </row>
    <row r="38" spans="3:23">
      <c r="C38" s="18" t="s">
        <v>14</v>
      </c>
      <c r="D38" s="18" t="s">
        <v>6</v>
      </c>
      <c r="E38" s="18" t="s">
        <v>5</v>
      </c>
      <c r="F38" s="18" t="s">
        <v>6</v>
      </c>
      <c r="G38" s="18" t="s">
        <v>5</v>
      </c>
      <c r="H38" s="19" t="s">
        <v>112</v>
      </c>
      <c r="I38" s="19" t="s">
        <v>7</v>
      </c>
      <c r="J38" s="19" t="s">
        <v>17</v>
      </c>
      <c r="K38" s="96"/>
      <c r="T38" s="101"/>
      <c r="U38" s="53" t="s">
        <v>91</v>
      </c>
      <c r="V38" s="51">
        <v>16</v>
      </c>
      <c r="W38" s="52">
        <v>0.66666666666666663</v>
      </c>
    </row>
    <row r="39" spans="3:23">
      <c r="C39" s="21" t="s">
        <v>31</v>
      </c>
      <c r="D39" s="22">
        <v>6.9799468726797693</v>
      </c>
      <c r="E39" s="22">
        <v>8.3325430079699103</v>
      </c>
      <c r="F39" s="22">
        <v>2.5399734108343477</v>
      </c>
      <c r="G39" s="22">
        <v>1.9648313895243423</v>
      </c>
      <c r="H39" s="21" t="s">
        <v>22</v>
      </c>
      <c r="I39" s="21">
        <v>0.878</v>
      </c>
      <c r="J39" s="21" t="s">
        <v>23</v>
      </c>
      <c r="K39" s="21" t="s">
        <v>25</v>
      </c>
      <c r="T39" s="101"/>
      <c r="U39" s="48" t="s">
        <v>92</v>
      </c>
      <c r="V39" s="51">
        <v>1</v>
      </c>
      <c r="W39" s="52">
        <v>4.1666666666666664E-2</v>
      </c>
    </row>
    <row r="40" spans="3:23">
      <c r="C40" s="21" t="s">
        <v>33</v>
      </c>
      <c r="D40" s="22">
        <v>7.1283051616409931</v>
      </c>
      <c r="E40" s="22">
        <v>8.7050996724548959</v>
      </c>
      <c r="F40" s="22">
        <v>1.2961486481123621</v>
      </c>
      <c r="G40" s="22">
        <v>1.4266100950824159</v>
      </c>
      <c r="H40" s="21" t="s">
        <v>23</v>
      </c>
      <c r="I40" s="21">
        <v>0.19700000000000001</v>
      </c>
      <c r="J40" s="21">
        <v>0.50700000000000001</v>
      </c>
      <c r="K40" s="21" t="s">
        <v>25</v>
      </c>
      <c r="T40" s="101"/>
      <c r="U40" s="48" t="s">
        <v>66</v>
      </c>
      <c r="V40" s="51">
        <v>0</v>
      </c>
      <c r="W40" s="52">
        <v>0</v>
      </c>
    </row>
    <row r="41" spans="3:23" ht="18" thickBot="1">
      <c r="C41" s="21" t="s">
        <v>34</v>
      </c>
      <c r="D41" s="22">
        <v>6.8342964276621183</v>
      </c>
      <c r="E41" s="22">
        <v>7.9949758153003518</v>
      </c>
      <c r="F41" s="22">
        <v>4.470159628939717</v>
      </c>
      <c r="G41" s="22">
        <v>2.6224299841669869</v>
      </c>
      <c r="H41" s="21" t="s">
        <v>22</v>
      </c>
      <c r="I41" s="21">
        <v>9.6000000000000002E-2</v>
      </c>
      <c r="J41" s="21" t="s">
        <v>22</v>
      </c>
      <c r="K41" s="21" t="s">
        <v>25</v>
      </c>
      <c r="T41" s="102"/>
      <c r="U41" s="38" t="s">
        <v>67</v>
      </c>
      <c r="V41" s="61">
        <v>0</v>
      </c>
      <c r="W41" s="62">
        <v>0</v>
      </c>
    </row>
    <row r="42" spans="3:23">
      <c r="T42" s="100" t="s">
        <v>87</v>
      </c>
      <c r="U42" s="33" t="s">
        <v>65</v>
      </c>
      <c r="V42" s="36">
        <v>6</v>
      </c>
      <c r="W42" s="37">
        <v>0.25</v>
      </c>
    </row>
    <row r="43" spans="3:23">
      <c r="T43" s="101"/>
      <c r="U43" s="53" t="s">
        <v>91</v>
      </c>
      <c r="V43" s="51">
        <v>11</v>
      </c>
      <c r="W43" s="52">
        <v>0.45833333333333331</v>
      </c>
    </row>
    <row r="44" spans="3:23">
      <c r="T44" s="101"/>
      <c r="U44" s="48" t="s">
        <v>92</v>
      </c>
      <c r="V44" s="51">
        <v>5</v>
      </c>
      <c r="W44" s="52">
        <v>0.20833333333333334</v>
      </c>
    </row>
    <row r="45" spans="3:23">
      <c r="T45" s="101"/>
      <c r="U45" s="48" t="s">
        <v>66</v>
      </c>
      <c r="V45" s="51">
        <v>2</v>
      </c>
      <c r="W45" s="52">
        <v>8.3333333333333329E-2</v>
      </c>
    </row>
    <row r="46" spans="3:23" ht="18" thickBot="1">
      <c r="F46" t="s">
        <v>139</v>
      </c>
      <c r="I46" t="s">
        <v>140</v>
      </c>
      <c r="T46" s="102"/>
      <c r="U46" s="38" t="s">
        <v>67</v>
      </c>
      <c r="V46" s="41">
        <v>0</v>
      </c>
      <c r="W46" s="42">
        <v>0</v>
      </c>
    </row>
    <row r="47" spans="3:23">
      <c r="E47" s="3" t="s">
        <v>113</v>
      </c>
      <c r="F47" s="3">
        <v>1.357</v>
      </c>
      <c r="G47" s="3">
        <f t="shared" ref="G47:G87" si="2">10^F47-1</f>
        <v>21.750974307720718</v>
      </c>
      <c r="I47" s="3">
        <v>1.2989999999999999</v>
      </c>
      <c r="J47" s="81">
        <f t="shared" ref="J47:J48" si="3">10^I47-1</f>
        <v>18.906733389871871</v>
      </c>
    </row>
    <row r="48" spans="3:23">
      <c r="E48" s="3"/>
      <c r="F48" s="3">
        <v>1.387</v>
      </c>
      <c r="G48" s="3">
        <f t="shared" si="2"/>
        <v>23.378108183687527</v>
      </c>
      <c r="I48" s="3">
        <v>1.4219999999999999</v>
      </c>
      <c r="J48" s="81">
        <f t="shared" si="3"/>
        <v>25.424087573219474</v>
      </c>
    </row>
    <row r="49" spans="5:10">
      <c r="E49" s="3"/>
      <c r="F49" s="3"/>
      <c r="G49" s="3">
        <f t="shared" si="2"/>
        <v>0</v>
      </c>
      <c r="J49" s="20"/>
    </row>
    <row r="50" spans="5:10">
      <c r="E50" s="3" t="s">
        <v>114</v>
      </c>
      <c r="F50" s="3">
        <v>1.7090000000000001</v>
      </c>
      <c r="G50" s="3">
        <f>10^F50-1</f>
        <v>50.168183554030811</v>
      </c>
      <c r="I50" s="3">
        <v>1.6859999999999999</v>
      </c>
      <c r="J50" s="81">
        <f>10^I50-1</f>
        <v>47.528850016212111</v>
      </c>
    </row>
    <row r="51" spans="5:10">
      <c r="E51" s="3"/>
      <c r="F51" s="3">
        <v>1.7889999999999999</v>
      </c>
      <c r="G51" s="3">
        <f t="shared" si="2"/>
        <v>60.517687270986812</v>
      </c>
      <c r="I51" s="3">
        <v>1.756</v>
      </c>
      <c r="J51" s="81">
        <f t="shared" ref="J51" si="4">10^I51-1</f>
        <v>56.016427228074797</v>
      </c>
    </row>
    <row r="52" spans="5:10">
      <c r="E52" s="3"/>
      <c r="F52" s="3"/>
      <c r="G52" s="3">
        <f t="shared" si="2"/>
        <v>0</v>
      </c>
      <c r="J52" s="20"/>
    </row>
    <row r="53" spans="5:10">
      <c r="E53" s="3" t="s">
        <v>115</v>
      </c>
      <c r="F53" s="3">
        <v>1.3640000000000001</v>
      </c>
      <c r="G53" s="3">
        <f t="shared" si="2"/>
        <v>22.120647901755959</v>
      </c>
      <c r="I53" s="3">
        <v>1.3540000000000001</v>
      </c>
      <c r="J53" s="81">
        <f t="shared" ref="J53:J54" si="5">10^I53-1</f>
        <v>21.594357702209791</v>
      </c>
    </row>
    <row r="54" spans="5:10">
      <c r="E54" s="3"/>
      <c r="F54" s="3">
        <v>1.4610000000000001</v>
      </c>
      <c r="G54" s="3">
        <f t="shared" si="2"/>
        <v>27.906798823654771</v>
      </c>
      <c r="I54" s="3">
        <v>1.4810000000000001</v>
      </c>
      <c r="J54" s="81">
        <f t="shared" si="5"/>
        <v>29.269134281013066</v>
      </c>
    </row>
    <row r="55" spans="5:10">
      <c r="E55" s="3"/>
      <c r="F55" s="3"/>
      <c r="G55" s="3">
        <f t="shared" si="2"/>
        <v>0</v>
      </c>
      <c r="J55" s="20"/>
    </row>
    <row r="56" spans="5:10">
      <c r="E56" s="3" t="s">
        <v>116</v>
      </c>
      <c r="F56" s="3">
        <v>1.4330000000000001</v>
      </c>
      <c r="G56" s="3">
        <f t="shared" si="2"/>
        <v>26.10191631890844</v>
      </c>
      <c r="I56" s="3">
        <v>1.401</v>
      </c>
      <c r="J56" s="81">
        <f t="shared" ref="J56:J57" si="6">10^I56-1</f>
        <v>24.176769277588562</v>
      </c>
    </row>
    <row r="57" spans="5:10">
      <c r="E57" s="3"/>
      <c r="F57" s="3">
        <v>1.599</v>
      </c>
      <c r="G57" s="3">
        <f t="shared" si="2"/>
        <v>38.719154946944052</v>
      </c>
      <c r="I57" s="3">
        <v>1.5389999999999999</v>
      </c>
      <c r="J57" s="81">
        <f t="shared" si="6"/>
        <v>33.593937782612201</v>
      </c>
    </row>
    <row r="58" spans="5:10">
      <c r="E58" s="3"/>
      <c r="F58" s="3"/>
      <c r="G58" s="3">
        <f t="shared" si="2"/>
        <v>0</v>
      </c>
    </row>
    <row r="59" spans="5:10">
      <c r="E59" s="3"/>
      <c r="F59" s="3"/>
      <c r="G59" s="3">
        <f t="shared" si="2"/>
        <v>0</v>
      </c>
      <c r="I59" s="3">
        <v>0.01</v>
      </c>
      <c r="J59" s="82">
        <f>10^I59-1</f>
        <v>2.3292992280754099E-2</v>
      </c>
    </row>
    <row r="60" spans="5:10">
      <c r="E60" s="3" t="s">
        <v>117</v>
      </c>
      <c r="F60" s="3">
        <v>0.997</v>
      </c>
      <c r="G60" s="3">
        <f t="shared" si="2"/>
        <v>8.9311604842093413</v>
      </c>
    </row>
    <row r="61" spans="5:10">
      <c r="E61" s="3"/>
      <c r="F61" s="3">
        <v>1.0549999999999999</v>
      </c>
      <c r="G61" s="3">
        <f t="shared" si="2"/>
        <v>10.350108156723152</v>
      </c>
    </row>
    <row r="62" spans="5:10">
      <c r="E62" s="3"/>
      <c r="F62" s="3">
        <v>1.1240000000000001</v>
      </c>
      <c r="G62" s="3">
        <f t="shared" si="2"/>
        <v>12.304544179780917</v>
      </c>
    </row>
    <row r="63" spans="5:10">
      <c r="E63" s="3"/>
      <c r="F63" s="3">
        <v>1.091</v>
      </c>
      <c r="G63" s="3">
        <f t="shared" si="2"/>
        <v>11.331048332289091</v>
      </c>
    </row>
    <row r="64" spans="5:10">
      <c r="E64" s="3"/>
      <c r="F64" s="3"/>
      <c r="G64" s="3">
        <f t="shared" si="2"/>
        <v>0</v>
      </c>
    </row>
    <row r="65" spans="5:7">
      <c r="E65" s="3" t="s">
        <v>118</v>
      </c>
      <c r="F65" s="3">
        <v>0.91</v>
      </c>
      <c r="G65" s="3">
        <f t="shared" si="2"/>
        <v>7.1283051616409931</v>
      </c>
    </row>
    <row r="66" spans="5:7">
      <c r="E66" s="3"/>
      <c r="F66" s="3">
        <v>0.98699999999999999</v>
      </c>
      <c r="G66" s="3">
        <f t="shared" si="2"/>
        <v>8.7050996724548959</v>
      </c>
    </row>
    <row r="67" spans="5:7">
      <c r="E67" s="3"/>
      <c r="F67" s="3">
        <v>0.89400000000000002</v>
      </c>
      <c r="G67" s="3">
        <f t="shared" si="2"/>
        <v>6.8342964276621183</v>
      </c>
    </row>
    <row r="68" spans="5:7">
      <c r="E68" s="3"/>
      <c r="F68" s="3">
        <v>0.95399999999999996</v>
      </c>
      <c r="G68" s="3">
        <f t="shared" si="2"/>
        <v>7.9949758153003518</v>
      </c>
    </row>
    <row r="69" spans="5:7">
      <c r="E69" s="3"/>
      <c r="F69" s="3"/>
      <c r="G69" s="3">
        <f t="shared" si="2"/>
        <v>0</v>
      </c>
    </row>
    <row r="70" spans="5:7">
      <c r="E70" s="3" t="s">
        <v>119</v>
      </c>
      <c r="F70" s="3">
        <v>0.36099999999999999</v>
      </c>
      <c r="G70" s="3">
        <f t="shared" si="2"/>
        <v>1.2961486481123621</v>
      </c>
    </row>
    <row r="71" spans="5:7">
      <c r="E71" s="3"/>
      <c r="F71" s="3">
        <v>0.38500000000000001</v>
      </c>
      <c r="G71" s="3">
        <f t="shared" si="2"/>
        <v>1.4266100950824159</v>
      </c>
    </row>
    <row r="72" spans="5:7">
      <c r="E72" s="3"/>
      <c r="F72" s="3">
        <v>0.73799999999999999</v>
      </c>
      <c r="G72" s="3">
        <f t="shared" si="2"/>
        <v>4.470159628939717</v>
      </c>
    </row>
    <row r="73" spans="5:7">
      <c r="E73" s="3"/>
      <c r="F73" s="3">
        <v>0.55900000000000005</v>
      </c>
      <c r="G73" s="3">
        <f t="shared" si="2"/>
        <v>2.6224299841669869</v>
      </c>
    </row>
    <row r="75" spans="5:7">
      <c r="E75" t="s">
        <v>120</v>
      </c>
      <c r="F75" s="3">
        <v>0.40200000000000002</v>
      </c>
      <c r="G75" s="3">
        <f t="shared" si="2"/>
        <v>1.5234807724805752</v>
      </c>
    </row>
    <row r="76" spans="5:7">
      <c r="F76" s="3">
        <v>0.63700000000000001</v>
      </c>
      <c r="G76" s="3">
        <f t="shared" si="2"/>
        <v>3.33510878387529</v>
      </c>
    </row>
    <row r="77" spans="5:7">
      <c r="E77" t="s">
        <v>121</v>
      </c>
      <c r="F77" s="3">
        <v>0.379</v>
      </c>
      <c r="G77" s="3">
        <f t="shared" si="2"/>
        <v>1.393315756405388</v>
      </c>
    </row>
    <row r="78" spans="5:7">
      <c r="F78" s="3">
        <v>0.497</v>
      </c>
      <c r="G78" s="3">
        <f t="shared" si="2"/>
        <v>2.1405086938762174</v>
      </c>
    </row>
    <row r="79" spans="5:7">
      <c r="E79" t="s">
        <v>122</v>
      </c>
      <c r="F79" s="3">
        <v>3.7999999999999999E-2</v>
      </c>
      <c r="G79" s="3">
        <f t="shared" si="2"/>
        <v>9.1440336448756598E-2</v>
      </c>
    </row>
    <row r="80" spans="5:7">
      <c r="F80" s="3">
        <v>0.20499999999999999</v>
      </c>
      <c r="G80" s="3">
        <f t="shared" si="2"/>
        <v>0.60324539069004146</v>
      </c>
    </row>
    <row r="82" spans="5:7">
      <c r="E82" t="s">
        <v>123</v>
      </c>
      <c r="F82" s="3">
        <v>0.84299999999999997</v>
      </c>
      <c r="G82" s="3">
        <f t="shared" si="2"/>
        <v>5.9662651411076872</v>
      </c>
    </row>
    <row r="83" spans="5:7">
      <c r="F83" s="3">
        <v>0.90300000000000002</v>
      </c>
      <c r="G83" s="3">
        <f t="shared" si="2"/>
        <v>6.9983425500702854</v>
      </c>
    </row>
    <row r="84" spans="5:7">
      <c r="E84" t="s">
        <v>124</v>
      </c>
      <c r="F84" s="3">
        <v>0.9</v>
      </c>
      <c r="G84" s="3">
        <f t="shared" si="2"/>
        <v>6.9432823472428176</v>
      </c>
    </row>
    <row r="85" spans="5:7">
      <c r="F85" s="3">
        <v>1.02</v>
      </c>
      <c r="G85" s="3">
        <f t="shared" si="2"/>
        <v>9.4712854805089997</v>
      </c>
    </row>
    <row r="86" spans="5:7">
      <c r="E86" t="s">
        <v>125</v>
      </c>
      <c r="F86" s="3">
        <v>0.52800000000000002</v>
      </c>
      <c r="G86" s="3">
        <f t="shared" si="2"/>
        <v>2.3728730865886893</v>
      </c>
    </row>
    <row r="87" spans="5:7">
      <c r="F87" s="3">
        <v>0.67500000000000004</v>
      </c>
      <c r="G87" s="3">
        <f t="shared" si="2"/>
        <v>3.7315125896148054</v>
      </c>
    </row>
  </sheetData>
  <mergeCells count="26">
    <mergeCell ref="T4:T5"/>
    <mergeCell ref="T6:T8"/>
    <mergeCell ref="T9:T15"/>
    <mergeCell ref="T16:T18"/>
    <mergeCell ref="T23:T25"/>
    <mergeCell ref="T26:T32"/>
    <mergeCell ref="T33:T36"/>
    <mergeCell ref="T37:T41"/>
    <mergeCell ref="T42:T46"/>
    <mergeCell ref="T19:T22"/>
    <mergeCell ref="D4:E4"/>
    <mergeCell ref="F4:G4"/>
    <mergeCell ref="H4:J4"/>
    <mergeCell ref="K4:K5"/>
    <mergeCell ref="D16:E16"/>
    <mergeCell ref="F16:G16"/>
    <mergeCell ref="H16:J16"/>
    <mergeCell ref="K16:K17"/>
    <mergeCell ref="D25:E25"/>
    <mergeCell ref="F25:G25"/>
    <mergeCell ref="H25:J25"/>
    <mergeCell ref="K25:K26"/>
    <mergeCell ref="D37:E37"/>
    <mergeCell ref="F37:G37"/>
    <mergeCell ref="H37:J37"/>
    <mergeCell ref="K37:K3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Z308"/>
  <sheetViews>
    <sheetView zoomScale="90" zoomScaleNormal="90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S2" sqref="S2"/>
    </sheetView>
  </sheetViews>
  <sheetFormatPr defaultColWidth="10.69921875" defaultRowHeight="13.2"/>
  <cols>
    <col min="1" max="2" width="3" style="3" customWidth="1"/>
    <col min="3" max="3" width="4.59765625" style="3" customWidth="1"/>
    <col min="4" max="4" width="5" style="3" customWidth="1"/>
    <col min="5" max="5" width="7.296875" style="3" customWidth="1"/>
    <col min="6" max="6" width="6.8984375" style="3" customWidth="1"/>
    <col min="7" max="7" width="11.19921875" style="3" bestFit="1" customWidth="1"/>
    <col min="8" max="8" width="3.8984375" style="90" customWidth="1"/>
    <col min="9" max="9" width="4.796875" style="90" customWidth="1"/>
    <col min="10" max="10" width="4.09765625" style="90" customWidth="1"/>
    <col min="11" max="11" width="5" style="90" customWidth="1"/>
    <col min="12" max="12" width="3.59765625" style="90" customWidth="1"/>
    <col min="13" max="13" width="8" style="90" bestFit="1" customWidth="1"/>
    <col min="14" max="14" width="11.296875" style="90" bestFit="1" customWidth="1"/>
    <col min="15" max="15" width="6" style="90" customWidth="1"/>
    <col min="16" max="16" width="4.19921875" style="3" customWidth="1"/>
    <col min="17" max="17" width="5" style="3" customWidth="1"/>
    <col min="18" max="18" width="10.3984375" style="3" bestFit="1" customWidth="1"/>
    <col min="19" max="20" width="11.19921875" style="3" bestFit="1" customWidth="1"/>
    <col min="21" max="21" width="11.69921875" style="3" bestFit="1" customWidth="1"/>
    <col min="22" max="22" width="4.69921875" style="3" customWidth="1"/>
    <col min="23" max="23" width="5" style="90" customWidth="1"/>
    <col min="24" max="24" width="5.09765625" style="3" customWidth="1"/>
    <col min="25" max="25" width="5.296875" style="3" customWidth="1"/>
    <col min="26" max="26" width="9.09765625" style="3" customWidth="1"/>
    <col min="27" max="16384" width="10.69921875" style="3"/>
  </cols>
  <sheetData>
    <row r="1" spans="1:26">
      <c r="A1" s="1" t="s">
        <v>4</v>
      </c>
      <c r="B1" s="1" t="s">
        <v>146</v>
      </c>
      <c r="C1" s="1" t="s">
        <v>148</v>
      </c>
      <c r="D1" s="1" t="s">
        <v>147</v>
      </c>
      <c r="E1" s="1" t="s">
        <v>153</v>
      </c>
      <c r="F1" s="1" t="s">
        <v>1</v>
      </c>
      <c r="G1" s="1" t="s">
        <v>13</v>
      </c>
      <c r="H1" s="91" t="s">
        <v>145</v>
      </c>
      <c r="I1" s="91" t="s">
        <v>3</v>
      </c>
      <c r="J1" s="87" t="s">
        <v>155</v>
      </c>
      <c r="K1" s="87" t="s">
        <v>161</v>
      </c>
      <c r="L1" s="87" t="s">
        <v>215</v>
      </c>
      <c r="M1" s="87" t="s">
        <v>213</v>
      </c>
      <c r="N1" s="87" t="s">
        <v>212</v>
      </c>
      <c r="O1" s="91" t="s">
        <v>158</v>
      </c>
      <c r="P1" s="6" t="s">
        <v>159</v>
      </c>
      <c r="Q1" s="6" t="s">
        <v>160</v>
      </c>
      <c r="R1" s="6" t="s">
        <v>214</v>
      </c>
      <c r="S1" s="6" t="s">
        <v>222</v>
      </c>
      <c r="T1" s="6" t="s">
        <v>223</v>
      </c>
      <c r="U1" s="6" t="s">
        <v>224</v>
      </c>
      <c r="V1" s="6" t="s">
        <v>225</v>
      </c>
      <c r="W1" s="91" t="s">
        <v>226</v>
      </c>
      <c r="X1" s="6" t="s">
        <v>156</v>
      </c>
      <c r="Y1" s="6" t="s">
        <v>157</v>
      </c>
      <c r="Z1" s="1" t="s">
        <v>227</v>
      </c>
    </row>
    <row r="2" spans="1:26">
      <c r="A2" s="4">
        <v>1</v>
      </c>
      <c r="B2" s="4" t="s">
        <v>151</v>
      </c>
      <c r="C2" s="4" t="s">
        <v>150</v>
      </c>
      <c r="D2" s="5">
        <v>1</v>
      </c>
      <c r="E2" s="5">
        <v>11</v>
      </c>
      <c r="F2" s="4">
        <f t="shared" ref="F2:F65" si="0">N2-M2</f>
        <v>10.5</v>
      </c>
      <c r="G2" s="4">
        <f t="shared" ref="G2:G65" si="1">LOG10(F2+1)</f>
        <v>1.0606978403536116</v>
      </c>
      <c r="H2" s="5">
        <v>1</v>
      </c>
      <c r="I2" s="5">
        <v>6</v>
      </c>
      <c r="J2" s="5">
        <v>0</v>
      </c>
      <c r="K2" s="5"/>
      <c r="L2" s="5">
        <v>1</v>
      </c>
      <c r="M2" s="5">
        <v>558.1</v>
      </c>
      <c r="N2" s="5">
        <v>568.6</v>
      </c>
      <c r="O2" s="116">
        <v>3.3670000000000755</v>
      </c>
      <c r="P2" s="115">
        <v>0.41599999999993997</v>
      </c>
      <c r="Q2" s="115">
        <v>3.4750000000001364</v>
      </c>
      <c r="R2" s="115">
        <v>7.2580000000001519</v>
      </c>
      <c r="S2" s="4">
        <f t="shared" ref="S2:S65" si="2">LOG10(O2+1)</f>
        <v>0.64018319192134765</v>
      </c>
      <c r="T2" s="4">
        <f t="shared" ref="T2:T65" si="3">LOG10(P2+1)</f>
        <v>0.1510632533537318</v>
      </c>
      <c r="U2" s="4">
        <f t="shared" ref="U2:U65" si="4">LOG10(Q2+1)</f>
        <v>0.65079303965194402</v>
      </c>
      <c r="V2" s="4">
        <f t="shared" ref="V2:V65" si="5">LOG10(R2+1)</f>
        <v>0.91687487853869132</v>
      </c>
      <c r="W2" s="116">
        <v>33</v>
      </c>
      <c r="X2" s="115">
        <v>6</v>
      </c>
      <c r="Y2" s="115">
        <v>3</v>
      </c>
      <c r="Z2" s="5">
        <f>X2-Y2</f>
        <v>3</v>
      </c>
    </row>
    <row r="3" spans="1:26">
      <c r="A3" s="4">
        <v>1</v>
      </c>
      <c r="B3" s="4" t="s">
        <v>151</v>
      </c>
      <c r="C3" s="4" t="s">
        <v>149</v>
      </c>
      <c r="D3" s="5">
        <v>2</v>
      </c>
      <c r="E3" s="5">
        <v>5</v>
      </c>
      <c r="F3" s="4">
        <f t="shared" si="0"/>
        <v>16.200000000000045</v>
      </c>
      <c r="G3" s="4">
        <f t="shared" si="1"/>
        <v>1.23552844690755</v>
      </c>
      <c r="H3" s="5">
        <v>0</v>
      </c>
      <c r="I3" s="5">
        <v>5</v>
      </c>
      <c r="J3" s="5">
        <v>0</v>
      </c>
      <c r="K3" s="5"/>
      <c r="L3" s="5">
        <v>4</v>
      </c>
      <c r="M3" s="5">
        <v>306.89999999999998</v>
      </c>
      <c r="N3" s="5">
        <v>323.10000000000002</v>
      </c>
      <c r="O3" s="116">
        <v>1.9650000000001455</v>
      </c>
      <c r="P3" s="115">
        <v>1.7309999999999945</v>
      </c>
      <c r="Q3" s="115">
        <v>2.1869999999998981</v>
      </c>
      <c r="R3" s="115">
        <v>5.8830000000000382</v>
      </c>
      <c r="S3" s="4">
        <f t="shared" si="2"/>
        <v>0.47202469770030275</v>
      </c>
      <c r="T3" s="4">
        <f t="shared" si="3"/>
        <v>0.43632170013973243</v>
      </c>
      <c r="U3" s="4">
        <f t="shared" si="4"/>
        <v>0.50338206347371883</v>
      </c>
      <c r="V3" s="4">
        <f t="shared" si="5"/>
        <v>0.83777776955373573</v>
      </c>
      <c r="W3" s="116">
        <v>38</v>
      </c>
      <c r="X3" s="115">
        <v>15</v>
      </c>
      <c r="Y3" s="115">
        <v>9</v>
      </c>
      <c r="Z3" s="5">
        <f t="shared" ref="Z3:Z66" si="6">X3-Y3</f>
        <v>6</v>
      </c>
    </row>
    <row r="4" spans="1:26">
      <c r="A4" s="4">
        <v>1</v>
      </c>
      <c r="B4" s="4" t="s">
        <v>151</v>
      </c>
      <c r="C4" s="4" t="s">
        <v>154</v>
      </c>
      <c r="D4" s="5">
        <v>3</v>
      </c>
      <c r="E4" s="5">
        <v>1</v>
      </c>
      <c r="F4" s="4">
        <f t="shared" si="0"/>
        <v>10.200000000000003</v>
      </c>
      <c r="G4" s="4">
        <f t="shared" si="1"/>
        <v>1.0492180226701817</v>
      </c>
      <c r="H4" s="5">
        <v>1</v>
      </c>
      <c r="I4" s="5">
        <v>2</v>
      </c>
      <c r="J4" s="5">
        <v>1</v>
      </c>
      <c r="K4" s="5"/>
      <c r="L4" s="5">
        <v>5</v>
      </c>
      <c r="M4" s="5">
        <v>99.5</v>
      </c>
      <c r="N4" s="5">
        <v>109.7</v>
      </c>
      <c r="O4" s="116">
        <v>1.282999999999987</v>
      </c>
      <c r="P4" s="115">
        <v>1.285000000000025</v>
      </c>
      <c r="Q4" s="115">
        <v>1.282999999999987</v>
      </c>
      <c r="R4" s="115">
        <v>3.8509999999999991</v>
      </c>
      <c r="S4" s="4">
        <f t="shared" si="2"/>
        <v>0.35850591149023281</v>
      </c>
      <c r="T4" s="4">
        <f t="shared" si="3"/>
        <v>0.35888620440587377</v>
      </c>
      <c r="U4" s="4">
        <f t="shared" si="4"/>
        <v>0.35850591149023281</v>
      </c>
      <c r="V4" s="4">
        <f t="shared" si="5"/>
        <v>0.68583127462606353</v>
      </c>
      <c r="W4" s="116">
        <v>23</v>
      </c>
      <c r="X4" s="115">
        <v>15</v>
      </c>
      <c r="Y4" s="115">
        <v>6</v>
      </c>
      <c r="Z4" s="5">
        <f t="shared" si="6"/>
        <v>9</v>
      </c>
    </row>
    <row r="5" spans="1:26">
      <c r="A5" s="4">
        <v>1</v>
      </c>
      <c r="B5" s="4" t="s">
        <v>151</v>
      </c>
      <c r="C5" s="4" t="s">
        <v>149</v>
      </c>
      <c r="D5" s="5">
        <v>4</v>
      </c>
      <c r="E5" s="5">
        <v>7</v>
      </c>
      <c r="F5" s="4">
        <f t="shared" si="0"/>
        <v>10.600000000000023</v>
      </c>
      <c r="G5" s="4">
        <f t="shared" si="1"/>
        <v>1.0644579892269193</v>
      </c>
      <c r="H5" s="5">
        <v>1</v>
      </c>
      <c r="I5" s="5">
        <v>6</v>
      </c>
      <c r="J5" s="5">
        <v>0</v>
      </c>
      <c r="K5" s="5"/>
      <c r="L5" s="5">
        <v>3</v>
      </c>
      <c r="M5" s="5">
        <v>404.7</v>
      </c>
      <c r="N5" s="5">
        <v>415.3</v>
      </c>
      <c r="O5" s="116">
        <v>1.8310000000000173</v>
      </c>
      <c r="P5" s="115">
        <v>1.7000000000001592</v>
      </c>
      <c r="Q5" s="115">
        <v>1.6010000000001128</v>
      </c>
      <c r="R5" s="115">
        <v>5.1320000000002892</v>
      </c>
      <c r="S5" s="4">
        <f t="shared" si="2"/>
        <v>0.45193986936510566</v>
      </c>
      <c r="T5" s="4">
        <f t="shared" si="3"/>
        <v>0.4313637641590129</v>
      </c>
      <c r="U5" s="4">
        <f t="shared" si="4"/>
        <v>0.41514035219589157</v>
      </c>
      <c r="V5" s="4">
        <f t="shared" si="5"/>
        <v>0.78760214618235802</v>
      </c>
      <c r="W5" s="116">
        <v>28</v>
      </c>
      <c r="X5" s="115">
        <v>8</v>
      </c>
      <c r="Y5" s="115">
        <v>3</v>
      </c>
      <c r="Z5" s="5">
        <f t="shared" si="6"/>
        <v>5</v>
      </c>
    </row>
    <row r="6" spans="1:26">
      <c r="A6" s="4">
        <v>1</v>
      </c>
      <c r="B6" s="4" t="s">
        <v>151</v>
      </c>
      <c r="C6" s="4" t="s">
        <v>150</v>
      </c>
      <c r="D6" s="5">
        <v>5</v>
      </c>
      <c r="E6" s="5">
        <v>9</v>
      </c>
      <c r="F6" s="4">
        <f t="shared" si="0"/>
        <v>6.7000000000000455</v>
      </c>
      <c r="G6" s="4">
        <f t="shared" si="1"/>
        <v>0.8864907251724844</v>
      </c>
      <c r="H6" s="5">
        <v>1</v>
      </c>
      <c r="I6" s="5">
        <v>6</v>
      </c>
      <c r="J6" s="5">
        <v>0</v>
      </c>
      <c r="K6" s="5"/>
      <c r="L6" s="5">
        <v>2</v>
      </c>
      <c r="M6" s="5">
        <v>471.9</v>
      </c>
      <c r="N6" s="5">
        <v>478.6</v>
      </c>
      <c r="O6" s="116">
        <v>0.90000000000003411</v>
      </c>
      <c r="P6" s="115"/>
      <c r="Q6" s="115">
        <v>2.432999999999879</v>
      </c>
      <c r="R6" s="115">
        <v>3.3329999999999131</v>
      </c>
      <c r="S6" s="4">
        <f t="shared" si="2"/>
        <v>0.27875360095283674</v>
      </c>
      <c r="T6" s="4">
        <f t="shared" si="3"/>
        <v>0</v>
      </c>
      <c r="U6" s="4">
        <f t="shared" si="4"/>
        <v>0.53567380342573478</v>
      </c>
      <c r="V6" s="4">
        <f t="shared" si="5"/>
        <v>0.63678868903436614</v>
      </c>
      <c r="W6" s="116">
        <v>20</v>
      </c>
      <c r="X6" s="115">
        <v>5</v>
      </c>
      <c r="Y6" s="115">
        <v>3</v>
      </c>
      <c r="Z6" s="5">
        <f t="shared" si="6"/>
        <v>2</v>
      </c>
    </row>
    <row r="7" spans="1:26">
      <c r="A7" s="4">
        <v>1</v>
      </c>
      <c r="B7" s="4" t="s">
        <v>151</v>
      </c>
      <c r="C7" s="4" t="s">
        <v>154</v>
      </c>
      <c r="D7" s="5">
        <v>6</v>
      </c>
      <c r="E7" s="5">
        <v>3</v>
      </c>
      <c r="F7" s="4">
        <f t="shared" si="0"/>
        <v>4.4000000000000057</v>
      </c>
      <c r="G7" s="4">
        <f t="shared" si="1"/>
        <v>0.73239375982296895</v>
      </c>
      <c r="H7" s="5">
        <v>1</v>
      </c>
      <c r="I7" s="5">
        <v>4</v>
      </c>
      <c r="J7" s="5">
        <v>1</v>
      </c>
      <c r="K7" s="5"/>
      <c r="L7" s="5">
        <v>1</v>
      </c>
      <c r="M7" s="5">
        <v>172.6</v>
      </c>
      <c r="N7" s="5">
        <v>177</v>
      </c>
      <c r="O7" s="116">
        <v>1.2159999999999798</v>
      </c>
      <c r="P7" s="115">
        <v>0.33299999999996999</v>
      </c>
      <c r="Q7" s="115">
        <v>0.14999999999997726</v>
      </c>
      <c r="R7" s="115">
        <v>1.698999999999927</v>
      </c>
      <c r="S7" s="4">
        <f t="shared" si="2"/>
        <v>0.34556975605638818</v>
      </c>
      <c r="T7" s="4">
        <f t="shared" si="3"/>
        <v>0.12483014941384943</v>
      </c>
      <c r="U7" s="4">
        <f t="shared" si="4"/>
        <v>6.0697840353603094E-2</v>
      </c>
      <c r="V7" s="4">
        <f t="shared" si="5"/>
        <v>0.43120288455650491</v>
      </c>
      <c r="W7" s="116">
        <v>8</v>
      </c>
      <c r="X7" s="115">
        <v>4</v>
      </c>
      <c r="Y7" s="115">
        <v>2</v>
      </c>
      <c r="Z7" s="5">
        <f t="shared" si="6"/>
        <v>2</v>
      </c>
    </row>
    <row r="8" spans="1:26">
      <c r="A8" s="4">
        <v>1</v>
      </c>
      <c r="B8" s="4" t="s">
        <v>152</v>
      </c>
      <c r="C8" s="4" t="s">
        <v>150</v>
      </c>
      <c r="D8" s="5">
        <v>7</v>
      </c>
      <c r="E8" s="5">
        <v>10</v>
      </c>
      <c r="F8" s="4">
        <f t="shared" si="0"/>
        <v>4.8000000000000114</v>
      </c>
      <c r="G8" s="4">
        <f t="shared" si="1"/>
        <v>0.76342799356293811</v>
      </c>
      <c r="H8" s="5">
        <v>1</v>
      </c>
      <c r="I8" s="5">
        <v>4</v>
      </c>
      <c r="J8" s="5">
        <v>0</v>
      </c>
      <c r="K8" s="5"/>
      <c r="L8" s="5">
        <v>2</v>
      </c>
      <c r="M8" s="5">
        <v>511.2</v>
      </c>
      <c r="N8" s="5">
        <v>516</v>
      </c>
      <c r="O8" s="116">
        <v>1.6490000000000009</v>
      </c>
      <c r="P8" s="115"/>
      <c r="Q8" s="115">
        <v>0.95099999999996498</v>
      </c>
      <c r="R8" s="115">
        <v>2.5999999999999659</v>
      </c>
      <c r="S8" s="4">
        <f t="shared" si="2"/>
        <v>0.42308195829723116</v>
      </c>
      <c r="T8" s="4">
        <f t="shared" si="3"/>
        <v>0</v>
      </c>
      <c r="U8" s="4">
        <f t="shared" si="4"/>
        <v>0.2902572693945103</v>
      </c>
      <c r="V8" s="4">
        <f t="shared" si="5"/>
        <v>0.55630250076728316</v>
      </c>
      <c r="W8" s="116">
        <v>12</v>
      </c>
      <c r="X8" s="115">
        <v>4</v>
      </c>
      <c r="Y8" s="115">
        <v>2</v>
      </c>
      <c r="Z8" s="5">
        <f t="shared" si="6"/>
        <v>2</v>
      </c>
    </row>
    <row r="9" spans="1:26">
      <c r="A9" s="4">
        <v>1</v>
      </c>
      <c r="B9" s="4" t="s">
        <v>152</v>
      </c>
      <c r="C9" s="4" t="s">
        <v>154</v>
      </c>
      <c r="D9" s="5">
        <v>8</v>
      </c>
      <c r="E9" s="5">
        <v>4</v>
      </c>
      <c r="F9" s="4">
        <f t="shared" si="0"/>
        <v>4.6999999999999886</v>
      </c>
      <c r="G9" s="4">
        <f t="shared" si="1"/>
        <v>0.75587485567249058</v>
      </c>
      <c r="H9" s="5">
        <v>1</v>
      </c>
      <c r="I9" s="5">
        <v>4</v>
      </c>
      <c r="J9" s="5">
        <v>0</v>
      </c>
      <c r="K9" s="5"/>
      <c r="L9" s="5">
        <v>1</v>
      </c>
      <c r="M9" s="5">
        <v>211.9</v>
      </c>
      <c r="N9" s="5">
        <v>216.6</v>
      </c>
      <c r="O9" s="116">
        <v>0.98099999999996612</v>
      </c>
      <c r="P9" s="115">
        <v>0.41299999999998249</v>
      </c>
      <c r="Q9" s="115">
        <v>0.54899999999997817</v>
      </c>
      <c r="R9" s="115">
        <v>1.9429999999999268</v>
      </c>
      <c r="S9" s="4">
        <f t="shared" si="2"/>
        <v>0.29688447553853964</v>
      </c>
      <c r="T9" s="4">
        <f t="shared" si="3"/>
        <v>0.15014216184855322</v>
      </c>
      <c r="U9" s="4">
        <f t="shared" si="4"/>
        <v>0.19005141775919987</v>
      </c>
      <c r="V9" s="4">
        <f t="shared" si="5"/>
        <v>0.46879026209960012</v>
      </c>
      <c r="W9" s="116">
        <v>12</v>
      </c>
      <c r="X9" s="115">
        <v>1</v>
      </c>
      <c r="Y9" s="115">
        <v>1</v>
      </c>
      <c r="Z9" s="5">
        <f t="shared" si="6"/>
        <v>0</v>
      </c>
    </row>
    <row r="10" spans="1:26">
      <c r="A10" s="4">
        <v>1</v>
      </c>
      <c r="B10" s="4" t="s">
        <v>152</v>
      </c>
      <c r="C10" s="4" t="s">
        <v>154</v>
      </c>
      <c r="D10" s="5">
        <v>9</v>
      </c>
      <c r="E10" s="5">
        <v>2</v>
      </c>
      <c r="F10" s="4">
        <f t="shared" si="0"/>
        <v>6.5999999999999943</v>
      </c>
      <c r="G10" s="4">
        <f t="shared" si="1"/>
        <v>0.88081359228079104</v>
      </c>
      <c r="H10" s="5">
        <v>1</v>
      </c>
      <c r="I10" s="5">
        <v>5</v>
      </c>
      <c r="J10" s="5">
        <v>0</v>
      </c>
      <c r="K10" s="5"/>
      <c r="L10" s="5">
        <v>2</v>
      </c>
      <c r="M10" s="5">
        <v>137.5</v>
      </c>
      <c r="N10" s="5">
        <v>144.1</v>
      </c>
      <c r="O10" s="116">
        <v>2.8170000000000357</v>
      </c>
      <c r="P10" s="115"/>
      <c r="Q10" s="115">
        <v>1.0999999999999943</v>
      </c>
      <c r="R10" s="115">
        <v>3.91700000000003</v>
      </c>
      <c r="S10" s="4">
        <f t="shared" si="2"/>
        <v>0.58172215994910281</v>
      </c>
      <c r="T10" s="4">
        <f t="shared" si="3"/>
        <v>0</v>
      </c>
      <c r="U10" s="4">
        <f t="shared" si="4"/>
        <v>0.32221929473391808</v>
      </c>
      <c r="V10" s="4">
        <f t="shared" si="5"/>
        <v>0.69170020829016421</v>
      </c>
      <c r="W10" s="116">
        <v>14</v>
      </c>
      <c r="X10" s="115">
        <v>5</v>
      </c>
      <c r="Y10" s="115">
        <v>3</v>
      </c>
      <c r="Z10" s="5">
        <f t="shared" si="6"/>
        <v>2</v>
      </c>
    </row>
    <row r="11" spans="1:26">
      <c r="A11" s="5">
        <v>1</v>
      </c>
      <c r="B11" s="4" t="s">
        <v>152</v>
      </c>
      <c r="C11" s="4" t="s">
        <v>149</v>
      </c>
      <c r="D11" s="5">
        <v>10</v>
      </c>
      <c r="E11" s="5">
        <v>6</v>
      </c>
      <c r="F11" s="4">
        <f t="shared" si="0"/>
        <v>7.3999999999999773</v>
      </c>
      <c r="G11" s="4">
        <f t="shared" si="1"/>
        <v>0.92427928606188048</v>
      </c>
      <c r="H11" s="5">
        <v>1</v>
      </c>
      <c r="I11" s="5">
        <v>4</v>
      </c>
      <c r="J11" s="5">
        <v>0</v>
      </c>
      <c r="K11" s="5"/>
      <c r="L11" s="5">
        <v>1</v>
      </c>
      <c r="M11" s="5">
        <v>373.3</v>
      </c>
      <c r="N11" s="5">
        <v>380.7</v>
      </c>
      <c r="O11" s="116">
        <v>4.0679999999999836</v>
      </c>
      <c r="P11" s="115">
        <v>1.1819999999999595</v>
      </c>
      <c r="Q11" s="115">
        <v>0.35000000000002274</v>
      </c>
      <c r="R11" s="115">
        <v>5.5999999999999659</v>
      </c>
      <c r="S11" s="4">
        <f t="shared" si="2"/>
        <v>0.70483660621140232</v>
      </c>
      <c r="T11" s="4">
        <f t="shared" si="3"/>
        <v>0.33885474625231504</v>
      </c>
      <c r="U11" s="4">
        <f t="shared" si="4"/>
        <v>0.13033376849501344</v>
      </c>
      <c r="V11" s="4">
        <f t="shared" si="5"/>
        <v>0.81954393554186644</v>
      </c>
      <c r="W11" s="116">
        <v>18</v>
      </c>
      <c r="X11" s="115">
        <v>2</v>
      </c>
      <c r="Y11" s="115">
        <v>2</v>
      </c>
      <c r="Z11" s="5">
        <f t="shared" si="6"/>
        <v>0</v>
      </c>
    </row>
    <row r="12" spans="1:26">
      <c r="A12" s="4">
        <v>1</v>
      </c>
      <c r="B12" s="4" t="s">
        <v>152</v>
      </c>
      <c r="C12" s="4" t="s">
        <v>150</v>
      </c>
      <c r="D12" s="5">
        <v>11</v>
      </c>
      <c r="E12" s="5">
        <v>12</v>
      </c>
      <c r="F12" s="4">
        <f t="shared" si="0"/>
        <v>6.9000000000000909</v>
      </c>
      <c r="G12" s="4">
        <f t="shared" si="1"/>
        <v>0.89762709129044638</v>
      </c>
      <c r="H12" s="5">
        <v>1</v>
      </c>
      <c r="I12" s="5">
        <v>5</v>
      </c>
      <c r="J12" s="5">
        <v>0</v>
      </c>
      <c r="K12" s="5"/>
      <c r="L12" s="5">
        <v>1</v>
      </c>
      <c r="M12" s="5">
        <v>593.29999999999995</v>
      </c>
      <c r="N12" s="5">
        <v>600.20000000000005</v>
      </c>
      <c r="O12" s="116">
        <v>2.3489999999999327</v>
      </c>
      <c r="P12" s="115"/>
      <c r="Q12" s="115">
        <v>1.0500000000001819</v>
      </c>
      <c r="R12" s="115">
        <v>3.3990000000001146</v>
      </c>
      <c r="S12" s="4">
        <f t="shared" si="2"/>
        <v>0.52491514753985813</v>
      </c>
      <c r="T12" s="4">
        <f t="shared" si="3"/>
        <v>0</v>
      </c>
      <c r="U12" s="4">
        <f t="shared" si="4"/>
        <v>0.31175386105579284</v>
      </c>
      <c r="V12" s="4">
        <f t="shared" si="5"/>
        <v>0.64335396197687422</v>
      </c>
      <c r="W12" s="116">
        <v>20</v>
      </c>
      <c r="X12" s="115">
        <v>1</v>
      </c>
      <c r="Y12" s="115">
        <v>1</v>
      </c>
      <c r="Z12" s="5">
        <f t="shared" si="6"/>
        <v>0</v>
      </c>
    </row>
    <row r="13" spans="1:26">
      <c r="A13" s="4">
        <v>1</v>
      </c>
      <c r="B13" s="4" t="s">
        <v>152</v>
      </c>
      <c r="C13" s="4" t="s">
        <v>149</v>
      </c>
      <c r="D13" s="5">
        <v>12</v>
      </c>
      <c r="E13" s="5">
        <v>8</v>
      </c>
      <c r="F13" s="4">
        <f t="shared" si="0"/>
        <v>6.1999999999999886</v>
      </c>
      <c r="G13" s="4">
        <f t="shared" si="1"/>
        <v>0.85733249643126774</v>
      </c>
      <c r="H13" s="5">
        <v>1</v>
      </c>
      <c r="I13" s="5">
        <v>5</v>
      </c>
      <c r="J13" s="5">
        <v>0</v>
      </c>
      <c r="K13" s="5"/>
      <c r="L13" s="5">
        <v>3</v>
      </c>
      <c r="M13" s="5">
        <v>436.2</v>
      </c>
      <c r="N13" s="5">
        <v>442.4</v>
      </c>
      <c r="O13" s="116">
        <v>1.08299999999997</v>
      </c>
      <c r="P13" s="115">
        <v>1.1490000000000578</v>
      </c>
      <c r="Q13" s="115">
        <v>0.98399999999998045</v>
      </c>
      <c r="R13" s="115">
        <v>3.2160000000000082</v>
      </c>
      <c r="S13" s="4">
        <f t="shared" si="2"/>
        <v>0.31868926994773961</v>
      </c>
      <c r="T13" s="4">
        <f t="shared" si="3"/>
        <v>0.33223641549145499</v>
      </c>
      <c r="U13" s="4">
        <f t="shared" si="4"/>
        <v>0.29754166781815555</v>
      </c>
      <c r="V13" s="4">
        <f t="shared" si="5"/>
        <v>0.62490060220449106</v>
      </c>
      <c r="W13" s="116">
        <v>18</v>
      </c>
      <c r="X13" s="115">
        <v>6</v>
      </c>
      <c r="Y13" s="115">
        <v>4</v>
      </c>
      <c r="Z13" s="5">
        <f t="shared" si="6"/>
        <v>2</v>
      </c>
    </row>
    <row r="14" spans="1:26">
      <c r="A14" s="4">
        <v>2</v>
      </c>
      <c r="B14" s="4" t="s">
        <v>151</v>
      </c>
      <c r="C14" s="4" t="s">
        <v>150</v>
      </c>
      <c r="D14" s="5">
        <v>1</v>
      </c>
      <c r="E14" s="5">
        <v>5</v>
      </c>
      <c r="F14" s="4">
        <f t="shared" si="0"/>
        <v>16.400000000000034</v>
      </c>
      <c r="G14" s="4">
        <f t="shared" si="1"/>
        <v>1.2405492482826006</v>
      </c>
      <c r="H14" s="5">
        <v>1</v>
      </c>
      <c r="I14" s="5">
        <v>6</v>
      </c>
      <c r="J14" s="5">
        <v>0</v>
      </c>
      <c r="K14" s="5"/>
      <c r="L14" s="5">
        <v>1</v>
      </c>
      <c r="M14" s="5">
        <v>294.89999999999998</v>
      </c>
      <c r="N14" s="5">
        <v>311.3</v>
      </c>
      <c r="O14" s="116">
        <v>0.56599999999997408</v>
      </c>
      <c r="P14" s="115">
        <v>0.882000000000005</v>
      </c>
      <c r="Q14" s="115">
        <v>7.7810000000000628</v>
      </c>
      <c r="R14" s="115">
        <v>9.2290000000000418</v>
      </c>
      <c r="S14" s="4">
        <f t="shared" si="2"/>
        <v>0.1947917577219174</v>
      </c>
      <c r="T14" s="4">
        <f t="shared" si="3"/>
        <v>0.27461961909123928</v>
      </c>
      <c r="U14" s="4">
        <f t="shared" si="4"/>
        <v>0.9435439771534575</v>
      </c>
      <c r="V14" s="4">
        <f t="shared" si="5"/>
        <v>1.0098331786085646</v>
      </c>
      <c r="W14" s="116">
        <v>47</v>
      </c>
      <c r="X14" s="115">
        <v>8</v>
      </c>
      <c r="Y14" s="115">
        <v>3</v>
      </c>
      <c r="Z14" s="5">
        <f t="shared" si="6"/>
        <v>5</v>
      </c>
    </row>
    <row r="15" spans="1:26">
      <c r="A15" s="4">
        <v>2</v>
      </c>
      <c r="B15" s="4" t="s">
        <v>151</v>
      </c>
      <c r="C15" s="4" t="s">
        <v>150</v>
      </c>
      <c r="D15" s="5">
        <v>2</v>
      </c>
      <c r="E15" s="5">
        <v>7</v>
      </c>
      <c r="F15" s="4">
        <f t="shared" si="0"/>
        <v>20.299999999999955</v>
      </c>
      <c r="G15" s="4">
        <f t="shared" si="1"/>
        <v>1.3283796034387367</v>
      </c>
      <c r="H15" s="5">
        <v>1</v>
      </c>
      <c r="I15" s="5">
        <v>7</v>
      </c>
      <c r="J15" s="5">
        <v>1</v>
      </c>
      <c r="K15" s="5"/>
      <c r="L15" s="5">
        <v>2</v>
      </c>
      <c r="M15" s="5">
        <v>363.6</v>
      </c>
      <c r="N15" s="5">
        <v>383.9</v>
      </c>
      <c r="O15" s="116">
        <v>0.40999999999996817</v>
      </c>
      <c r="P15" s="115">
        <v>0.95000000000010232</v>
      </c>
      <c r="Q15" s="115">
        <v>4.3499999999999659</v>
      </c>
      <c r="R15" s="115">
        <v>5.7100000000000364</v>
      </c>
      <c r="S15" s="4">
        <f t="shared" si="2"/>
        <v>0.14921911265537011</v>
      </c>
      <c r="T15" s="4">
        <f t="shared" si="3"/>
        <v>0.29003461136254077</v>
      </c>
      <c r="U15" s="4">
        <f t="shared" si="4"/>
        <v>0.72835378202122569</v>
      </c>
      <c r="V15" s="4">
        <f t="shared" si="5"/>
        <v>0.82672252016899439</v>
      </c>
      <c r="W15" s="116">
        <v>32</v>
      </c>
      <c r="X15" s="115">
        <v>4</v>
      </c>
      <c r="Y15" s="115">
        <v>3</v>
      </c>
      <c r="Z15" s="5">
        <f t="shared" si="6"/>
        <v>1</v>
      </c>
    </row>
    <row r="16" spans="1:26">
      <c r="A16" s="4">
        <v>2</v>
      </c>
      <c r="B16" s="4" t="s">
        <v>151</v>
      </c>
      <c r="C16" s="4" t="s">
        <v>149</v>
      </c>
      <c r="D16" s="5">
        <v>3</v>
      </c>
      <c r="E16" s="5">
        <v>9</v>
      </c>
      <c r="F16" s="4">
        <f t="shared" si="0"/>
        <v>11.900000000000034</v>
      </c>
      <c r="G16" s="4">
        <f t="shared" si="1"/>
        <v>1.1105897102992501</v>
      </c>
      <c r="H16" s="5">
        <v>1</v>
      </c>
      <c r="I16" s="5">
        <v>7</v>
      </c>
      <c r="J16" s="5">
        <v>0</v>
      </c>
      <c r="K16" s="5"/>
      <c r="L16" s="5">
        <v>3</v>
      </c>
      <c r="M16" s="5">
        <v>437.2</v>
      </c>
      <c r="N16" s="5">
        <v>449.1</v>
      </c>
      <c r="O16" s="116">
        <v>1.4639999999998849</v>
      </c>
      <c r="P16" s="115">
        <v>0.94900000000001228</v>
      </c>
      <c r="Q16" s="115">
        <v>3.8659999999999854</v>
      </c>
      <c r="R16" s="115">
        <v>6.2789999999998827</v>
      </c>
      <c r="S16" s="4">
        <f t="shared" si="2"/>
        <v>0.39164070349236757</v>
      </c>
      <c r="T16" s="4">
        <f t="shared" si="3"/>
        <v>0.28981183911762415</v>
      </c>
      <c r="U16" s="4">
        <f t="shared" si="4"/>
        <v>0.68717210459479838</v>
      </c>
      <c r="V16" s="4">
        <f t="shared" si="5"/>
        <v>0.86207171937998728</v>
      </c>
      <c r="W16" s="116">
        <v>32</v>
      </c>
      <c r="X16" s="115">
        <v>16</v>
      </c>
      <c r="Y16" s="115">
        <v>9</v>
      </c>
      <c r="Z16" s="5">
        <f t="shared" si="6"/>
        <v>7</v>
      </c>
    </row>
    <row r="17" spans="1:26">
      <c r="A17" s="4">
        <v>2</v>
      </c>
      <c r="B17" s="4" t="s">
        <v>151</v>
      </c>
      <c r="C17" s="4" t="s">
        <v>154</v>
      </c>
      <c r="D17" s="5">
        <v>4</v>
      </c>
      <c r="E17" s="5">
        <v>3</v>
      </c>
      <c r="F17" s="4">
        <f t="shared" si="0"/>
        <v>14.5</v>
      </c>
      <c r="G17" s="4">
        <f t="shared" si="1"/>
        <v>1.1903316981702914</v>
      </c>
      <c r="H17" s="5">
        <v>1</v>
      </c>
      <c r="I17" s="5">
        <v>7</v>
      </c>
      <c r="J17" s="5">
        <v>0</v>
      </c>
      <c r="K17" s="5"/>
      <c r="L17" s="5">
        <v>3</v>
      </c>
      <c r="M17" s="5">
        <v>219.8</v>
      </c>
      <c r="N17" s="5">
        <v>234.3</v>
      </c>
      <c r="O17" s="116">
        <v>3.1499999999999488</v>
      </c>
      <c r="P17" s="115">
        <v>0.85099999999997067</v>
      </c>
      <c r="Q17" s="115">
        <v>2.3840000000000146</v>
      </c>
      <c r="R17" s="115">
        <v>6.3849999999999341</v>
      </c>
      <c r="S17" s="4">
        <f t="shared" si="2"/>
        <v>0.61804809671208738</v>
      </c>
      <c r="T17" s="4">
        <f t="shared" si="3"/>
        <v>0.26740641875289722</v>
      </c>
      <c r="U17" s="4">
        <f t="shared" si="4"/>
        <v>0.52943035436698782</v>
      </c>
      <c r="V17" s="4">
        <f t="shared" si="5"/>
        <v>0.8683504996479644</v>
      </c>
      <c r="W17" s="116">
        <v>37</v>
      </c>
      <c r="X17" s="115">
        <v>16</v>
      </c>
      <c r="Y17" s="115">
        <v>6</v>
      </c>
      <c r="Z17" s="5">
        <f t="shared" si="6"/>
        <v>10</v>
      </c>
    </row>
    <row r="18" spans="1:26">
      <c r="A18" s="4">
        <v>2</v>
      </c>
      <c r="B18" s="4" t="s">
        <v>151</v>
      </c>
      <c r="C18" s="4" t="s">
        <v>149</v>
      </c>
      <c r="D18" s="5">
        <v>5</v>
      </c>
      <c r="E18" s="5">
        <v>11</v>
      </c>
      <c r="F18" s="4">
        <f t="shared" si="0"/>
        <v>14.300000000000011</v>
      </c>
      <c r="G18" s="4">
        <f t="shared" si="1"/>
        <v>1.1846914308175991</v>
      </c>
      <c r="H18" s="5">
        <v>1</v>
      </c>
      <c r="I18" s="5">
        <v>5</v>
      </c>
      <c r="J18" s="5">
        <v>0</v>
      </c>
      <c r="K18" s="5"/>
      <c r="L18" s="5">
        <v>2</v>
      </c>
      <c r="M18" s="5">
        <v>507.7</v>
      </c>
      <c r="N18" s="5">
        <v>522</v>
      </c>
      <c r="O18" s="116">
        <v>0.56600000000003092</v>
      </c>
      <c r="P18" s="115">
        <v>0.33099999999996044</v>
      </c>
      <c r="Q18" s="115">
        <v>5.0169999999997685</v>
      </c>
      <c r="R18" s="115">
        <v>5.9139999999997599</v>
      </c>
      <c r="S18" s="4">
        <f t="shared" si="2"/>
        <v>0.19479175772193316</v>
      </c>
      <c r="T18" s="4">
        <f t="shared" si="3"/>
        <v>0.12417805547466221</v>
      </c>
      <c r="U18" s="4">
        <f t="shared" si="4"/>
        <v>0.77938001149163916</v>
      </c>
      <c r="V18" s="4">
        <f t="shared" si="5"/>
        <v>0.83972937520637292</v>
      </c>
      <c r="W18" s="116">
        <v>32</v>
      </c>
      <c r="X18" s="115">
        <v>8</v>
      </c>
      <c r="Y18" s="115">
        <v>5</v>
      </c>
      <c r="Z18" s="5">
        <f t="shared" si="6"/>
        <v>3</v>
      </c>
    </row>
    <row r="19" spans="1:26">
      <c r="A19" s="4">
        <v>2</v>
      </c>
      <c r="B19" s="4" t="s">
        <v>151</v>
      </c>
      <c r="C19" s="4" t="s">
        <v>154</v>
      </c>
      <c r="D19" s="5">
        <v>6</v>
      </c>
      <c r="E19" s="5">
        <v>1</v>
      </c>
      <c r="F19" s="4">
        <f t="shared" si="0"/>
        <v>8</v>
      </c>
      <c r="G19" s="4">
        <f t="shared" si="1"/>
        <v>0.95424250943932487</v>
      </c>
      <c r="H19" s="5">
        <v>1</v>
      </c>
      <c r="I19" s="5">
        <v>5</v>
      </c>
      <c r="J19" s="5">
        <v>0</v>
      </c>
      <c r="K19" s="5"/>
      <c r="L19" s="5">
        <v>1</v>
      </c>
      <c r="M19" s="5">
        <v>82.9</v>
      </c>
      <c r="N19" s="5">
        <v>90.9</v>
      </c>
      <c r="O19" s="116">
        <v>1.9480000000000075</v>
      </c>
      <c r="P19" s="115">
        <v>0.83399999999998897</v>
      </c>
      <c r="Q19" s="115">
        <v>0.21699999999999875</v>
      </c>
      <c r="R19" s="115">
        <v>2.9989999999999952</v>
      </c>
      <c r="S19" s="4">
        <f t="shared" si="2"/>
        <v>0.46952747918701498</v>
      </c>
      <c r="T19" s="4">
        <f t="shared" si="3"/>
        <v>0.26339933133399968</v>
      </c>
      <c r="U19" s="4">
        <f t="shared" si="4"/>
        <v>8.5290578230064543E-2</v>
      </c>
      <c r="V19" s="4">
        <f t="shared" si="5"/>
        <v>0.60195140413352111</v>
      </c>
      <c r="W19" s="116">
        <v>14</v>
      </c>
      <c r="X19" s="115">
        <v>5</v>
      </c>
      <c r="Y19" s="115">
        <v>3</v>
      </c>
      <c r="Z19" s="5">
        <f t="shared" si="6"/>
        <v>2</v>
      </c>
    </row>
    <row r="20" spans="1:26">
      <c r="A20" s="4">
        <v>2</v>
      </c>
      <c r="B20" s="4" t="s">
        <v>152</v>
      </c>
      <c r="C20" s="4" t="s">
        <v>150</v>
      </c>
      <c r="D20" s="5">
        <v>7</v>
      </c>
      <c r="E20" s="5">
        <v>8</v>
      </c>
      <c r="F20" s="4">
        <f t="shared" si="0"/>
        <v>7.6999999999999886</v>
      </c>
      <c r="G20" s="4">
        <f t="shared" si="1"/>
        <v>0.93951925261861791</v>
      </c>
      <c r="H20" s="5">
        <v>1</v>
      </c>
      <c r="I20" s="5">
        <v>1</v>
      </c>
      <c r="J20" s="5">
        <v>0</v>
      </c>
      <c r="K20" s="5"/>
      <c r="L20" s="5">
        <v>2</v>
      </c>
      <c r="M20" s="5">
        <v>401.1</v>
      </c>
      <c r="N20" s="5">
        <v>408.8</v>
      </c>
      <c r="O20" s="116">
        <v>0.85100000000005593</v>
      </c>
      <c r="P20" s="115">
        <v>0.43399999999996908</v>
      </c>
      <c r="Q20" s="115">
        <v>2.3159999999999172</v>
      </c>
      <c r="R20" s="115">
        <v>3.6009999999999422</v>
      </c>
      <c r="S20" s="4">
        <f t="shared" si="2"/>
        <v>0.26740641875291726</v>
      </c>
      <c r="T20" s="4">
        <f t="shared" si="3"/>
        <v>0.15654915133177194</v>
      </c>
      <c r="U20" s="4">
        <f t="shared" si="4"/>
        <v>0.5206145218782251</v>
      </c>
      <c r="V20" s="4">
        <f t="shared" si="5"/>
        <v>0.6628522332647907</v>
      </c>
      <c r="W20" s="116">
        <v>21</v>
      </c>
      <c r="X20" s="115">
        <v>2</v>
      </c>
      <c r="Y20" s="115">
        <v>2</v>
      </c>
      <c r="Z20" s="5">
        <f t="shared" si="6"/>
        <v>0</v>
      </c>
    </row>
    <row r="21" spans="1:26">
      <c r="A21" s="5">
        <v>2</v>
      </c>
      <c r="B21" s="4" t="s">
        <v>152</v>
      </c>
      <c r="C21" s="4" t="s">
        <v>150</v>
      </c>
      <c r="D21" s="5">
        <v>8</v>
      </c>
      <c r="E21" s="5">
        <v>6</v>
      </c>
      <c r="F21" s="4">
        <f t="shared" si="0"/>
        <v>7.8999999999999773</v>
      </c>
      <c r="G21" s="4">
        <f t="shared" si="1"/>
        <v>0.94939000664491169</v>
      </c>
      <c r="H21" s="5">
        <v>1</v>
      </c>
      <c r="I21" s="5">
        <v>7</v>
      </c>
      <c r="J21" s="5">
        <v>0</v>
      </c>
      <c r="K21" s="5"/>
      <c r="L21" s="5">
        <v>2</v>
      </c>
      <c r="M21" s="5">
        <v>336.6</v>
      </c>
      <c r="N21" s="5">
        <v>344.5</v>
      </c>
      <c r="O21" s="116"/>
      <c r="P21" s="115">
        <v>0.28300000000001546</v>
      </c>
      <c r="Q21" s="115">
        <v>2.6330000000002087</v>
      </c>
      <c r="R21" s="115">
        <v>2.9160000000002242</v>
      </c>
      <c r="S21" s="4">
        <f t="shared" si="2"/>
        <v>0</v>
      </c>
      <c r="T21" s="4">
        <f t="shared" si="3"/>
        <v>0.10822665637493374</v>
      </c>
      <c r="U21" s="4">
        <f t="shared" si="4"/>
        <v>0.56026539786273966</v>
      </c>
      <c r="V21" s="4">
        <f t="shared" si="5"/>
        <v>0.59284268313112509</v>
      </c>
      <c r="W21" s="116">
        <v>19</v>
      </c>
      <c r="X21" s="115">
        <v>3</v>
      </c>
      <c r="Y21" s="115">
        <v>2</v>
      </c>
      <c r="Z21" s="5">
        <f t="shared" si="6"/>
        <v>1</v>
      </c>
    </row>
    <row r="22" spans="1:26">
      <c r="A22" s="4">
        <v>2</v>
      </c>
      <c r="B22" s="4" t="s">
        <v>152</v>
      </c>
      <c r="C22" s="4" t="s">
        <v>149</v>
      </c>
      <c r="D22" s="5">
        <v>9</v>
      </c>
      <c r="E22" s="5">
        <v>10</v>
      </c>
      <c r="F22" s="4">
        <f t="shared" si="0"/>
        <v>10.699999999999989</v>
      </c>
      <c r="G22" s="4">
        <f t="shared" si="1"/>
        <v>1.0681858617461613</v>
      </c>
      <c r="H22" s="5">
        <v>1</v>
      </c>
      <c r="I22" s="5">
        <v>7</v>
      </c>
      <c r="J22" s="5">
        <v>0</v>
      </c>
      <c r="K22" s="5"/>
      <c r="L22" s="5">
        <v>2</v>
      </c>
      <c r="M22" s="5">
        <v>474</v>
      </c>
      <c r="N22" s="5">
        <v>484.7</v>
      </c>
      <c r="O22" s="116">
        <v>1.18100000000004</v>
      </c>
      <c r="P22" s="115">
        <v>0.76599999999996271</v>
      </c>
      <c r="Q22" s="115">
        <v>2.7139999999999418</v>
      </c>
      <c r="R22" s="115">
        <v>4.6609999999999445</v>
      </c>
      <c r="S22" s="4">
        <f t="shared" si="2"/>
        <v>0.33865566557870824</v>
      </c>
      <c r="T22" s="4">
        <f t="shared" si="3"/>
        <v>0.2469906992415406</v>
      </c>
      <c r="U22" s="4">
        <f t="shared" si="4"/>
        <v>0.56984189940375485</v>
      </c>
      <c r="V22" s="4">
        <f t="shared" si="5"/>
        <v>0.75289315488458952</v>
      </c>
      <c r="W22" s="116">
        <v>25</v>
      </c>
      <c r="X22" s="115">
        <v>3</v>
      </c>
      <c r="Y22" s="115">
        <v>3</v>
      </c>
      <c r="Z22" s="5">
        <f t="shared" si="6"/>
        <v>0</v>
      </c>
    </row>
    <row r="23" spans="1:26">
      <c r="A23" s="4">
        <v>2</v>
      </c>
      <c r="B23" s="4" t="s">
        <v>152</v>
      </c>
      <c r="C23" s="4" t="s">
        <v>149</v>
      </c>
      <c r="D23" s="5">
        <v>10</v>
      </c>
      <c r="E23" s="5">
        <v>12</v>
      </c>
      <c r="F23" s="4">
        <f t="shared" si="0"/>
        <v>8.2000000000000455</v>
      </c>
      <c r="G23" s="4">
        <f t="shared" si="1"/>
        <v>0.96378782734555746</v>
      </c>
      <c r="H23" s="5">
        <v>1</v>
      </c>
      <c r="I23" s="5">
        <v>7</v>
      </c>
      <c r="J23" s="5">
        <v>0</v>
      </c>
      <c r="K23" s="5"/>
      <c r="L23" s="5">
        <v>1</v>
      </c>
      <c r="M23" s="5">
        <v>545.4</v>
      </c>
      <c r="N23" s="5">
        <v>553.6</v>
      </c>
      <c r="O23" s="116">
        <v>1.0650000000000546</v>
      </c>
      <c r="P23" s="115">
        <v>1.3830000000000382</v>
      </c>
      <c r="Q23" s="115">
        <v>0.30100000000004457</v>
      </c>
      <c r="R23" s="115">
        <v>2.7490000000001373</v>
      </c>
      <c r="S23" s="4">
        <f t="shared" si="2"/>
        <v>0.31492005599243128</v>
      </c>
      <c r="T23" s="4">
        <f t="shared" si="3"/>
        <v>0.37712404234646307</v>
      </c>
      <c r="U23" s="4">
        <f t="shared" si="4"/>
        <v>0.11427729656160113</v>
      </c>
      <c r="V23" s="4">
        <f t="shared" si="5"/>
        <v>0.57391544042156661</v>
      </c>
      <c r="W23" s="116">
        <v>14</v>
      </c>
      <c r="X23" s="115">
        <v>1</v>
      </c>
      <c r="Y23" s="115">
        <v>1</v>
      </c>
      <c r="Z23" s="5">
        <f t="shared" si="6"/>
        <v>0</v>
      </c>
    </row>
    <row r="24" spans="1:26">
      <c r="A24" s="4">
        <v>2</v>
      </c>
      <c r="B24" s="4" t="s">
        <v>152</v>
      </c>
      <c r="C24" s="4" t="s">
        <v>154</v>
      </c>
      <c r="D24" s="5">
        <v>11</v>
      </c>
      <c r="E24" s="5">
        <v>4</v>
      </c>
      <c r="F24" s="4">
        <f t="shared" si="0"/>
        <v>12.600000000000023</v>
      </c>
      <c r="G24" s="4">
        <f t="shared" si="1"/>
        <v>1.1335389083702183</v>
      </c>
      <c r="H24" s="5">
        <v>1</v>
      </c>
      <c r="I24" s="5">
        <v>7</v>
      </c>
      <c r="J24" s="5">
        <v>0</v>
      </c>
      <c r="K24" s="5"/>
      <c r="L24" s="5">
        <v>3</v>
      </c>
      <c r="M24" s="5">
        <v>264</v>
      </c>
      <c r="N24" s="5">
        <v>276.60000000000002</v>
      </c>
      <c r="O24" s="116">
        <v>1.3000000000000114</v>
      </c>
      <c r="P24" s="115">
        <v>1.299000000000035</v>
      </c>
      <c r="Q24" s="115">
        <v>1.9680000000000177</v>
      </c>
      <c r="R24" s="115">
        <v>4.5670000000000641</v>
      </c>
      <c r="S24" s="4">
        <f t="shared" si="2"/>
        <v>0.36172783601759501</v>
      </c>
      <c r="T24" s="4">
        <f t="shared" si="3"/>
        <v>0.36153897126928564</v>
      </c>
      <c r="U24" s="4">
        <f t="shared" si="4"/>
        <v>0.47246389660699206</v>
      </c>
      <c r="V24" s="4">
        <f t="shared" si="5"/>
        <v>0.74562122130694342</v>
      </c>
      <c r="W24" s="116">
        <v>29</v>
      </c>
      <c r="X24" s="115">
        <v>8</v>
      </c>
      <c r="Y24" s="115">
        <v>5</v>
      </c>
      <c r="Z24" s="5">
        <f t="shared" si="6"/>
        <v>3</v>
      </c>
    </row>
    <row r="25" spans="1:26">
      <c r="A25" s="4">
        <v>2</v>
      </c>
      <c r="B25" s="4" t="s">
        <v>152</v>
      </c>
      <c r="C25" s="4" t="s">
        <v>154</v>
      </c>
      <c r="D25" s="5">
        <v>12</v>
      </c>
      <c r="E25" s="5">
        <v>2</v>
      </c>
      <c r="F25" s="4">
        <f t="shared" si="0"/>
        <v>16.600000000000023</v>
      </c>
      <c r="G25" s="4">
        <f t="shared" si="1"/>
        <v>1.2455126678141504</v>
      </c>
      <c r="H25" s="5">
        <v>1</v>
      </c>
      <c r="I25" s="5">
        <v>7</v>
      </c>
      <c r="J25" s="5">
        <v>0</v>
      </c>
      <c r="K25" s="5"/>
      <c r="L25" s="5">
        <v>2</v>
      </c>
      <c r="M25" s="5">
        <v>178.7</v>
      </c>
      <c r="N25" s="5">
        <v>195.3</v>
      </c>
      <c r="O25" s="116">
        <v>5.3659999999999854</v>
      </c>
      <c r="P25" s="115">
        <v>1.0659999999999741</v>
      </c>
      <c r="Q25" s="115">
        <v>2.0489999999999782</v>
      </c>
      <c r="R25" s="115">
        <v>8.4809999999999377</v>
      </c>
      <c r="S25" s="4">
        <f t="shared" si="2"/>
        <v>0.80386663428498328</v>
      </c>
      <c r="T25" s="4">
        <f t="shared" si="3"/>
        <v>0.3151303171835963</v>
      </c>
      <c r="U25" s="4">
        <f t="shared" si="4"/>
        <v>0.48415742436537756</v>
      </c>
      <c r="V25" s="4">
        <f t="shared" si="5"/>
        <v>0.97685414657621605</v>
      </c>
      <c r="W25" s="116">
        <v>46</v>
      </c>
      <c r="X25" s="115">
        <v>13</v>
      </c>
      <c r="Y25" s="115">
        <v>3</v>
      </c>
      <c r="Z25" s="5">
        <f t="shared" si="6"/>
        <v>10</v>
      </c>
    </row>
    <row r="26" spans="1:26">
      <c r="A26" s="4">
        <v>3</v>
      </c>
      <c r="B26" s="4" t="s">
        <v>151</v>
      </c>
      <c r="C26" s="4" t="s">
        <v>149</v>
      </c>
      <c r="D26" s="5">
        <v>1</v>
      </c>
      <c r="E26" s="5">
        <v>3</v>
      </c>
      <c r="F26" s="4">
        <f t="shared" si="0"/>
        <v>9.9000000000000057</v>
      </c>
      <c r="G26" s="4">
        <f t="shared" si="1"/>
        <v>1.0374264979406238</v>
      </c>
      <c r="H26" s="5">
        <v>1</v>
      </c>
      <c r="I26" s="5">
        <v>5</v>
      </c>
      <c r="J26" s="5">
        <v>0</v>
      </c>
      <c r="K26" s="5"/>
      <c r="L26" s="5">
        <v>1</v>
      </c>
      <c r="M26" s="5">
        <v>171.9</v>
      </c>
      <c r="N26" s="5">
        <v>181.8</v>
      </c>
      <c r="O26" s="116">
        <v>0.83300000000002683</v>
      </c>
      <c r="P26" s="115">
        <v>1.502000000000038</v>
      </c>
      <c r="Q26" s="115">
        <v>2.1010000000000275</v>
      </c>
      <c r="R26" s="115">
        <v>4.4360000000000923</v>
      </c>
      <c r="S26" s="4">
        <f t="shared" si="2"/>
        <v>0.26316246496222301</v>
      </c>
      <c r="T26" s="4">
        <f t="shared" si="3"/>
        <v>0.39828730535740775</v>
      </c>
      <c r="U26" s="4">
        <f t="shared" si="4"/>
        <v>0.49150176623733022</v>
      </c>
      <c r="V26" s="4">
        <f t="shared" si="5"/>
        <v>0.73527944806046408</v>
      </c>
      <c r="W26" s="116">
        <v>22</v>
      </c>
      <c r="X26" s="115">
        <v>4</v>
      </c>
      <c r="Y26" s="115">
        <v>3</v>
      </c>
      <c r="Z26" s="5">
        <f t="shared" si="6"/>
        <v>1</v>
      </c>
    </row>
    <row r="27" spans="1:26">
      <c r="A27" s="4">
        <v>3</v>
      </c>
      <c r="B27" s="4" t="s">
        <v>151</v>
      </c>
      <c r="C27" s="4" t="s">
        <v>150</v>
      </c>
      <c r="D27" s="5">
        <v>2</v>
      </c>
      <c r="E27" s="5">
        <v>9</v>
      </c>
      <c r="F27" s="4">
        <f t="shared" si="0"/>
        <v>28.899999999999977</v>
      </c>
      <c r="G27" s="4">
        <f t="shared" si="1"/>
        <v>1.4756711883244293</v>
      </c>
      <c r="H27" s="5">
        <v>1</v>
      </c>
      <c r="I27" s="5">
        <v>5</v>
      </c>
      <c r="J27" s="5">
        <v>0</v>
      </c>
      <c r="K27" s="5"/>
      <c r="L27" s="5">
        <v>1</v>
      </c>
      <c r="M27" s="5">
        <v>519.20000000000005</v>
      </c>
      <c r="N27" s="5">
        <v>548.1</v>
      </c>
      <c r="O27" s="116">
        <v>1.93100000000004</v>
      </c>
      <c r="P27" s="115">
        <v>1.5829999999998563</v>
      </c>
      <c r="Q27" s="115">
        <v>14.313999999999965</v>
      </c>
      <c r="R27" s="115">
        <v>17.827999999999861</v>
      </c>
      <c r="S27" s="4">
        <f t="shared" si="2"/>
        <v>0.46701581843844142</v>
      </c>
      <c r="T27" s="4">
        <f t="shared" si="3"/>
        <v>0.41212440617329305</v>
      </c>
      <c r="U27" s="4">
        <f t="shared" si="4"/>
        <v>1.1850886427579186</v>
      </c>
      <c r="V27" s="4">
        <f t="shared" si="5"/>
        <v>1.2748041896345583</v>
      </c>
      <c r="W27" s="116">
        <v>76</v>
      </c>
      <c r="X27" s="115">
        <v>6</v>
      </c>
      <c r="Y27" s="115">
        <v>4</v>
      </c>
      <c r="Z27" s="5">
        <f t="shared" si="6"/>
        <v>2</v>
      </c>
    </row>
    <row r="28" spans="1:26">
      <c r="A28" s="4">
        <v>3</v>
      </c>
      <c r="B28" s="4" t="s">
        <v>151</v>
      </c>
      <c r="C28" s="4" t="s">
        <v>150</v>
      </c>
      <c r="D28" s="5">
        <v>3</v>
      </c>
      <c r="E28" s="5">
        <v>11</v>
      </c>
      <c r="F28" s="4">
        <f t="shared" si="0"/>
        <v>21.600000000000023</v>
      </c>
      <c r="G28" s="4">
        <f t="shared" si="1"/>
        <v>1.3541084391474014</v>
      </c>
      <c r="H28" s="5">
        <v>1</v>
      </c>
      <c r="I28" s="5">
        <v>5</v>
      </c>
      <c r="J28" s="5">
        <v>0</v>
      </c>
      <c r="K28" s="5"/>
      <c r="L28" s="5">
        <v>2</v>
      </c>
      <c r="M28" s="5">
        <v>624.79999999999995</v>
      </c>
      <c r="N28" s="5">
        <v>646.4</v>
      </c>
      <c r="O28" s="116">
        <v>2.1140000000001464</v>
      </c>
      <c r="P28" s="115">
        <v>0.15000000000009095</v>
      </c>
      <c r="Q28" s="115">
        <v>7.6019999999998618</v>
      </c>
      <c r="R28" s="115">
        <v>9.8660000000000991</v>
      </c>
      <c r="S28" s="4">
        <f t="shared" si="2"/>
        <v>0.49331860823212192</v>
      </c>
      <c r="T28" s="4">
        <f t="shared" si="3"/>
        <v>6.0697840353646032E-2</v>
      </c>
      <c r="U28" s="4">
        <f t="shared" si="4"/>
        <v>0.93459943821806601</v>
      </c>
      <c r="V28" s="4">
        <f t="shared" si="5"/>
        <v>1.036069700697706</v>
      </c>
      <c r="W28" s="116">
        <v>53</v>
      </c>
      <c r="X28" s="115">
        <v>12</v>
      </c>
      <c r="Y28" s="115">
        <v>4</v>
      </c>
      <c r="Z28" s="5">
        <f t="shared" si="6"/>
        <v>8</v>
      </c>
    </row>
    <row r="29" spans="1:26">
      <c r="A29" s="4">
        <v>3</v>
      </c>
      <c r="B29" s="4" t="s">
        <v>151</v>
      </c>
      <c r="C29" s="4" t="s">
        <v>154</v>
      </c>
      <c r="D29" s="5">
        <v>4</v>
      </c>
      <c r="E29" s="5">
        <v>5</v>
      </c>
      <c r="F29" s="4">
        <f t="shared" si="0"/>
        <v>18.599999999999966</v>
      </c>
      <c r="G29" s="4">
        <f t="shared" si="1"/>
        <v>1.2922560713564752</v>
      </c>
      <c r="H29" s="5">
        <v>1</v>
      </c>
      <c r="I29" s="5">
        <v>3</v>
      </c>
      <c r="J29" s="5">
        <v>0</v>
      </c>
      <c r="K29" s="5"/>
      <c r="L29" s="5">
        <v>1</v>
      </c>
      <c r="M29" s="5">
        <v>264.3</v>
      </c>
      <c r="N29" s="5">
        <v>282.89999999999998</v>
      </c>
      <c r="O29" s="116">
        <v>6.3290000000000077</v>
      </c>
      <c r="P29" s="115">
        <v>2.0510000000001014</v>
      </c>
      <c r="Q29" s="115">
        <v>0.78399999999999181</v>
      </c>
      <c r="R29" s="115">
        <v>9.164000000000101</v>
      </c>
      <c r="S29" s="4">
        <f t="shared" si="2"/>
        <v>0.86504472169309965</v>
      </c>
      <c r="T29" s="4">
        <f t="shared" si="3"/>
        <v>0.48444220764242146</v>
      </c>
      <c r="U29" s="4">
        <f t="shared" si="4"/>
        <v>0.25139485004010226</v>
      </c>
      <c r="V29" s="4">
        <f t="shared" si="5"/>
        <v>1.0070646563783361</v>
      </c>
      <c r="W29" s="116">
        <v>45</v>
      </c>
      <c r="X29" s="115">
        <v>7</v>
      </c>
      <c r="Y29" s="115">
        <v>5</v>
      </c>
      <c r="Z29" s="5">
        <f t="shared" si="6"/>
        <v>2</v>
      </c>
    </row>
    <row r="30" spans="1:26">
      <c r="A30" s="4">
        <v>3</v>
      </c>
      <c r="B30" s="4" t="s">
        <v>151</v>
      </c>
      <c r="C30" s="4" t="s">
        <v>154</v>
      </c>
      <c r="D30" s="5">
        <v>5</v>
      </c>
      <c r="E30" s="5">
        <v>7</v>
      </c>
      <c r="F30" s="4">
        <f t="shared" si="0"/>
        <v>22.699999999999989</v>
      </c>
      <c r="G30" s="4">
        <f t="shared" si="1"/>
        <v>1.3747483460101038</v>
      </c>
      <c r="H30" s="5">
        <v>1</v>
      </c>
      <c r="I30" s="5">
        <v>6</v>
      </c>
      <c r="J30" s="5">
        <v>0</v>
      </c>
      <c r="K30" s="5"/>
      <c r="L30" s="5">
        <v>2</v>
      </c>
      <c r="M30" s="5">
        <v>396.3</v>
      </c>
      <c r="N30" s="5">
        <v>419</v>
      </c>
      <c r="O30" s="116">
        <v>5.4320000000000164</v>
      </c>
      <c r="P30" s="115">
        <v>1.633000000000095</v>
      </c>
      <c r="Q30" s="115">
        <v>3.6999999999999886</v>
      </c>
      <c r="R30" s="115">
        <v>10.7650000000001</v>
      </c>
      <c r="S30" s="4">
        <f t="shared" si="2"/>
        <v>0.80834603574039599</v>
      </c>
      <c r="T30" s="4">
        <f t="shared" si="3"/>
        <v>0.42045085910608382</v>
      </c>
      <c r="U30" s="4">
        <f t="shared" si="4"/>
        <v>0.67209785793571641</v>
      </c>
      <c r="V30" s="4">
        <f t="shared" si="5"/>
        <v>1.0705919315120438</v>
      </c>
      <c r="W30" s="116">
        <v>51</v>
      </c>
      <c r="X30" s="115">
        <v>14</v>
      </c>
      <c r="Y30" s="115">
        <v>5</v>
      </c>
      <c r="Z30" s="5">
        <f t="shared" si="6"/>
        <v>9</v>
      </c>
    </row>
    <row r="31" spans="1:26">
      <c r="A31" s="4">
        <v>3</v>
      </c>
      <c r="B31" s="4" t="s">
        <v>151</v>
      </c>
      <c r="C31" s="4" t="s">
        <v>149</v>
      </c>
      <c r="D31" s="5">
        <v>6</v>
      </c>
      <c r="E31" s="5">
        <v>1</v>
      </c>
      <c r="F31" s="4">
        <f t="shared" si="0"/>
        <v>14.399999999999991</v>
      </c>
      <c r="G31" s="4">
        <f t="shared" si="1"/>
        <v>1.1875207208364629</v>
      </c>
      <c r="H31" s="5">
        <v>1</v>
      </c>
      <c r="I31" s="5">
        <v>6</v>
      </c>
      <c r="J31" s="5">
        <v>0</v>
      </c>
      <c r="K31" s="5"/>
      <c r="L31" s="5">
        <v>1</v>
      </c>
      <c r="M31" s="5">
        <v>84.4</v>
      </c>
      <c r="N31" s="5">
        <v>98.8</v>
      </c>
      <c r="O31" s="116">
        <v>1.7299999999999898</v>
      </c>
      <c r="P31" s="115">
        <v>9.9999999999994316E-2</v>
      </c>
      <c r="Q31" s="115">
        <v>5.1839999999999833</v>
      </c>
      <c r="R31" s="115">
        <v>7.0139999999999674</v>
      </c>
      <c r="S31" s="4">
        <f t="shared" si="2"/>
        <v>0.43616264704075441</v>
      </c>
      <c r="T31" s="4">
        <f t="shared" si="3"/>
        <v>4.1392685158222794E-2</v>
      </c>
      <c r="U31" s="4">
        <f t="shared" si="4"/>
        <v>0.79126948091026728</v>
      </c>
      <c r="V31" s="4">
        <f t="shared" si="5"/>
        <v>0.90384933809667922</v>
      </c>
      <c r="W31" s="116">
        <v>35</v>
      </c>
      <c r="X31" s="115">
        <v>2</v>
      </c>
      <c r="Y31" s="115">
        <v>2</v>
      </c>
      <c r="Z31" s="5">
        <f t="shared" si="6"/>
        <v>0</v>
      </c>
    </row>
    <row r="32" spans="1:26">
      <c r="A32" s="4">
        <v>3</v>
      </c>
      <c r="B32" s="4" t="s">
        <v>152</v>
      </c>
      <c r="C32" s="4" t="s">
        <v>154</v>
      </c>
      <c r="D32" s="5">
        <v>7</v>
      </c>
      <c r="E32" s="5">
        <v>8</v>
      </c>
      <c r="F32" s="4">
        <f t="shared" si="0"/>
        <v>13.300000000000011</v>
      </c>
      <c r="G32" s="4">
        <f t="shared" si="1"/>
        <v>1.1553360374650621</v>
      </c>
      <c r="H32" s="5">
        <v>1</v>
      </c>
      <c r="I32" s="5">
        <v>6</v>
      </c>
      <c r="J32" s="5">
        <v>0</v>
      </c>
      <c r="K32" s="5"/>
      <c r="L32" s="5">
        <v>1</v>
      </c>
      <c r="M32" s="5">
        <v>473.3</v>
      </c>
      <c r="N32" s="5">
        <v>486.6</v>
      </c>
      <c r="O32" s="116">
        <v>4.8639999999999191</v>
      </c>
      <c r="P32" s="115">
        <v>0.35900000000003729</v>
      </c>
      <c r="Q32" s="115">
        <v>0.3529999999999518</v>
      </c>
      <c r="R32" s="115">
        <v>5.5759999999999081</v>
      </c>
      <c r="S32" s="4">
        <f t="shared" si="2"/>
        <v>0.76819396163306553</v>
      </c>
      <c r="T32" s="4">
        <f t="shared" si="3"/>
        <v>0.13321945673250624</v>
      </c>
      <c r="U32" s="4">
        <f t="shared" si="4"/>
        <v>0.13129779659760751</v>
      </c>
      <c r="V32" s="4">
        <f t="shared" si="5"/>
        <v>0.81796180453198797</v>
      </c>
      <c r="W32" s="116">
        <v>26</v>
      </c>
      <c r="X32" s="115">
        <v>3</v>
      </c>
      <c r="Y32" s="115">
        <v>3</v>
      </c>
      <c r="Z32" s="5">
        <f t="shared" si="6"/>
        <v>0</v>
      </c>
    </row>
    <row r="33" spans="1:26">
      <c r="A33" s="4">
        <v>3</v>
      </c>
      <c r="B33" s="4" t="s">
        <v>152</v>
      </c>
      <c r="C33" s="4" t="s">
        <v>150</v>
      </c>
      <c r="D33" s="5">
        <v>8</v>
      </c>
      <c r="E33" s="5">
        <v>12</v>
      </c>
      <c r="F33" s="4">
        <f t="shared" si="0"/>
        <v>17.299999999999955</v>
      </c>
      <c r="G33" s="4">
        <f t="shared" si="1"/>
        <v>1.2624510897304284</v>
      </c>
      <c r="H33" s="5">
        <v>1</v>
      </c>
      <c r="I33" s="5">
        <v>5</v>
      </c>
      <c r="J33" s="5">
        <v>0</v>
      </c>
      <c r="K33" s="5"/>
      <c r="L33" s="5">
        <v>2</v>
      </c>
      <c r="M33" s="5">
        <v>685</v>
      </c>
      <c r="N33" s="5">
        <v>702.3</v>
      </c>
      <c r="O33" s="116">
        <v>4.1820000000000164</v>
      </c>
      <c r="P33" s="115">
        <v>1.0009999999999764</v>
      </c>
      <c r="Q33" s="115">
        <v>4.7490000000000236</v>
      </c>
      <c r="R33" s="115">
        <v>9.9320000000000164</v>
      </c>
      <c r="S33" s="4">
        <f t="shared" si="2"/>
        <v>0.71449740864980738</v>
      </c>
      <c r="T33" s="4">
        <f t="shared" si="3"/>
        <v>0.30124708863620625</v>
      </c>
      <c r="U33" s="4">
        <f t="shared" si="4"/>
        <v>0.7595923086459766</v>
      </c>
      <c r="V33" s="4">
        <f t="shared" si="5"/>
        <v>1.0386996230206238</v>
      </c>
      <c r="W33" s="116">
        <v>48</v>
      </c>
      <c r="X33" s="115">
        <v>2</v>
      </c>
      <c r="Y33" s="115">
        <v>2</v>
      </c>
      <c r="Z33" s="5">
        <f t="shared" si="6"/>
        <v>0</v>
      </c>
    </row>
    <row r="34" spans="1:26">
      <c r="A34" s="4">
        <v>3</v>
      </c>
      <c r="B34" s="4" t="s">
        <v>152</v>
      </c>
      <c r="C34" s="4" t="s">
        <v>149</v>
      </c>
      <c r="D34" s="5">
        <v>9</v>
      </c>
      <c r="E34" s="5">
        <v>4</v>
      </c>
      <c r="F34" s="4">
        <f t="shared" si="0"/>
        <v>8.6999999999999886</v>
      </c>
      <c r="G34" s="4">
        <f t="shared" si="1"/>
        <v>0.98677173426624432</v>
      </c>
      <c r="H34" s="5">
        <v>1</v>
      </c>
      <c r="I34" s="5">
        <v>6</v>
      </c>
      <c r="J34" s="5">
        <v>0</v>
      </c>
      <c r="K34" s="5"/>
      <c r="L34" s="5">
        <v>2</v>
      </c>
      <c r="M34" s="5">
        <v>228.5</v>
      </c>
      <c r="N34" s="5">
        <v>237.2</v>
      </c>
      <c r="O34" s="116">
        <v>3.2360000000000468</v>
      </c>
      <c r="P34" s="115">
        <v>0.26599999999999113</v>
      </c>
      <c r="Q34" s="115">
        <v>0.66600000000002524</v>
      </c>
      <c r="R34" s="115">
        <v>4.1680000000000632</v>
      </c>
      <c r="S34" s="4">
        <f t="shared" si="2"/>
        <v>0.62695595143545224</v>
      </c>
      <c r="T34" s="4">
        <f t="shared" si="3"/>
        <v>0.10243370568133325</v>
      </c>
      <c r="U34" s="4">
        <f t="shared" si="4"/>
        <v>0.22167499707077537</v>
      </c>
      <c r="V34" s="4">
        <f t="shared" si="5"/>
        <v>0.71332250498703298</v>
      </c>
      <c r="W34" s="116">
        <v>24</v>
      </c>
      <c r="X34" s="115">
        <v>3</v>
      </c>
      <c r="Y34" s="115">
        <v>3</v>
      </c>
      <c r="Z34" s="5">
        <f t="shared" si="6"/>
        <v>0</v>
      </c>
    </row>
    <row r="35" spans="1:26">
      <c r="A35" s="4">
        <v>3</v>
      </c>
      <c r="B35" s="4" t="s">
        <v>152</v>
      </c>
      <c r="C35" s="4" t="s">
        <v>154</v>
      </c>
      <c r="D35" s="5">
        <v>10</v>
      </c>
      <c r="E35" s="5">
        <v>6</v>
      </c>
      <c r="F35" s="4">
        <f t="shared" si="0"/>
        <v>3</v>
      </c>
      <c r="G35" s="4">
        <f t="shared" si="1"/>
        <v>0.6020599913279624</v>
      </c>
      <c r="H35" s="5">
        <v>1</v>
      </c>
      <c r="I35" s="5">
        <v>6</v>
      </c>
      <c r="J35" s="5">
        <v>0</v>
      </c>
      <c r="K35" s="5"/>
      <c r="L35" s="5">
        <v>1</v>
      </c>
      <c r="M35" s="5">
        <v>334</v>
      </c>
      <c r="N35" s="5">
        <v>337</v>
      </c>
      <c r="O35" s="116">
        <v>0.7489999999999668</v>
      </c>
      <c r="P35" s="115">
        <v>0.10000000000002274</v>
      </c>
      <c r="Q35" s="115"/>
      <c r="R35" s="115">
        <v>0.84899999999998954</v>
      </c>
      <c r="S35" s="4">
        <f t="shared" si="2"/>
        <v>0.24278980947866827</v>
      </c>
      <c r="T35" s="4">
        <f t="shared" si="3"/>
        <v>4.1392685158234015E-2</v>
      </c>
      <c r="U35" s="4">
        <f t="shared" si="4"/>
        <v>0</v>
      </c>
      <c r="V35" s="4">
        <f t="shared" si="5"/>
        <v>0.26693691115917062</v>
      </c>
      <c r="W35" s="116">
        <v>3</v>
      </c>
      <c r="X35" s="115">
        <v>2</v>
      </c>
      <c r="Y35" s="115">
        <v>2</v>
      </c>
      <c r="Z35" s="5">
        <f t="shared" si="6"/>
        <v>0</v>
      </c>
    </row>
    <row r="36" spans="1:26">
      <c r="A36" s="4">
        <v>3</v>
      </c>
      <c r="B36" s="4" t="s">
        <v>152</v>
      </c>
      <c r="C36" s="4" t="s">
        <v>150</v>
      </c>
      <c r="D36" s="5">
        <v>11</v>
      </c>
      <c r="E36" s="5">
        <v>10</v>
      </c>
      <c r="F36" s="4">
        <f t="shared" si="0"/>
        <v>8.6000000000000227</v>
      </c>
      <c r="G36" s="4">
        <f t="shared" si="1"/>
        <v>0.98227123303956942</v>
      </c>
      <c r="H36" s="5">
        <v>1</v>
      </c>
      <c r="I36" s="5">
        <v>4</v>
      </c>
      <c r="J36" s="5">
        <v>0</v>
      </c>
      <c r="K36" s="5"/>
      <c r="L36" s="5">
        <v>1</v>
      </c>
      <c r="M36" s="5">
        <v>587.79999999999995</v>
      </c>
      <c r="N36" s="5">
        <v>596.4</v>
      </c>
      <c r="O36" s="116">
        <v>3.7979999999998881</v>
      </c>
      <c r="P36" s="115">
        <v>0.29999999999995453</v>
      </c>
      <c r="Q36" s="115">
        <v>0.35300000000006548</v>
      </c>
      <c r="R36" s="115">
        <v>4.4509999999999081</v>
      </c>
      <c r="S36" s="4">
        <f t="shared" si="2"/>
        <v>0.68106024363180173</v>
      </c>
      <c r="T36" s="4">
        <f t="shared" si="3"/>
        <v>0.11394335230682158</v>
      </c>
      <c r="U36" s="4">
        <f t="shared" si="4"/>
        <v>0.13129779659764398</v>
      </c>
      <c r="V36" s="4">
        <f t="shared" si="5"/>
        <v>0.73647618202768939</v>
      </c>
      <c r="W36" s="116">
        <v>24</v>
      </c>
      <c r="X36" s="115">
        <v>7</v>
      </c>
      <c r="Y36" s="115">
        <v>3</v>
      </c>
      <c r="Z36" s="5">
        <f t="shared" si="6"/>
        <v>4</v>
      </c>
    </row>
    <row r="37" spans="1:26">
      <c r="A37" s="4">
        <v>3</v>
      </c>
      <c r="B37" s="4" t="s">
        <v>152</v>
      </c>
      <c r="C37" s="4" t="s">
        <v>149</v>
      </c>
      <c r="D37" s="5">
        <v>12</v>
      </c>
      <c r="E37" s="5">
        <v>2</v>
      </c>
      <c r="F37" s="4">
        <f t="shared" si="0"/>
        <v>7.6999999999999886</v>
      </c>
      <c r="G37" s="4">
        <f t="shared" si="1"/>
        <v>0.93951925261861791</v>
      </c>
      <c r="H37" s="5">
        <v>1</v>
      </c>
      <c r="I37" s="5">
        <v>5</v>
      </c>
      <c r="J37" s="5">
        <v>0</v>
      </c>
      <c r="K37" s="5"/>
      <c r="L37" s="5">
        <v>1</v>
      </c>
      <c r="M37" s="5">
        <v>124.9</v>
      </c>
      <c r="N37" s="5">
        <v>132.6</v>
      </c>
      <c r="O37" s="116">
        <v>3.5820000000000078</v>
      </c>
      <c r="P37" s="115">
        <v>0.29999999999999716</v>
      </c>
      <c r="Q37" s="115">
        <v>0.53399999999999181</v>
      </c>
      <c r="R37" s="115">
        <v>4.4159999999999968</v>
      </c>
      <c r="S37" s="4">
        <f t="shared" si="2"/>
        <v>0.66105508485337949</v>
      </c>
      <c r="T37" s="4">
        <f t="shared" si="3"/>
        <v>0.11394335230683582</v>
      </c>
      <c r="U37" s="4">
        <f t="shared" si="4"/>
        <v>0.18582535961295985</v>
      </c>
      <c r="V37" s="4">
        <f t="shared" si="5"/>
        <v>0.73367865567708768</v>
      </c>
      <c r="W37" s="116">
        <v>21</v>
      </c>
      <c r="X37" s="115">
        <v>3</v>
      </c>
      <c r="Y37" s="115">
        <v>2</v>
      </c>
      <c r="Z37" s="5">
        <f>X37-Y37</f>
        <v>1</v>
      </c>
    </row>
    <row r="38" spans="1:26">
      <c r="A38" s="4">
        <v>4</v>
      </c>
      <c r="B38" s="4" t="s">
        <v>151</v>
      </c>
      <c r="C38" s="4" t="s">
        <v>154</v>
      </c>
      <c r="D38" s="5">
        <v>1</v>
      </c>
      <c r="E38" s="5">
        <v>9</v>
      </c>
      <c r="F38" s="4">
        <f t="shared" si="0"/>
        <v>29.800000000000068</v>
      </c>
      <c r="G38" s="4">
        <f t="shared" si="1"/>
        <v>1.4885507165004452</v>
      </c>
      <c r="H38" s="5">
        <v>1</v>
      </c>
      <c r="I38" s="5">
        <v>5</v>
      </c>
      <c r="J38" s="5">
        <v>0</v>
      </c>
      <c r="K38" s="5"/>
      <c r="L38" s="5">
        <v>1</v>
      </c>
      <c r="M38" s="5">
        <v>759.9</v>
      </c>
      <c r="N38" s="5">
        <v>789.7</v>
      </c>
      <c r="O38" s="116">
        <v>10.931999999999903</v>
      </c>
      <c r="P38" s="115">
        <v>0.71600000000000819</v>
      </c>
      <c r="Q38" s="115">
        <v>2.8509999999997717</v>
      </c>
      <c r="R38" s="115">
        <v>14.498999999999683</v>
      </c>
      <c r="S38" s="4">
        <f t="shared" si="2"/>
        <v>1.0767132446900216</v>
      </c>
      <c r="T38" s="4">
        <f t="shared" si="3"/>
        <v>0.23451728351268872</v>
      </c>
      <c r="U38" s="4">
        <f t="shared" si="4"/>
        <v>0.58557351862270535</v>
      </c>
      <c r="V38" s="4">
        <f t="shared" si="5"/>
        <v>1.1903036782675727</v>
      </c>
      <c r="W38" s="116">
        <v>66</v>
      </c>
      <c r="X38" s="115">
        <v>11</v>
      </c>
      <c r="Y38" s="115">
        <v>5</v>
      </c>
      <c r="Z38" s="5">
        <f t="shared" si="6"/>
        <v>6</v>
      </c>
    </row>
    <row r="39" spans="1:26">
      <c r="A39" s="4">
        <v>4</v>
      </c>
      <c r="B39" s="4" t="s">
        <v>151</v>
      </c>
      <c r="C39" s="4" t="s">
        <v>154</v>
      </c>
      <c r="D39" s="5">
        <v>2</v>
      </c>
      <c r="E39" s="5">
        <v>11</v>
      </c>
      <c r="F39" s="4">
        <f t="shared" si="0"/>
        <v>24.600000000000023</v>
      </c>
      <c r="G39" s="4">
        <f t="shared" si="1"/>
        <v>1.40823996531185</v>
      </c>
      <c r="H39" s="5">
        <v>1</v>
      </c>
      <c r="I39" s="5">
        <v>7</v>
      </c>
      <c r="J39" s="5">
        <v>0</v>
      </c>
      <c r="K39" s="5"/>
      <c r="L39" s="5">
        <v>5</v>
      </c>
      <c r="M39" s="5">
        <v>900</v>
      </c>
      <c r="N39" s="5">
        <v>924.6</v>
      </c>
      <c r="O39" s="116">
        <v>6.3350000000000364</v>
      </c>
      <c r="P39" s="115">
        <v>2.5509999999999309</v>
      </c>
      <c r="Q39" s="115">
        <v>1.9640000000000555</v>
      </c>
      <c r="R39" s="115">
        <v>10.850000000000023</v>
      </c>
      <c r="S39" s="4">
        <f t="shared" si="2"/>
        <v>0.86540011817930362</v>
      </c>
      <c r="T39" s="4">
        <f t="shared" si="3"/>
        <v>0.55035067230160706</v>
      </c>
      <c r="U39" s="4">
        <f t="shared" si="4"/>
        <v>0.47187819930729868</v>
      </c>
      <c r="V39" s="4">
        <f t="shared" si="5"/>
        <v>1.0737183503461234</v>
      </c>
      <c r="W39" s="116">
        <v>48</v>
      </c>
      <c r="X39" s="115">
        <v>11</v>
      </c>
      <c r="Y39" s="115">
        <v>5</v>
      </c>
      <c r="Z39" s="5">
        <f t="shared" si="6"/>
        <v>6</v>
      </c>
    </row>
    <row r="40" spans="1:26">
      <c r="A40" s="4">
        <v>4</v>
      </c>
      <c r="B40" s="4" t="s">
        <v>151</v>
      </c>
      <c r="C40" s="4" t="s">
        <v>149</v>
      </c>
      <c r="D40" s="5">
        <v>3</v>
      </c>
      <c r="E40" s="5">
        <v>3</v>
      </c>
      <c r="F40" s="4">
        <f t="shared" si="0"/>
        <v>28.599999999999994</v>
      </c>
      <c r="G40" s="4">
        <f t="shared" si="1"/>
        <v>1.4712917110589385</v>
      </c>
      <c r="H40" s="5">
        <v>1</v>
      </c>
      <c r="I40" s="5">
        <v>6</v>
      </c>
      <c r="J40" s="5">
        <v>0</v>
      </c>
      <c r="K40" s="5"/>
      <c r="L40" s="5">
        <v>3</v>
      </c>
      <c r="M40" s="5">
        <v>230.4</v>
      </c>
      <c r="N40" s="5">
        <v>259</v>
      </c>
      <c r="O40" s="116">
        <v>2.5999999999999943</v>
      </c>
      <c r="P40" s="115">
        <v>2.7330000000000325</v>
      </c>
      <c r="Q40" s="115">
        <v>6.9470000000001448</v>
      </c>
      <c r="R40" s="115">
        <v>12.280000000000172</v>
      </c>
      <c r="S40" s="4">
        <f t="shared" si="2"/>
        <v>0.5563025007672866</v>
      </c>
      <c r="T40" s="4">
        <f t="shared" si="3"/>
        <v>0.5720579899263083</v>
      </c>
      <c r="U40" s="4">
        <f t="shared" si="4"/>
        <v>0.90020321301690143</v>
      </c>
      <c r="V40" s="4">
        <f t="shared" si="5"/>
        <v>1.1231980750320043</v>
      </c>
      <c r="W40" s="116">
        <v>69</v>
      </c>
      <c r="X40" s="115">
        <v>14</v>
      </c>
      <c r="Y40" s="115">
        <v>4</v>
      </c>
      <c r="Z40" s="5">
        <f t="shared" si="6"/>
        <v>10</v>
      </c>
    </row>
    <row r="41" spans="1:26">
      <c r="A41" s="4">
        <v>4</v>
      </c>
      <c r="B41" s="4" t="s">
        <v>151</v>
      </c>
      <c r="C41" s="4" t="s">
        <v>150</v>
      </c>
      <c r="D41" s="5">
        <v>4</v>
      </c>
      <c r="E41" s="5">
        <v>7</v>
      </c>
      <c r="F41" s="4">
        <f t="shared" si="0"/>
        <v>44</v>
      </c>
      <c r="G41" s="4">
        <f t="shared" si="1"/>
        <v>1.6532125137753437</v>
      </c>
      <c r="H41" s="5">
        <v>1</v>
      </c>
      <c r="I41" s="5">
        <v>3</v>
      </c>
      <c r="J41" s="5">
        <v>1</v>
      </c>
      <c r="K41" s="5"/>
      <c r="L41" s="5">
        <v>1</v>
      </c>
      <c r="M41" s="5">
        <v>615.29999999999995</v>
      </c>
      <c r="N41" s="5">
        <v>659.3</v>
      </c>
      <c r="O41" s="116">
        <v>6.0319999999999254</v>
      </c>
      <c r="P41" s="115">
        <v>1.3509999999998854</v>
      </c>
      <c r="Q41" s="115">
        <v>12.548000000000343</v>
      </c>
      <c r="R41" s="115">
        <v>19.931000000000154</v>
      </c>
      <c r="S41" s="4">
        <f t="shared" si="2"/>
        <v>0.84707886206571092</v>
      </c>
      <c r="T41" s="4">
        <f t="shared" si="3"/>
        <v>0.37125262912491819</v>
      </c>
      <c r="U41" s="4">
        <f t="shared" si="4"/>
        <v>1.1318751879726037</v>
      </c>
      <c r="V41" s="4">
        <f t="shared" si="5"/>
        <v>1.3207899776988095</v>
      </c>
      <c r="W41" s="116">
        <v>101</v>
      </c>
      <c r="X41" s="115">
        <v>13</v>
      </c>
      <c r="Y41" s="115">
        <v>4</v>
      </c>
      <c r="Z41" s="5">
        <f t="shared" si="6"/>
        <v>9</v>
      </c>
    </row>
    <row r="42" spans="1:26">
      <c r="A42" s="4">
        <v>4</v>
      </c>
      <c r="B42" s="4" t="s">
        <v>151</v>
      </c>
      <c r="C42" s="4" t="s">
        <v>149</v>
      </c>
      <c r="D42" s="5">
        <v>5</v>
      </c>
      <c r="E42" s="5">
        <v>1</v>
      </c>
      <c r="F42" s="4">
        <f t="shared" si="0"/>
        <v>27.299999999999997</v>
      </c>
      <c r="G42" s="4">
        <f t="shared" si="1"/>
        <v>1.4517864355242902</v>
      </c>
      <c r="H42" s="5">
        <v>1</v>
      </c>
      <c r="I42" s="5">
        <v>6</v>
      </c>
      <c r="J42" s="5">
        <v>0</v>
      </c>
      <c r="K42" s="5"/>
      <c r="L42" s="5">
        <v>1</v>
      </c>
      <c r="M42" s="5">
        <v>77.8</v>
      </c>
      <c r="N42" s="5">
        <v>105.1</v>
      </c>
      <c r="O42" s="116">
        <v>3.9139999999999873</v>
      </c>
      <c r="P42" s="115">
        <v>5.0150000000000006</v>
      </c>
      <c r="Q42" s="115">
        <v>10.032999999999973</v>
      </c>
      <c r="R42" s="115">
        <v>18.961999999999961</v>
      </c>
      <c r="S42" s="4">
        <f t="shared" si="2"/>
        <v>0.69143515214406093</v>
      </c>
      <c r="T42" s="4">
        <f t="shared" si="3"/>
        <v>0.77923563167586363</v>
      </c>
      <c r="U42" s="4">
        <f t="shared" si="4"/>
        <v>1.0426936181786421</v>
      </c>
      <c r="V42" s="4">
        <f t="shared" si="5"/>
        <v>1.3002040512524653</v>
      </c>
      <c r="W42" s="116">
        <v>80</v>
      </c>
      <c r="X42" s="115">
        <v>5</v>
      </c>
      <c r="Y42" s="115">
        <v>3</v>
      </c>
      <c r="Z42" s="5">
        <f t="shared" si="6"/>
        <v>2</v>
      </c>
    </row>
    <row r="43" spans="1:26">
      <c r="A43" s="4">
        <v>4</v>
      </c>
      <c r="B43" s="4" t="s">
        <v>151</v>
      </c>
      <c r="C43" s="4" t="s">
        <v>150</v>
      </c>
      <c r="D43" s="5">
        <v>6</v>
      </c>
      <c r="E43" s="5">
        <v>5</v>
      </c>
      <c r="F43" s="4">
        <f t="shared" si="0"/>
        <v>39.199999999999989</v>
      </c>
      <c r="G43" s="4">
        <f t="shared" si="1"/>
        <v>1.6042260530844699</v>
      </c>
      <c r="H43" s="5">
        <v>1</v>
      </c>
      <c r="I43" s="5">
        <v>3</v>
      </c>
      <c r="J43" s="5">
        <v>1</v>
      </c>
      <c r="K43" s="5"/>
      <c r="L43" s="5">
        <v>1</v>
      </c>
      <c r="M43" s="5">
        <v>393.7</v>
      </c>
      <c r="N43" s="5">
        <v>432.9</v>
      </c>
      <c r="O43" s="116">
        <v>4.1339999999999009</v>
      </c>
      <c r="P43" s="115">
        <v>3.2819999999999823</v>
      </c>
      <c r="Q43" s="115">
        <v>9.5640000000001351</v>
      </c>
      <c r="R43" s="115">
        <v>16.980000000000018</v>
      </c>
      <c r="S43" s="4">
        <f t="shared" si="2"/>
        <v>0.71045586433541619</v>
      </c>
      <c r="T43" s="4">
        <f t="shared" si="3"/>
        <v>0.63164666295841776</v>
      </c>
      <c r="U43" s="4">
        <f t="shared" si="4"/>
        <v>1.0238283925348919</v>
      </c>
      <c r="V43" s="4">
        <f t="shared" si="5"/>
        <v>1.2547896873972104</v>
      </c>
      <c r="W43" s="116">
        <v>85</v>
      </c>
      <c r="X43" s="115">
        <v>15</v>
      </c>
      <c r="Y43" s="115">
        <v>4</v>
      </c>
      <c r="Z43" s="5">
        <f t="shared" si="6"/>
        <v>11</v>
      </c>
    </row>
    <row r="44" spans="1:26">
      <c r="A44" s="4">
        <v>4</v>
      </c>
      <c r="B44" s="4" t="s">
        <v>152</v>
      </c>
      <c r="C44" s="4" t="s">
        <v>154</v>
      </c>
      <c r="D44" s="5">
        <v>7</v>
      </c>
      <c r="E44" s="5">
        <v>10</v>
      </c>
      <c r="F44" s="4">
        <f t="shared" si="0"/>
        <v>30.899999999999977</v>
      </c>
      <c r="G44" s="4">
        <f t="shared" si="1"/>
        <v>1.5037906830571808</v>
      </c>
      <c r="H44" s="5">
        <v>1</v>
      </c>
      <c r="I44" s="5">
        <v>6</v>
      </c>
      <c r="J44" s="5">
        <v>1</v>
      </c>
      <c r="K44" s="88"/>
      <c r="L44" s="88">
        <v>1</v>
      </c>
      <c r="M44" s="88">
        <v>841</v>
      </c>
      <c r="N44" s="88">
        <v>871.9</v>
      </c>
      <c r="O44" s="116">
        <v>12.678000000000338</v>
      </c>
      <c r="P44" s="115">
        <v>2.6849999999999454</v>
      </c>
      <c r="Q44" s="115">
        <v>3.7140000000000555</v>
      </c>
      <c r="R44" s="115">
        <v>19.077000000000339</v>
      </c>
      <c r="S44" s="4">
        <f t="shared" si="2"/>
        <v>1.1360225993970219</v>
      </c>
      <c r="T44" s="4">
        <f t="shared" si="3"/>
        <v>0.5664374921950639</v>
      </c>
      <c r="U44" s="4">
        <f t="shared" si="4"/>
        <v>0.67338957818831002</v>
      </c>
      <c r="V44" s="4">
        <f t="shared" si="5"/>
        <v>1.3026988189917961</v>
      </c>
      <c r="W44" s="116">
        <v>72</v>
      </c>
      <c r="X44" s="115">
        <v>15</v>
      </c>
      <c r="Y44" s="115">
        <v>8</v>
      </c>
      <c r="Z44" s="5">
        <f t="shared" si="6"/>
        <v>7</v>
      </c>
    </row>
    <row r="45" spans="1:26">
      <c r="A45" s="4">
        <v>4</v>
      </c>
      <c r="B45" s="4" t="s">
        <v>152</v>
      </c>
      <c r="C45" s="4" t="s">
        <v>149</v>
      </c>
      <c r="D45" s="5">
        <v>8</v>
      </c>
      <c r="E45" s="5">
        <v>4</v>
      </c>
      <c r="F45" s="4">
        <f t="shared" si="0"/>
        <v>26</v>
      </c>
      <c r="G45" s="4">
        <f t="shared" si="1"/>
        <v>1.4313637641589874</v>
      </c>
      <c r="H45" s="5">
        <v>1</v>
      </c>
      <c r="I45" s="5">
        <v>3</v>
      </c>
      <c r="J45" s="5">
        <v>0</v>
      </c>
      <c r="K45" s="5"/>
      <c r="L45" s="5">
        <v>1</v>
      </c>
      <c r="M45" s="5">
        <v>298.10000000000002</v>
      </c>
      <c r="N45" s="5">
        <v>324.10000000000002</v>
      </c>
      <c r="O45" s="116">
        <v>10.041000000000054</v>
      </c>
      <c r="P45" s="115">
        <v>1.1490000000000009</v>
      </c>
      <c r="Q45" s="115">
        <v>1.6500000000001478</v>
      </c>
      <c r="R45" s="115">
        <v>12.840000000000202</v>
      </c>
      <c r="S45" s="4">
        <f t="shared" si="2"/>
        <v>1.0430084098799537</v>
      </c>
      <c r="T45" s="4">
        <f t="shared" si="3"/>
        <v>0.3322364154914435</v>
      </c>
      <c r="U45" s="4">
        <f t="shared" si="4"/>
        <v>0.42324587393683205</v>
      </c>
      <c r="V45" s="4">
        <f t="shared" si="5"/>
        <v>1.1411360901207455</v>
      </c>
      <c r="W45" s="116">
        <v>51</v>
      </c>
      <c r="X45" s="115">
        <v>8</v>
      </c>
      <c r="Y45" s="115">
        <v>3</v>
      </c>
      <c r="Z45" s="5">
        <f t="shared" si="6"/>
        <v>5</v>
      </c>
    </row>
    <row r="46" spans="1:26">
      <c r="A46" s="4">
        <v>4</v>
      </c>
      <c r="B46" s="4" t="s">
        <v>152</v>
      </c>
      <c r="C46" s="4" t="s">
        <v>150</v>
      </c>
      <c r="D46" s="5">
        <v>9</v>
      </c>
      <c r="E46" s="5">
        <v>8</v>
      </c>
      <c r="F46" s="4">
        <f t="shared" si="0"/>
        <v>12.5</v>
      </c>
      <c r="G46" s="4">
        <f t="shared" si="1"/>
        <v>1.1303337684950061</v>
      </c>
      <c r="H46" s="5">
        <v>1</v>
      </c>
      <c r="I46" s="5">
        <v>2</v>
      </c>
      <c r="J46" s="5">
        <v>0</v>
      </c>
      <c r="K46" s="5"/>
      <c r="L46" s="5">
        <v>2</v>
      </c>
      <c r="M46" s="5">
        <v>715.6</v>
      </c>
      <c r="N46" s="5">
        <v>728.1</v>
      </c>
      <c r="O46" s="116">
        <v>5.4970000000001846</v>
      </c>
      <c r="P46" s="115">
        <v>1</v>
      </c>
      <c r="Q46" s="115">
        <v>0.64999999999997726</v>
      </c>
      <c r="R46" s="115">
        <v>7.1470000000001619</v>
      </c>
      <c r="S46" s="4">
        <f t="shared" si="2"/>
        <v>0.81271286676538101</v>
      </c>
      <c r="T46" s="4">
        <f t="shared" si="3"/>
        <v>0.3010299956639812</v>
      </c>
      <c r="U46" s="4">
        <f t="shared" si="4"/>
        <v>0.2174839442139003</v>
      </c>
      <c r="V46" s="4">
        <f t="shared" si="5"/>
        <v>0.91099771631065141</v>
      </c>
      <c r="W46" s="116">
        <v>32</v>
      </c>
      <c r="X46" s="115">
        <v>6</v>
      </c>
      <c r="Y46" s="115">
        <v>2</v>
      </c>
      <c r="Z46" s="5">
        <f t="shared" si="6"/>
        <v>4</v>
      </c>
    </row>
    <row r="47" spans="1:26">
      <c r="A47" s="4">
        <v>4</v>
      </c>
      <c r="B47" s="4" t="s">
        <v>152</v>
      </c>
      <c r="C47" s="4" t="s">
        <v>154</v>
      </c>
      <c r="D47" s="5">
        <v>10</v>
      </c>
      <c r="E47" s="5">
        <v>12</v>
      </c>
      <c r="F47" s="4">
        <f t="shared" si="0"/>
        <v>8.2999999999999545</v>
      </c>
      <c r="G47" s="4">
        <f t="shared" si="1"/>
        <v>0.96848294855393302</v>
      </c>
      <c r="H47" s="5">
        <v>1</v>
      </c>
      <c r="I47" s="5">
        <v>7</v>
      </c>
      <c r="J47" s="5">
        <v>0</v>
      </c>
      <c r="K47" s="5"/>
      <c r="L47" s="5">
        <v>1</v>
      </c>
      <c r="M47" s="5">
        <v>953.1</v>
      </c>
      <c r="N47" s="5">
        <v>961.4</v>
      </c>
      <c r="O47" s="116">
        <v>5.5320000000000391</v>
      </c>
      <c r="P47" s="115">
        <v>0.11700000000007549</v>
      </c>
      <c r="Q47" s="115">
        <v>0.26700000000005275</v>
      </c>
      <c r="R47" s="115">
        <v>5.9160000000001673</v>
      </c>
      <c r="S47" s="4">
        <f t="shared" si="2"/>
        <v>0.81504617606463314</v>
      </c>
      <c r="T47" s="4">
        <f t="shared" si="3"/>
        <v>4.8053173115638406E-2</v>
      </c>
      <c r="U47" s="4">
        <f t="shared" si="4"/>
        <v>0.10277661488345942</v>
      </c>
      <c r="V47" s="4">
        <f t="shared" si="5"/>
        <v>0.83985498460189545</v>
      </c>
      <c r="W47" s="116">
        <v>21</v>
      </c>
      <c r="X47" s="115">
        <v>3</v>
      </c>
      <c r="Y47" s="115">
        <v>2</v>
      </c>
      <c r="Z47" s="5">
        <f t="shared" si="6"/>
        <v>1</v>
      </c>
    </row>
    <row r="48" spans="1:26">
      <c r="A48" s="4">
        <v>4</v>
      </c>
      <c r="B48" s="4" t="s">
        <v>152</v>
      </c>
      <c r="C48" s="4" t="s">
        <v>149</v>
      </c>
      <c r="D48" s="5">
        <v>11</v>
      </c>
      <c r="E48" s="5">
        <v>2</v>
      </c>
      <c r="F48" s="4">
        <f t="shared" si="0"/>
        <v>41.700000000000017</v>
      </c>
      <c r="G48" s="4">
        <f t="shared" si="1"/>
        <v>1.6304278750250241</v>
      </c>
      <c r="H48" s="5">
        <v>1</v>
      </c>
      <c r="I48" s="5">
        <v>3</v>
      </c>
      <c r="J48" s="5">
        <v>0</v>
      </c>
      <c r="K48" s="5"/>
      <c r="L48" s="5">
        <v>1</v>
      </c>
      <c r="M48" s="5">
        <v>136.19999999999999</v>
      </c>
      <c r="N48" s="5">
        <v>177.9</v>
      </c>
      <c r="O48" s="116">
        <v>13.351000000000056</v>
      </c>
      <c r="P48" s="115">
        <v>3.6149999999999807</v>
      </c>
      <c r="Q48" s="115">
        <v>8.2630000000000621</v>
      </c>
      <c r="R48" s="115">
        <v>25.229000000000099</v>
      </c>
      <c r="S48" s="4">
        <f t="shared" si="2"/>
        <v>1.1568821644393783</v>
      </c>
      <c r="T48" s="4">
        <f t="shared" si="3"/>
        <v>0.66417170536192904</v>
      </c>
      <c r="U48" s="4">
        <f t="shared" si="4"/>
        <v>0.9667516640513808</v>
      </c>
      <c r="V48" s="4">
        <f t="shared" si="5"/>
        <v>1.4187817331080563</v>
      </c>
      <c r="W48" s="116">
        <v>113</v>
      </c>
      <c r="X48" s="115">
        <v>10</v>
      </c>
      <c r="Y48" s="115">
        <v>4</v>
      </c>
      <c r="Z48" s="5">
        <f t="shared" si="6"/>
        <v>6</v>
      </c>
    </row>
    <row r="49" spans="1:26">
      <c r="A49" s="4">
        <v>4</v>
      </c>
      <c r="B49" s="4" t="s">
        <v>152</v>
      </c>
      <c r="C49" s="4" t="s">
        <v>150</v>
      </c>
      <c r="D49" s="5">
        <v>12</v>
      </c>
      <c r="E49" s="5">
        <v>6</v>
      </c>
      <c r="F49" s="4">
        <f t="shared" si="0"/>
        <v>17.600000000000023</v>
      </c>
      <c r="G49" s="4">
        <f t="shared" si="1"/>
        <v>1.2695129442179169</v>
      </c>
      <c r="H49" s="5">
        <v>1</v>
      </c>
      <c r="I49" s="5">
        <v>2</v>
      </c>
      <c r="J49" s="5">
        <v>0</v>
      </c>
      <c r="K49" s="5"/>
      <c r="L49" s="5">
        <v>1</v>
      </c>
      <c r="M49" s="5">
        <v>513.1</v>
      </c>
      <c r="N49" s="5">
        <v>530.70000000000005</v>
      </c>
      <c r="O49" s="116">
        <v>4.5000000000001137</v>
      </c>
      <c r="P49" s="115">
        <v>1.7180000000001883</v>
      </c>
      <c r="Q49" s="115">
        <v>2.3960000000001855</v>
      </c>
      <c r="R49" s="115">
        <v>8.6140000000004875</v>
      </c>
      <c r="S49" s="4">
        <f t="shared" si="2"/>
        <v>0.74036268949425277</v>
      </c>
      <c r="T49" s="4">
        <f t="shared" si="3"/>
        <v>0.43424945239650559</v>
      </c>
      <c r="U49" s="4">
        <f t="shared" si="4"/>
        <v>0.53096768157193874</v>
      </c>
      <c r="V49" s="4">
        <f t="shared" si="5"/>
        <v>0.98290411779265008</v>
      </c>
      <c r="W49" s="116">
        <v>36</v>
      </c>
      <c r="X49" s="115">
        <v>5</v>
      </c>
      <c r="Y49" s="115">
        <v>3</v>
      </c>
      <c r="Z49" s="5">
        <f t="shared" si="6"/>
        <v>2</v>
      </c>
    </row>
    <row r="50" spans="1:26">
      <c r="A50" s="4">
        <v>5</v>
      </c>
      <c r="B50" s="4" t="s">
        <v>151</v>
      </c>
      <c r="C50" s="4" t="s">
        <v>154</v>
      </c>
      <c r="D50" s="5">
        <v>1</v>
      </c>
      <c r="E50" s="5">
        <v>7</v>
      </c>
      <c r="F50" s="4">
        <f t="shared" si="0"/>
        <v>9.6000000000000227</v>
      </c>
      <c r="G50" s="4">
        <f t="shared" si="1"/>
        <v>1.0253058652647711</v>
      </c>
      <c r="H50" s="5">
        <v>1</v>
      </c>
      <c r="I50" s="5">
        <v>3</v>
      </c>
      <c r="J50" s="5">
        <v>0</v>
      </c>
      <c r="K50" s="5"/>
      <c r="L50" s="5">
        <v>1</v>
      </c>
      <c r="M50" s="5">
        <v>510.9</v>
      </c>
      <c r="N50" s="5">
        <v>520.5</v>
      </c>
      <c r="O50" s="116">
        <v>3.59800000000007</v>
      </c>
      <c r="P50" s="115">
        <v>1.0820000000000505</v>
      </c>
      <c r="Q50" s="115">
        <v>1.7839999999999918</v>
      </c>
      <c r="R50" s="115">
        <v>6.4640000000001123</v>
      </c>
      <c r="S50" s="4">
        <f t="shared" si="2"/>
        <v>0.66256896693326683</v>
      </c>
      <c r="T50" s="4">
        <f t="shared" si="3"/>
        <v>0.31848072517452786</v>
      </c>
      <c r="U50" s="4">
        <f t="shared" si="4"/>
        <v>0.44466923093852323</v>
      </c>
      <c r="V50" s="4">
        <f t="shared" si="5"/>
        <v>0.87297163073845008</v>
      </c>
      <c r="W50" s="116">
        <v>26</v>
      </c>
      <c r="X50" s="115">
        <v>5</v>
      </c>
      <c r="Y50" s="115">
        <v>4</v>
      </c>
      <c r="Z50" s="5">
        <f t="shared" si="6"/>
        <v>1</v>
      </c>
    </row>
    <row r="51" spans="1:26">
      <c r="A51" s="4">
        <v>5</v>
      </c>
      <c r="B51" s="4" t="s">
        <v>151</v>
      </c>
      <c r="C51" s="4" t="s">
        <v>149</v>
      </c>
      <c r="D51" s="5">
        <v>2</v>
      </c>
      <c r="E51" s="5">
        <v>11</v>
      </c>
      <c r="F51" s="4">
        <f t="shared" si="0"/>
        <v>34.200000000000045</v>
      </c>
      <c r="G51" s="4">
        <f t="shared" si="1"/>
        <v>1.5465426634781316</v>
      </c>
      <c r="H51" s="5">
        <v>1</v>
      </c>
      <c r="I51" s="5">
        <v>5</v>
      </c>
      <c r="J51" s="5">
        <v>1</v>
      </c>
      <c r="K51" s="5"/>
      <c r="L51" s="5">
        <v>1</v>
      </c>
      <c r="M51" s="5">
        <v>851</v>
      </c>
      <c r="N51" s="5">
        <v>885.2</v>
      </c>
      <c r="O51" s="116">
        <v>11.735000000000014</v>
      </c>
      <c r="P51" s="115">
        <v>4.6810000000001537</v>
      </c>
      <c r="Q51" s="115">
        <v>6.5330000000000155</v>
      </c>
      <c r="R51" s="115">
        <v>22.949000000000183</v>
      </c>
      <c r="S51" s="4">
        <f t="shared" si="2"/>
        <v>1.1049989492996344</v>
      </c>
      <c r="T51" s="4">
        <f t="shared" si="3"/>
        <v>0.75442478927727041</v>
      </c>
      <c r="U51" s="4">
        <f t="shared" si="4"/>
        <v>0.87696796743258576</v>
      </c>
      <c r="V51" s="4">
        <f t="shared" si="5"/>
        <v>1.3792873839907169</v>
      </c>
      <c r="W51" s="116">
        <v>99</v>
      </c>
      <c r="X51" s="115">
        <v>15</v>
      </c>
      <c r="Y51" s="115">
        <v>7</v>
      </c>
      <c r="Z51" s="5">
        <f t="shared" si="6"/>
        <v>8</v>
      </c>
    </row>
    <row r="52" spans="1:26">
      <c r="A52" s="4">
        <v>5</v>
      </c>
      <c r="B52" s="4" t="s">
        <v>151</v>
      </c>
      <c r="C52" s="4" t="s">
        <v>150</v>
      </c>
      <c r="D52" s="5">
        <v>3</v>
      </c>
      <c r="E52" s="5">
        <v>1</v>
      </c>
      <c r="F52" s="4">
        <f t="shared" si="0"/>
        <v>15.299999999999997</v>
      </c>
      <c r="G52" s="4">
        <f t="shared" si="1"/>
        <v>1.2121876044039577</v>
      </c>
      <c r="H52" s="5">
        <v>0</v>
      </c>
      <c r="I52" s="5">
        <v>6</v>
      </c>
      <c r="J52" s="5">
        <v>0</v>
      </c>
      <c r="K52" s="5"/>
      <c r="L52" s="5">
        <v>1</v>
      </c>
      <c r="M52" s="5">
        <v>61.7</v>
      </c>
      <c r="N52" s="5">
        <v>77</v>
      </c>
      <c r="O52" s="116">
        <v>2.0329999999999799</v>
      </c>
      <c r="P52" s="115">
        <v>0.53199999999999648</v>
      </c>
      <c r="Q52" s="115">
        <v>6.3520000000000252</v>
      </c>
      <c r="R52" s="115">
        <v>8.9170000000000016</v>
      </c>
      <c r="S52" s="4">
        <f t="shared" si="2"/>
        <v>0.48187241031066064</v>
      </c>
      <c r="T52" s="4">
        <f t="shared" si="3"/>
        <v>0.18525876529658414</v>
      </c>
      <c r="U52" s="4">
        <f t="shared" si="4"/>
        <v>0.86640549837805636</v>
      </c>
      <c r="V52" s="4">
        <f t="shared" si="5"/>
        <v>0.99638031323341025</v>
      </c>
      <c r="W52" s="116">
        <v>42</v>
      </c>
      <c r="X52" s="115">
        <v>5</v>
      </c>
      <c r="Y52" s="115">
        <v>3</v>
      </c>
      <c r="Z52" s="5">
        <f t="shared" si="6"/>
        <v>2</v>
      </c>
    </row>
    <row r="53" spans="1:26">
      <c r="A53" s="4">
        <v>5</v>
      </c>
      <c r="B53" s="4" t="s">
        <v>151</v>
      </c>
      <c r="C53" s="4" t="s">
        <v>149</v>
      </c>
      <c r="D53" s="5">
        <v>4</v>
      </c>
      <c r="E53" s="5">
        <v>9</v>
      </c>
      <c r="F53" s="4">
        <f t="shared" si="0"/>
        <v>11.399999999999977</v>
      </c>
      <c r="G53" s="4">
        <f t="shared" si="1"/>
        <v>1.0934216851622343</v>
      </c>
      <c r="H53" s="5">
        <v>0</v>
      </c>
      <c r="I53" s="5">
        <v>5</v>
      </c>
      <c r="J53" s="5">
        <v>0</v>
      </c>
      <c r="K53" s="5"/>
      <c r="L53" s="5">
        <v>2</v>
      </c>
      <c r="M53" s="5">
        <v>636.70000000000005</v>
      </c>
      <c r="N53" s="5">
        <v>648.1</v>
      </c>
      <c r="O53" s="116">
        <v>2.9659999999996671</v>
      </c>
      <c r="P53" s="115">
        <v>1.5989999999999327</v>
      </c>
      <c r="Q53" s="115">
        <v>2.1490000000000009</v>
      </c>
      <c r="R53" s="115">
        <v>6.7139999999996007</v>
      </c>
      <c r="S53" s="4">
        <f t="shared" si="2"/>
        <v>0.59835270986924738</v>
      </c>
      <c r="T53" s="4">
        <f t="shared" si="3"/>
        <v>0.41480627950100135</v>
      </c>
      <c r="U53" s="4">
        <f t="shared" si="4"/>
        <v>0.49817266063654403</v>
      </c>
      <c r="V53" s="4">
        <f t="shared" si="5"/>
        <v>0.88727963453000058</v>
      </c>
      <c r="W53" s="116">
        <v>25</v>
      </c>
      <c r="X53" s="115">
        <v>6</v>
      </c>
      <c r="Y53" s="115">
        <v>3</v>
      </c>
      <c r="Z53" s="5">
        <f t="shared" si="6"/>
        <v>3</v>
      </c>
    </row>
    <row r="54" spans="1:26">
      <c r="A54" s="4">
        <v>5</v>
      </c>
      <c r="B54" s="4" t="s">
        <v>151</v>
      </c>
      <c r="C54" s="4" t="s">
        <v>154</v>
      </c>
      <c r="D54" s="5">
        <v>5</v>
      </c>
      <c r="E54" s="5">
        <v>5</v>
      </c>
      <c r="F54" s="4">
        <f t="shared" si="0"/>
        <v>15.900000000000034</v>
      </c>
      <c r="G54" s="4">
        <f t="shared" si="1"/>
        <v>1.2278867046136743</v>
      </c>
      <c r="H54" s="5">
        <v>1</v>
      </c>
      <c r="I54" s="5">
        <v>2</v>
      </c>
      <c r="J54" s="5">
        <v>0</v>
      </c>
      <c r="K54" s="5"/>
      <c r="L54" s="5">
        <v>2</v>
      </c>
      <c r="M54" s="5">
        <v>333.2</v>
      </c>
      <c r="N54" s="5">
        <v>349.1</v>
      </c>
      <c r="O54" s="116">
        <v>5.9019999999998731</v>
      </c>
      <c r="P54" s="115">
        <v>1.8829999999999814</v>
      </c>
      <c r="Q54" s="115">
        <v>3.5480000000000587</v>
      </c>
      <c r="R54" s="115">
        <v>11.332999999999913</v>
      </c>
      <c r="S54" s="4">
        <f t="shared" si="2"/>
        <v>0.83897495495546004</v>
      </c>
      <c r="T54" s="4">
        <f t="shared" si="3"/>
        <v>0.45984464238820499</v>
      </c>
      <c r="U54" s="4">
        <f t="shared" si="4"/>
        <v>0.65782045601570283</v>
      </c>
      <c r="V54" s="4">
        <f t="shared" si="5"/>
        <v>1.0910687315000092</v>
      </c>
      <c r="W54" s="116">
        <v>45</v>
      </c>
      <c r="X54" s="115">
        <v>9</v>
      </c>
      <c r="Y54" s="115">
        <v>4</v>
      </c>
      <c r="Z54" s="5">
        <f t="shared" si="6"/>
        <v>5</v>
      </c>
    </row>
    <row r="55" spans="1:26">
      <c r="A55" s="4">
        <v>5</v>
      </c>
      <c r="B55" s="4" t="s">
        <v>151</v>
      </c>
      <c r="C55" s="4" t="s">
        <v>150</v>
      </c>
      <c r="D55" s="5">
        <v>6</v>
      </c>
      <c r="E55" s="5">
        <v>3</v>
      </c>
      <c r="F55" s="4">
        <f t="shared" si="0"/>
        <v>12.900000000000006</v>
      </c>
      <c r="G55" s="4">
        <f t="shared" si="1"/>
        <v>1.1430148002540952</v>
      </c>
      <c r="H55" s="5">
        <v>1</v>
      </c>
      <c r="I55" s="5">
        <v>5</v>
      </c>
      <c r="J55" s="5">
        <v>0</v>
      </c>
      <c r="K55" s="5"/>
      <c r="L55" s="5">
        <v>1</v>
      </c>
      <c r="M55" s="5">
        <v>233</v>
      </c>
      <c r="N55" s="5">
        <v>245.9</v>
      </c>
      <c r="O55" s="116">
        <v>4.7510000000000616</v>
      </c>
      <c r="P55" s="115">
        <v>0.61600000000001387</v>
      </c>
      <c r="Q55" s="115">
        <v>2</v>
      </c>
      <c r="R55" s="115">
        <v>7.3670000000000755</v>
      </c>
      <c r="S55" s="4">
        <f t="shared" si="2"/>
        <v>0.75974336759772965</v>
      </c>
      <c r="T55" s="4">
        <f t="shared" si="3"/>
        <v>0.20844135643857109</v>
      </c>
      <c r="U55" s="4">
        <f t="shared" si="4"/>
        <v>0.47712125471966244</v>
      </c>
      <c r="V55" s="4">
        <f t="shared" si="5"/>
        <v>0.92256976898571619</v>
      </c>
      <c r="W55" s="116">
        <v>34</v>
      </c>
      <c r="X55" s="115">
        <v>7</v>
      </c>
      <c r="Y55" s="115">
        <v>2</v>
      </c>
      <c r="Z55" s="5">
        <f t="shared" si="6"/>
        <v>5</v>
      </c>
    </row>
    <row r="56" spans="1:26">
      <c r="A56" s="4">
        <v>5</v>
      </c>
      <c r="B56" s="4" t="s">
        <v>152</v>
      </c>
      <c r="C56" s="4" t="s">
        <v>149</v>
      </c>
      <c r="D56" s="5">
        <v>7</v>
      </c>
      <c r="E56" s="5">
        <v>12</v>
      </c>
      <c r="F56" s="4">
        <f t="shared" si="0"/>
        <v>11</v>
      </c>
      <c r="G56" s="4">
        <f t="shared" si="1"/>
        <v>1.0791812460476249</v>
      </c>
      <c r="H56" s="5">
        <v>1</v>
      </c>
      <c r="I56" s="5">
        <v>6</v>
      </c>
      <c r="J56" s="5">
        <v>0</v>
      </c>
      <c r="K56" s="5"/>
      <c r="L56" s="5">
        <v>2</v>
      </c>
      <c r="M56" s="5">
        <v>927.6</v>
      </c>
      <c r="N56" s="5">
        <v>938.6</v>
      </c>
      <c r="O56" s="116">
        <v>2.2509999999998627</v>
      </c>
      <c r="P56" s="115">
        <v>2.25100000000009</v>
      </c>
      <c r="Q56" s="115">
        <v>2.8820000000001755</v>
      </c>
      <c r="R56" s="115">
        <v>7.3840000000001282</v>
      </c>
      <c r="S56" s="4">
        <f t="shared" si="2"/>
        <v>0.51201696949610831</v>
      </c>
      <c r="T56" s="4">
        <f t="shared" si="3"/>
        <v>0.51201696949613873</v>
      </c>
      <c r="U56" s="4">
        <f t="shared" si="4"/>
        <v>0.58905553105236363</v>
      </c>
      <c r="V56" s="4">
        <f t="shared" si="5"/>
        <v>0.92345126963965807</v>
      </c>
      <c r="W56" s="116">
        <v>34</v>
      </c>
      <c r="X56" s="115">
        <v>5</v>
      </c>
      <c r="Y56" s="115">
        <v>4</v>
      </c>
      <c r="Z56" s="5">
        <f t="shared" si="6"/>
        <v>1</v>
      </c>
    </row>
    <row r="57" spans="1:26">
      <c r="A57" s="4">
        <v>5</v>
      </c>
      <c r="B57" s="4" t="s">
        <v>152</v>
      </c>
      <c r="C57" s="4" t="s">
        <v>149</v>
      </c>
      <c r="D57" s="5">
        <v>8</v>
      </c>
      <c r="E57" s="5">
        <v>10</v>
      </c>
      <c r="F57" s="4">
        <f t="shared" si="0"/>
        <v>6.2000000000000455</v>
      </c>
      <c r="G57" s="4">
        <f t="shared" si="1"/>
        <v>0.85733249643127118</v>
      </c>
      <c r="H57" s="5">
        <v>1</v>
      </c>
      <c r="I57" s="5">
        <v>5</v>
      </c>
      <c r="J57" s="5">
        <v>0</v>
      </c>
      <c r="K57" s="5"/>
      <c r="L57" s="5">
        <v>1</v>
      </c>
      <c r="M57" s="5">
        <v>815.4</v>
      </c>
      <c r="N57" s="5">
        <v>821.6</v>
      </c>
      <c r="O57" s="116">
        <v>2.8150000000001683</v>
      </c>
      <c r="P57" s="115">
        <v>1.3979999999999109</v>
      </c>
      <c r="Q57" s="115">
        <v>0.28399999999999181</v>
      </c>
      <c r="R57" s="115">
        <v>4.4970000000000709</v>
      </c>
      <c r="S57" s="4">
        <f t="shared" si="2"/>
        <v>0.58149454229091846</v>
      </c>
      <c r="T57" s="4">
        <f t="shared" si="3"/>
        <v>0.37984917876281371</v>
      </c>
      <c r="U57" s="4">
        <f t="shared" si="4"/>
        <v>0.10856502373283169</v>
      </c>
      <c r="V57" s="4">
        <f t="shared" si="5"/>
        <v>0.74012573696573614</v>
      </c>
      <c r="W57" s="116">
        <v>16</v>
      </c>
      <c r="X57" s="115">
        <v>3</v>
      </c>
      <c r="Y57" s="115">
        <v>2</v>
      </c>
      <c r="Z57" s="5">
        <f t="shared" si="6"/>
        <v>1</v>
      </c>
    </row>
    <row r="58" spans="1:26">
      <c r="A58" s="4">
        <v>5</v>
      </c>
      <c r="B58" s="4" t="s">
        <v>152</v>
      </c>
      <c r="C58" s="4" t="s">
        <v>150</v>
      </c>
      <c r="D58" s="5">
        <v>9</v>
      </c>
      <c r="E58" s="5">
        <v>2</v>
      </c>
      <c r="F58" s="4">
        <f t="shared" si="0"/>
        <v>12.800000000000011</v>
      </c>
      <c r="G58" s="4">
        <f t="shared" si="1"/>
        <v>1.1398790864012369</v>
      </c>
      <c r="H58" s="5">
        <v>1</v>
      </c>
      <c r="I58" s="5">
        <v>5</v>
      </c>
      <c r="J58" s="5">
        <v>0</v>
      </c>
      <c r="K58" s="5"/>
      <c r="L58" s="5">
        <v>2</v>
      </c>
      <c r="M58" s="5">
        <v>185</v>
      </c>
      <c r="N58" s="5">
        <v>197.8</v>
      </c>
      <c r="O58" s="116">
        <v>4.2669999999999675</v>
      </c>
      <c r="P58" s="115">
        <v>1.3800000000000239</v>
      </c>
      <c r="Q58" s="115">
        <v>1.2819999999999823</v>
      </c>
      <c r="R58" s="115">
        <v>6.9289999999999736</v>
      </c>
      <c r="S58" s="4">
        <f t="shared" si="2"/>
        <v>0.72156331835747822</v>
      </c>
      <c r="T58" s="4">
        <f t="shared" si="3"/>
        <v>0.37657695705651634</v>
      </c>
      <c r="U58" s="4">
        <f t="shared" si="4"/>
        <v>0.35831564008219247</v>
      </c>
      <c r="V58" s="4">
        <f t="shared" si="5"/>
        <v>0.89921841785137135</v>
      </c>
      <c r="W58" s="116">
        <v>34</v>
      </c>
      <c r="X58" s="115">
        <v>7</v>
      </c>
      <c r="Y58" s="115">
        <v>3</v>
      </c>
      <c r="Z58" s="5">
        <f t="shared" si="6"/>
        <v>4</v>
      </c>
    </row>
    <row r="59" spans="1:26">
      <c r="A59" s="4">
        <v>5</v>
      </c>
      <c r="B59" s="4" t="s">
        <v>152</v>
      </c>
      <c r="C59" s="4" t="s">
        <v>150</v>
      </c>
      <c r="D59" s="5">
        <v>10</v>
      </c>
      <c r="E59" s="5">
        <v>4</v>
      </c>
      <c r="F59" s="4">
        <f t="shared" si="0"/>
        <v>6.3999999999999773</v>
      </c>
      <c r="G59" s="4">
        <f t="shared" si="1"/>
        <v>0.86923171973097491</v>
      </c>
      <c r="H59" s="5">
        <v>1</v>
      </c>
      <c r="I59" s="5">
        <v>5</v>
      </c>
      <c r="J59" s="5">
        <v>0</v>
      </c>
      <c r="K59" s="5"/>
      <c r="L59" s="5">
        <v>1</v>
      </c>
      <c r="M59" s="5">
        <v>288</v>
      </c>
      <c r="N59" s="5">
        <v>294.39999999999998</v>
      </c>
      <c r="O59" s="116">
        <v>1.0999999999999659</v>
      </c>
      <c r="P59" s="115">
        <v>1.7160000000000082</v>
      </c>
      <c r="Q59" s="115">
        <v>2.0659999999999741</v>
      </c>
      <c r="R59" s="115">
        <v>4.8819999999999482</v>
      </c>
      <c r="S59" s="4">
        <f t="shared" si="2"/>
        <v>0.3222192947339122</v>
      </c>
      <c r="T59" s="4">
        <f t="shared" si="3"/>
        <v>0.43392976560846536</v>
      </c>
      <c r="U59" s="4">
        <f t="shared" si="4"/>
        <v>0.48657215051835268</v>
      </c>
      <c r="V59" s="4">
        <f t="shared" si="5"/>
        <v>0.76952502017104674</v>
      </c>
      <c r="W59" s="116">
        <v>20</v>
      </c>
      <c r="X59" s="115">
        <v>2</v>
      </c>
      <c r="Y59" s="115">
        <v>2</v>
      </c>
      <c r="Z59" s="5">
        <f t="shared" si="6"/>
        <v>0</v>
      </c>
    </row>
    <row r="60" spans="1:26">
      <c r="A60" s="4">
        <v>5</v>
      </c>
      <c r="B60" s="4" t="s">
        <v>152</v>
      </c>
      <c r="C60" s="4" t="s">
        <v>154</v>
      </c>
      <c r="D60" s="5">
        <v>11</v>
      </c>
      <c r="E60" s="5">
        <v>6</v>
      </c>
      <c r="F60" s="4">
        <f t="shared" si="0"/>
        <v>19.599999999999966</v>
      </c>
      <c r="G60" s="4">
        <f t="shared" si="1"/>
        <v>1.3138672203691526</v>
      </c>
      <c r="H60" s="5">
        <v>1</v>
      </c>
      <c r="I60" s="5">
        <v>3</v>
      </c>
      <c r="J60" s="5">
        <v>1</v>
      </c>
      <c r="K60" s="5"/>
      <c r="L60" s="5">
        <v>3</v>
      </c>
      <c r="M60" s="5">
        <v>381.3</v>
      </c>
      <c r="N60" s="5">
        <v>400.9</v>
      </c>
      <c r="O60" s="116">
        <v>11.263000000000147</v>
      </c>
      <c r="P60" s="115">
        <v>3.3139999999999645</v>
      </c>
      <c r="Q60" s="115">
        <v>1.1020000000000323</v>
      </c>
      <c r="R60" s="115">
        <v>15.679000000000144</v>
      </c>
      <c r="S60" s="4">
        <f t="shared" si="2"/>
        <v>1.0885967282627513</v>
      </c>
      <c r="T60" s="4">
        <f t="shared" si="3"/>
        <v>0.63488014076652266</v>
      </c>
      <c r="U60" s="4">
        <f t="shared" si="4"/>
        <v>0.32263271169223007</v>
      </c>
      <c r="V60" s="4">
        <f t="shared" si="5"/>
        <v>1.2221700086817691</v>
      </c>
      <c r="W60" s="116">
        <v>50</v>
      </c>
      <c r="X60" s="115">
        <v>10</v>
      </c>
      <c r="Y60" s="115">
        <v>5</v>
      </c>
      <c r="Z60" s="5">
        <f t="shared" si="6"/>
        <v>5</v>
      </c>
    </row>
    <row r="61" spans="1:26">
      <c r="A61" s="4">
        <v>5</v>
      </c>
      <c r="B61" s="4" t="s">
        <v>152</v>
      </c>
      <c r="C61" s="4" t="s">
        <v>154</v>
      </c>
      <c r="D61" s="5">
        <v>12</v>
      </c>
      <c r="E61" s="5">
        <v>8</v>
      </c>
      <c r="F61" s="4">
        <f t="shared" si="0"/>
        <v>20.900000000000091</v>
      </c>
      <c r="G61" s="4">
        <f t="shared" si="1"/>
        <v>1.34044411484012</v>
      </c>
      <c r="H61" s="5">
        <v>1</v>
      </c>
      <c r="I61" s="5">
        <v>3</v>
      </c>
      <c r="J61" s="5">
        <v>0</v>
      </c>
      <c r="K61" s="5"/>
      <c r="L61" s="5">
        <v>1</v>
      </c>
      <c r="M61" s="5">
        <v>588.79999999999995</v>
      </c>
      <c r="N61" s="5">
        <v>609.70000000000005</v>
      </c>
      <c r="O61" s="116">
        <v>4.5009999999999764</v>
      </c>
      <c r="P61" s="115">
        <v>10.798999999999978</v>
      </c>
      <c r="Q61" s="115">
        <v>0.59900000000004638</v>
      </c>
      <c r="R61" s="115">
        <v>15.899000000000001</v>
      </c>
      <c r="S61" s="4">
        <f t="shared" si="2"/>
        <v>0.74044164494976406</v>
      </c>
      <c r="T61" s="4">
        <f t="shared" si="3"/>
        <v>1.0718452011294084</v>
      </c>
      <c r="U61" s="4">
        <f t="shared" si="4"/>
        <v>0.20384846374624729</v>
      </c>
      <c r="V61" s="4">
        <f t="shared" si="5"/>
        <v>1.2278610059550132</v>
      </c>
      <c r="W61" s="116">
        <v>52</v>
      </c>
      <c r="X61" s="115">
        <v>10</v>
      </c>
      <c r="Y61" s="115">
        <v>4</v>
      </c>
      <c r="Z61" s="5">
        <f t="shared" si="6"/>
        <v>6</v>
      </c>
    </row>
    <row r="62" spans="1:26">
      <c r="A62" s="4">
        <v>6</v>
      </c>
      <c r="B62" s="4" t="s">
        <v>151</v>
      </c>
      <c r="C62" s="4" t="s">
        <v>149</v>
      </c>
      <c r="D62" s="5">
        <v>1</v>
      </c>
      <c r="E62" s="5">
        <v>5</v>
      </c>
      <c r="F62" s="4">
        <f t="shared" si="0"/>
        <v>16.800000000000011</v>
      </c>
      <c r="G62" s="4">
        <f t="shared" si="1"/>
        <v>1.2504200023088943</v>
      </c>
      <c r="H62" s="5">
        <v>1</v>
      </c>
      <c r="I62" s="5">
        <v>5</v>
      </c>
      <c r="J62" s="5">
        <v>0</v>
      </c>
      <c r="K62" s="5"/>
      <c r="L62" s="5">
        <v>1</v>
      </c>
      <c r="M62" s="5">
        <v>265.5</v>
      </c>
      <c r="N62" s="5">
        <v>282.3</v>
      </c>
      <c r="O62" s="116">
        <v>0.63499999999993406</v>
      </c>
      <c r="P62" s="115">
        <v>1.4180000000001201</v>
      </c>
      <c r="Q62" s="115">
        <v>2.3180000000000405</v>
      </c>
      <c r="R62" s="115">
        <v>4.3710000000000946</v>
      </c>
      <c r="S62" s="4">
        <f t="shared" si="2"/>
        <v>0.21351775699628736</v>
      </c>
      <c r="T62" s="4">
        <f t="shared" si="3"/>
        <v>0.38345629652477464</v>
      </c>
      <c r="U62" s="4">
        <f t="shared" si="4"/>
        <v>0.52087638168834716</v>
      </c>
      <c r="V62" s="4">
        <f t="shared" si="5"/>
        <v>0.73005515237550744</v>
      </c>
      <c r="W62" s="116">
        <v>29</v>
      </c>
      <c r="X62" s="115">
        <v>4</v>
      </c>
      <c r="Y62" s="115">
        <v>3</v>
      </c>
      <c r="Z62" s="5">
        <f t="shared" si="6"/>
        <v>1</v>
      </c>
    </row>
    <row r="63" spans="1:26">
      <c r="A63" s="4">
        <v>6</v>
      </c>
      <c r="B63" s="4" t="s">
        <v>151</v>
      </c>
      <c r="C63" s="4" t="s">
        <v>154</v>
      </c>
      <c r="D63" s="5">
        <v>2</v>
      </c>
      <c r="E63" s="5">
        <v>9</v>
      </c>
      <c r="F63" s="4">
        <f t="shared" si="0"/>
        <v>18.200000000000045</v>
      </c>
      <c r="G63" s="4">
        <f t="shared" si="1"/>
        <v>1.2833012287035506</v>
      </c>
      <c r="H63" s="5">
        <v>1</v>
      </c>
      <c r="I63" s="5">
        <v>3</v>
      </c>
      <c r="J63" s="5">
        <v>1</v>
      </c>
      <c r="K63" s="5"/>
      <c r="L63" s="5">
        <v>5</v>
      </c>
      <c r="M63" s="5">
        <v>429.9</v>
      </c>
      <c r="N63" s="5">
        <v>448.1</v>
      </c>
      <c r="O63" s="116">
        <v>4.0670000000000641</v>
      </c>
      <c r="P63" s="115">
        <v>1.5320000000000391</v>
      </c>
      <c r="Q63" s="115">
        <v>2.5489999999999782</v>
      </c>
      <c r="R63" s="115">
        <v>8.1480000000000814</v>
      </c>
      <c r="S63" s="4">
        <f t="shared" si="2"/>
        <v>0.70475090429067655</v>
      </c>
      <c r="T63" s="4">
        <f t="shared" si="3"/>
        <v>0.40346370134532422</v>
      </c>
      <c r="U63" s="4">
        <f t="shared" si="4"/>
        <v>0.55010599934759008</v>
      </c>
      <c r="V63" s="4">
        <f t="shared" si="5"/>
        <v>0.96132615593471471</v>
      </c>
      <c r="W63" s="116">
        <v>44</v>
      </c>
      <c r="X63" s="115">
        <v>22</v>
      </c>
      <c r="Y63" s="115">
        <v>7</v>
      </c>
      <c r="Z63" s="5">
        <f t="shared" si="6"/>
        <v>15</v>
      </c>
    </row>
    <row r="64" spans="1:26">
      <c r="A64" s="4">
        <v>6</v>
      </c>
      <c r="B64" s="4" t="s">
        <v>151</v>
      </c>
      <c r="C64" s="4" t="s">
        <v>154</v>
      </c>
      <c r="D64" s="5">
        <v>3</v>
      </c>
      <c r="E64" s="5">
        <v>11</v>
      </c>
      <c r="F64" s="4">
        <f t="shared" si="0"/>
        <v>14</v>
      </c>
      <c r="G64" s="4">
        <f t="shared" si="1"/>
        <v>1.1760912590556813</v>
      </c>
      <c r="H64" s="5">
        <v>1</v>
      </c>
      <c r="I64" s="5">
        <v>5</v>
      </c>
      <c r="J64" s="5">
        <v>1</v>
      </c>
      <c r="K64" s="5"/>
      <c r="L64" s="5">
        <v>5</v>
      </c>
      <c r="M64" s="5">
        <v>501.6</v>
      </c>
      <c r="N64" s="5">
        <v>515.6</v>
      </c>
      <c r="O64" s="116">
        <v>2.1499999999999204</v>
      </c>
      <c r="P64" s="115">
        <v>0.25</v>
      </c>
      <c r="Q64" s="115">
        <v>0.78299999999990177</v>
      </c>
      <c r="R64" s="115">
        <v>3.1829999999998222</v>
      </c>
      <c r="S64" s="4">
        <f t="shared" si="2"/>
        <v>0.49831055378958955</v>
      </c>
      <c r="T64" s="4">
        <f t="shared" si="3"/>
        <v>9.691001300805642E-2</v>
      </c>
      <c r="U64" s="4">
        <f t="shared" si="4"/>
        <v>0.25115134317533067</v>
      </c>
      <c r="V64" s="4">
        <f t="shared" si="5"/>
        <v>0.62148786458061178</v>
      </c>
      <c r="W64" s="116">
        <v>22</v>
      </c>
      <c r="X64" s="115">
        <v>13</v>
      </c>
      <c r="Y64" s="115">
        <v>7</v>
      </c>
      <c r="Z64" s="5">
        <f>X64-Y64</f>
        <v>6</v>
      </c>
    </row>
    <row r="65" spans="1:26">
      <c r="A65" s="4">
        <v>6</v>
      </c>
      <c r="B65" s="4" t="s">
        <v>151</v>
      </c>
      <c r="C65" s="4" t="s">
        <v>150</v>
      </c>
      <c r="D65" s="5">
        <v>4</v>
      </c>
      <c r="E65" s="5">
        <v>1</v>
      </c>
      <c r="F65" s="4">
        <f t="shared" si="0"/>
        <v>25.400000000000006</v>
      </c>
      <c r="G65" s="4">
        <f t="shared" si="1"/>
        <v>1.4216039268698311</v>
      </c>
      <c r="H65" s="5">
        <v>1</v>
      </c>
      <c r="I65" s="5">
        <v>5</v>
      </c>
      <c r="J65" s="5">
        <v>1</v>
      </c>
      <c r="K65" s="5"/>
      <c r="L65" s="5">
        <v>3</v>
      </c>
      <c r="M65" s="5">
        <v>69.5</v>
      </c>
      <c r="N65" s="5">
        <v>94.9</v>
      </c>
      <c r="O65" s="116">
        <v>1.3340000000000032</v>
      </c>
      <c r="P65" s="115">
        <v>0.38500000000000512</v>
      </c>
      <c r="Q65" s="115">
        <v>9.0190000000000055</v>
      </c>
      <c r="R65" s="115">
        <v>10.738000000000014</v>
      </c>
      <c r="S65" s="4">
        <f t="shared" si="2"/>
        <v>0.36810085170935197</v>
      </c>
      <c r="T65" s="4">
        <f t="shared" si="3"/>
        <v>0.14144977340046896</v>
      </c>
      <c r="U65" s="4">
        <f t="shared" si="4"/>
        <v>1.0008243766056057</v>
      </c>
      <c r="V65" s="4">
        <f t="shared" si="5"/>
        <v>1.0695941051775553</v>
      </c>
      <c r="W65" s="116">
        <v>54</v>
      </c>
      <c r="X65" s="115">
        <v>12</v>
      </c>
      <c r="Y65" s="115">
        <v>4</v>
      </c>
      <c r="Z65" s="5">
        <f t="shared" si="6"/>
        <v>8</v>
      </c>
    </row>
    <row r="66" spans="1:26">
      <c r="A66" s="4">
        <v>6</v>
      </c>
      <c r="B66" s="4" t="s">
        <v>151</v>
      </c>
      <c r="C66" s="4" t="s">
        <v>150</v>
      </c>
      <c r="D66" s="5">
        <v>5</v>
      </c>
      <c r="E66" s="5">
        <v>3</v>
      </c>
      <c r="F66" s="4">
        <f t="shared" ref="F66:F129" si="7">N66-M66</f>
        <v>25.300000000000011</v>
      </c>
      <c r="G66" s="4">
        <f t="shared" ref="G66:G129" si="8">LOG10(F66+1)</f>
        <v>1.419955748489758</v>
      </c>
      <c r="H66" s="5">
        <v>1</v>
      </c>
      <c r="I66" s="5">
        <v>5</v>
      </c>
      <c r="J66" s="5">
        <v>0</v>
      </c>
      <c r="K66" s="5"/>
      <c r="L66" s="5">
        <v>1</v>
      </c>
      <c r="M66" s="5">
        <v>163.6</v>
      </c>
      <c r="N66" s="5">
        <v>188.9</v>
      </c>
      <c r="O66" s="116">
        <v>0.21699999999998454</v>
      </c>
      <c r="P66" s="115"/>
      <c r="Q66" s="115">
        <v>0.80099999999998772</v>
      </c>
      <c r="R66" s="115">
        <v>1.0179999999999723</v>
      </c>
      <c r="S66" s="4">
        <f t="shared" ref="S66:S129" si="9">LOG10(O66+1)</f>
        <v>8.5290578230059477E-2</v>
      </c>
      <c r="T66" s="4">
        <f t="shared" ref="T66:T129" si="10">LOG10(P66+1)</f>
        <v>0</v>
      </c>
      <c r="U66" s="4">
        <f t="shared" ref="U66:U129" si="11">LOG10(Q66+1)</f>
        <v>0.25551371281953039</v>
      </c>
      <c r="V66" s="4">
        <f t="shared" ref="V66:V129" si="12">LOG10(R66+1)</f>
        <v>0.30492116190088575</v>
      </c>
      <c r="W66" s="116">
        <v>7</v>
      </c>
      <c r="X66" s="115">
        <v>2</v>
      </c>
      <c r="Y66" s="115">
        <v>2</v>
      </c>
      <c r="Z66" s="5">
        <f t="shared" si="6"/>
        <v>0</v>
      </c>
    </row>
    <row r="67" spans="1:26">
      <c r="A67" s="4">
        <v>6</v>
      </c>
      <c r="B67" s="4" t="s">
        <v>151</v>
      </c>
      <c r="C67" s="4" t="s">
        <v>149</v>
      </c>
      <c r="D67" s="5">
        <v>6</v>
      </c>
      <c r="E67" s="5">
        <v>7</v>
      </c>
      <c r="F67" s="4">
        <f t="shared" si="7"/>
        <v>9.3999999999999773</v>
      </c>
      <c r="G67" s="4">
        <f t="shared" si="8"/>
        <v>1.0170333392987794</v>
      </c>
      <c r="H67" s="5">
        <v>1</v>
      </c>
      <c r="I67" s="5">
        <v>4</v>
      </c>
      <c r="J67" s="5">
        <v>0</v>
      </c>
      <c r="K67" s="5"/>
      <c r="L67" s="5">
        <v>1</v>
      </c>
      <c r="M67" s="5">
        <v>348.8</v>
      </c>
      <c r="N67" s="5">
        <v>358.2</v>
      </c>
      <c r="O67" s="116">
        <v>0.7540000000000191</v>
      </c>
      <c r="P67" s="115">
        <v>0.15000000000003411</v>
      </c>
      <c r="Q67" s="115">
        <v>0.20000000000004547</v>
      </c>
      <c r="R67" s="115">
        <v>1.1040000000000987</v>
      </c>
      <c r="S67" s="4">
        <f t="shared" si="9"/>
        <v>0.24402958903002644</v>
      </c>
      <c r="T67" s="4">
        <f t="shared" si="10"/>
        <v>6.0697840353624563E-2</v>
      </c>
      <c r="U67" s="4">
        <f t="shared" si="11"/>
        <v>7.918124604764129E-2</v>
      </c>
      <c r="V67" s="4">
        <f t="shared" si="12"/>
        <v>0.32304573548172183</v>
      </c>
      <c r="W67" s="116">
        <v>5</v>
      </c>
      <c r="X67" s="115">
        <v>3</v>
      </c>
      <c r="Y67" s="115">
        <v>2</v>
      </c>
      <c r="Z67" s="5">
        <f t="shared" ref="Z67:Z91" si="13">X67-Y67</f>
        <v>1</v>
      </c>
    </row>
    <row r="68" spans="1:26">
      <c r="A68" s="4">
        <v>6</v>
      </c>
      <c r="B68" s="4" t="s">
        <v>152</v>
      </c>
      <c r="C68" s="4" t="s">
        <v>149</v>
      </c>
      <c r="D68" s="5">
        <v>7</v>
      </c>
      <c r="E68" s="5">
        <v>6</v>
      </c>
      <c r="F68" s="4">
        <f t="shared" si="7"/>
        <v>12.200000000000045</v>
      </c>
      <c r="G68" s="4">
        <f t="shared" si="8"/>
        <v>1.1205739312058514</v>
      </c>
      <c r="H68" s="5">
        <v>1</v>
      </c>
      <c r="I68" s="5">
        <v>4</v>
      </c>
      <c r="J68" s="5">
        <v>0</v>
      </c>
      <c r="K68" s="5"/>
      <c r="L68" s="5">
        <v>2</v>
      </c>
      <c r="M68" s="5">
        <v>304.89999999999998</v>
      </c>
      <c r="N68" s="5">
        <v>317.10000000000002</v>
      </c>
      <c r="O68" s="116">
        <v>0.58400000000006003</v>
      </c>
      <c r="P68" s="115">
        <v>0.39999999999997726</v>
      </c>
      <c r="Q68" s="115">
        <v>0.28200000000003911</v>
      </c>
      <c r="R68" s="115">
        <v>1.2660000000000764</v>
      </c>
      <c r="S68" s="4">
        <f t="shared" si="9"/>
        <v>0.19975517725349115</v>
      </c>
      <c r="T68" s="4">
        <f t="shared" si="10"/>
        <v>0.14612803567823096</v>
      </c>
      <c r="U68" s="4">
        <f t="shared" si="11"/>
        <v>0.10788802518281186</v>
      </c>
      <c r="V68" s="4">
        <f t="shared" si="12"/>
        <v>0.35525990552739306</v>
      </c>
      <c r="W68" s="116">
        <v>9</v>
      </c>
      <c r="X68" s="115">
        <v>6</v>
      </c>
      <c r="Y68" s="115">
        <v>3</v>
      </c>
      <c r="Z68" s="5">
        <f t="shared" si="13"/>
        <v>3</v>
      </c>
    </row>
    <row r="69" spans="1:26">
      <c r="A69" s="4">
        <v>6</v>
      </c>
      <c r="B69" s="4" t="s">
        <v>152</v>
      </c>
      <c r="C69" s="4" t="s">
        <v>154</v>
      </c>
      <c r="D69" s="5">
        <v>8</v>
      </c>
      <c r="E69" s="5">
        <v>10</v>
      </c>
      <c r="F69" s="4">
        <f t="shared" si="7"/>
        <v>6.5</v>
      </c>
      <c r="G69" s="4">
        <f t="shared" si="8"/>
        <v>0.87506126339170009</v>
      </c>
      <c r="H69" s="5">
        <v>1</v>
      </c>
      <c r="I69" s="5">
        <v>5</v>
      </c>
      <c r="J69" s="5">
        <v>0</v>
      </c>
      <c r="K69" s="5"/>
      <c r="L69" s="5">
        <v>2</v>
      </c>
      <c r="M69" s="5">
        <v>472.2</v>
      </c>
      <c r="N69" s="5">
        <v>478.7</v>
      </c>
      <c r="O69" s="116">
        <v>9.9999999999965894E-2</v>
      </c>
      <c r="P69" s="115">
        <v>1.5990000000000464</v>
      </c>
      <c r="Q69" s="115">
        <v>1.1170000000000186</v>
      </c>
      <c r="R69" s="115">
        <v>2.8160000000000309</v>
      </c>
      <c r="S69" s="4">
        <f t="shared" si="9"/>
        <v>4.1392685158211574E-2</v>
      </c>
      <c r="T69" s="4">
        <f t="shared" si="10"/>
        <v>0.41480627950102034</v>
      </c>
      <c r="U69" s="4">
        <f t="shared" si="11"/>
        <v>0.3257208580194158</v>
      </c>
      <c r="V69" s="4">
        <f t="shared" si="12"/>
        <v>0.58160836603206101</v>
      </c>
      <c r="W69" s="116">
        <v>13</v>
      </c>
      <c r="X69" s="115">
        <v>2</v>
      </c>
      <c r="Y69" s="115">
        <v>2</v>
      </c>
      <c r="Z69" s="5">
        <f t="shared" si="13"/>
        <v>0</v>
      </c>
    </row>
    <row r="70" spans="1:26">
      <c r="A70" s="4">
        <v>6</v>
      </c>
      <c r="B70" s="4" t="s">
        <v>152</v>
      </c>
      <c r="C70" s="4" t="s">
        <v>154</v>
      </c>
      <c r="D70" s="5">
        <v>9</v>
      </c>
      <c r="E70" s="5">
        <v>12</v>
      </c>
      <c r="F70" s="4">
        <f t="shared" si="7"/>
        <v>9.1000000000000227</v>
      </c>
      <c r="G70" s="4">
        <f t="shared" si="8"/>
        <v>1.0043213737826435</v>
      </c>
      <c r="H70" s="5">
        <v>1</v>
      </c>
      <c r="I70" s="5">
        <v>4</v>
      </c>
      <c r="J70" s="5">
        <v>0</v>
      </c>
      <c r="K70" s="5"/>
      <c r="L70" s="5">
        <v>2</v>
      </c>
      <c r="M70" s="5">
        <v>540.9</v>
      </c>
      <c r="N70" s="5">
        <v>550</v>
      </c>
      <c r="O70" s="116">
        <v>0.20000000000004547</v>
      </c>
      <c r="P70" s="115">
        <v>0.28299999999990177</v>
      </c>
      <c r="Q70" s="115">
        <v>0.31599999999991724</v>
      </c>
      <c r="R70" s="115">
        <v>0.79899999999986449</v>
      </c>
      <c r="S70" s="4">
        <f t="shared" si="9"/>
        <v>7.918124604764129E-2</v>
      </c>
      <c r="T70" s="4">
        <f t="shared" si="10"/>
        <v>0.10822665637489526</v>
      </c>
      <c r="U70" s="4">
        <f t="shared" si="11"/>
        <v>0.11925588927790937</v>
      </c>
      <c r="V70" s="4">
        <f t="shared" si="12"/>
        <v>0.25503116334551867</v>
      </c>
      <c r="W70" s="116">
        <v>7</v>
      </c>
      <c r="X70" s="115">
        <v>2</v>
      </c>
      <c r="Y70" s="115">
        <v>2</v>
      </c>
      <c r="Z70" s="5">
        <f t="shared" si="13"/>
        <v>0</v>
      </c>
    </row>
    <row r="71" spans="1:26">
      <c r="A71" s="4">
        <v>6</v>
      </c>
      <c r="B71" s="4" t="s">
        <v>152</v>
      </c>
      <c r="C71" s="4" t="s">
        <v>150</v>
      </c>
      <c r="D71" s="5">
        <v>10</v>
      </c>
      <c r="E71" s="5">
        <v>2</v>
      </c>
      <c r="F71" s="4">
        <f t="shared" si="7"/>
        <v>4.1999999999999886</v>
      </c>
      <c r="G71" s="4">
        <f t="shared" si="8"/>
        <v>0.71600334363479823</v>
      </c>
      <c r="H71" s="5">
        <v>1</v>
      </c>
      <c r="I71" s="5">
        <v>4</v>
      </c>
      <c r="J71" s="5">
        <v>0</v>
      </c>
      <c r="K71" s="5"/>
      <c r="L71" s="5">
        <v>1</v>
      </c>
      <c r="M71" s="5">
        <v>115.4</v>
      </c>
      <c r="N71" s="5">
        <v>119.6</v>
      </c>
      <c r="O71" s="116">
        <v>0.91599999999998261</v>
      </c>
      <c r="P71" s="115"/>
      <c r="Q71" s="115">
        <v>0.60099999999999909</v>
      </c>
      <c r="R71" s="115">
        <v>1.5169999999999817</v>
      </c>
      <c r="S71" s="4">
        <f t="shared" si="9"/>
        <v>0.28239550474252167</v>
      </c>
      <c r="T71" s="4">
        <f t="shared" si="10"/>
        <v>0</v>
      </c>
      <c r="U71" s="4">
        <f t="shared" si="11"/>
        <v>0.20439133191929948</v>
      </c>
      <c r="V71" s="4">
        <f t="shared" si="12"/>
        <v>0.40088321554835954</v>
      </c>
      <c r="W71" s="116">
        <v>7</v>
      </c>
      <c r="X71" s="115">
        <v>2</v>
      </c>
      <c r="Y71" s="115">
        <v>2</v>
      </c>
      <c r="Z71" s="5">
        <f t="shared" si="13"/>
        <v>0</v>
      </c>
    </row>
    <row r="72" spans="1:26">
      <c r="A72" s="4">
        <v>6</v>
      </c>
      <c r="B72" s="4" t="s">
        <v>152</v>
      </c>
      <c r="C72" s="4" t="s">
        <v>149</v>
      </c>
      <c r="D72" s="5">
        <v>11</v>
      </c>
      <c r="E72" s="5">
        <v>8</v>
      </c>
      <c r="F72" s="4">
        <f t="shared" si="7"/>
        <v>14.399999999999977</v>
      </c>
      <c r="G72" s="4">
        <f t="shared" si="8"/>
        <v>1.1875207208364624</v>
      </c>
      <c r="H72" s="5">
        <v>1</v>
      </c>
      <c r="I72" s="5">
        <v>4</v>
      </c>
      <c r="J72" s="5">
        <v>0</v>
      </c>
      <c r="K72" s="5"/>
      <c r="L72" s="5">
        <v>1</v>
      </c>
      <c r="M72" s="5">
        <v>393</v>
      </c>
      <c r="N72" s="5">
        <v>407.4</v>
      </c>
      <c r="O72" s="116">
        <v>2.5510000000000446</v>
      </c>
      <c r="P72" s="115">
        <v>1.4650000000001455</v>
      </c>
      <c r="Q72" s="115">
        <v>2.1349999999999341</v>
      </c>
      <c r="R72" s="115">
        <v>6.1510000000001241</v>
      </c>
      <c r="S72" s="4">
        <f t="shared" si="9"/>
        <v>0.55035067230162094</v>
      </c>
      <c r="T72" s="4">
        <f t="shared" si="10"/>
        <v>0.39181692361327447</v>
      </c>
      <c r="U72" s="4">
        <f t="shared" si="11"/>
        <v>0.49623754516672614</v>
      </c>
      <c r="V72" s="4">
        <f t="shared" si="12"/>
        <v>0.85436677804087713</v>
      </c>
      <c r="W72" s="116">
        <v>34</v>
      </c>
      <c r="X72" s="115">
        <v>8</v>
      </c>
      <c r="Y72" s="115">
        <v>3</v>
      </c>
      <c r="Z72" s="5">
        <f t="shared" si="13"/>
        <v>5</v>
      </c>
    </row>
    <row r="73" spans="1:26">
      <c r="A73" s="4">
        <v>6</v>
      </c>
      <c r="B73" s="4" t="s">
        <v>152</v>
      </c>
      <c r="C73" s="4" t="s">
        <v>150</v>
      </c>
      <c r="D73" s="5">
        <v>12</v>
      </c>
      <c r="E73" s="5">
        <v>4</v>
      </c>
      <c r="F73" s="4">
        <f t="shared" si="7"/>
        <v>25.099999999999994</v>
      </c>
      <c r="G73" s="4">
        <f t="shared" si="8"/>
        <v>1.4166405073382808</v>
      </c>
      <c r="H73" s="5">
        <v>1</v>
      </c>
      <c r="I73" s="5">
        <v>4</v>
      </c>
      <c r="J73" s="5">
        <v>1</v>
      </c>
      <c r="K73" s="5"/>
      <c r="L73" s="5">
        <v>1</v>
      </c>
      <c r="M73" s="5">
        <v>212.5</v>
      </c>
      <c r="N73" s="5">
        <v>237.6</v>
      </c>
      <c r="O73" s="116">
        <v>2.0180000000000291</v>
      </c>
      <c r="P73" s="115">
        <v>1.2330000000000041</v>
      </c>
      <c r="Q73" s="115">
        <v>3.6039999999999281</v>
      </c>
      <c r="R73" s="115">
        <v>6.8549999999999613</v>
      </c>
      <c r="S73" s="4">
        <f t="shared" si="9"/>
        <v>0.47971923543957523</v>
      </c>
      <c r="T73" s="4">
        <f t="shared" si="10"/>
        <v>0.34888872307143876</v>
      </c>
      <c r="U73" s="4">
        <f t="shared" si="11"/>
        <v>0.66313531495774747</v>
      </c>
      <c r="V73" s="4">
        <f t="shared" si="12"/>
        <v>0.89514618937599</v>
      </c>
      <c r="W73" s="116">
        <v>39</v>
      </c>
      <c r="X73" s="115">
        <v>11</v>
      </c>
      <c r="Y73" s="115">
        <v>3</v>
      </c>
      <c r="Z73" s="5">
        <f t="shared" si="13"/>
        <v>8</v>
      </c>
    </row>
    <row r="74" spans="1:26">
      <c r="A74" s="4">
        <v>7</v>
      </c>
      <c r="B74" s="4" t="s">
        <v>151</v>
      </c>
      <c r="C74" s="4" t="s">
        <v>154</v>
      </c>
      <c r="D74" s="5">
        <v>1</v>
      </c>
      <c r="E74" s="5">
        <v>1</v>
      </c>
      <c r="F74" s="4">
        <f t="shared" si="7"/>
        <v>17.400000000000006</v>
      </c>
      <c r="G74" s="4">
        <f t="shared" si="8"/>
        <v>1.2648178230095366</v>
      </c>
      <c r="H74" s="5">
        <v>1</v>
      </c>
      <c r="I74" s="5">
        <v>6</v>
      </c>
      <c r="J74" s="5">
        <v>0</v>
      </c>
      <c r="K74" s="5"/>
      <c r="L74" s="5">
        <v>1</v>
      </c>
      <c r="M74" s="5">
        <v>77.099999999999994</v>
      </c>
      <c r="N74" s="5">
        <v>94.5</v>
      </c>
      <c r="O74" s="116">
        <v>6.8670000000000044</v>
      </c>
      <c r="P74" s="115">
        <v>2.349000000000018</v>
      </c>
      <c r="Q74" s="115">
        <v>2.5320000000000107</v>
      </c>
      <c r="R74" s="115">
        <v>11.748000000000033</v>
      </c>
      <c r="S74" s="4">
        <f t="shared" si="9"/>
        <v>0.89580915016913121</v>
      </c>
      <c r="T74" s="4">
        <f t="shared" si="10"/>
        <v>0.52491514753986923</v>
      </c>
      <c r="U74" s="4">
        <f t="shared" si="11"/>
        <v>0.54802069490553229</v>
      </c>
      <c r="V74" s="4">
        <f t="shared" si="12"/>
        <v>1.1054420548016961</v>
      </c>
      <c r="W74" s="116">
        <v>46</v>
      </c>
      <c r="X74" s="115">
        <v>12</v>
      </c>
      <c r="Y74" s="115">
        <v>5</v>
      </c>
      <c r="Z74" s="5">
        <f t="shared" si="13"/>
        <v>7</v>
      </c>
    </row>
    <row r="75" spans="1:26">
      <c r="A75" s="4">
        <v>7</v>
      </c>
      <c r="B75" s="4" t="s">
        <v>151</v>
      </c>
      <c r="C75" s="4" t="s">
        <v>149</v>
      </c>
      <c r="D75" s="5">
        <v>2</v>
      </c>
      <c r="E75" s="5">
        <v>5</v>
      </c>
      <c r="F75" s="4">
        <f t="shared" si="7"/>
        <v>19.199999999999989</v>
      </c>
      <c r="G75" s="4">
        <f t="shared" si="8"/>
        <v>1.3053513694466234</v>
      </c>
      <c r="H75" s="5">
        <v>0</v>
      </c>
      <c r="I75" s="5">
        <v>5</v>
      </c>
      <c r="J75" s="5">
        <v>1</v>
      </c>
      <c r="K75" s="5"/>
      <c r="L75" s="5">
        <v>5</v>
      </c>
      <c r="M75" s="5">
        <v>329.6</v>
      </c>
      <c r="N75" s="5">
        <v>348.8</v>
      </c>
      <c r="O75" s="116">
        <v>7.2830000000000155</v>
      </c>
      <c r="P75" s="115">
        <v>1.8839999999999009</v>
      </c>
      <c r="Q75" s="115">
        <v>2.6520000000000437</v>
      </c>
      <c r="R75" s="115">
        <v>11.81899999999996</v>
      </c>
      <c r="S75" s="4">
        <f t="shared" si="9"/>
        <v>0.91818766135892638</v>
      </c>
      <c r="T75" s="4">
        <f t="shared" si="10"/>
        <v>0.45999525604737651</v>
      </c>
      <c r="U75" s="4">
        <f t="shared" si="11"/>
        <v>0.56253076886226649</v>
      </c>
      <c r="V75" s="4">
        <f t="shared" si="12"/>
        <v>1.1078541475368575</v>
      </c>
      <c r="W75" s="116">
        <v>56</v>
      </c>
      <c r="X75" s="115">
        <v>10</v>
      </c>
      <c r="Y75" s="115">
        <v>5</v>
      </c>
      <c r="Z75" s="5">
        <f t="shared" si="13"/>
        <v>5</v>
      </c>
    </row>
    <row r="76" spans="1:26">
      <c r="A76" s="4">
        <v>7</v>
      </c>
      <c r="B76" s="4" t="s">
        <v>151</v>
      </c>
      <c r="C76" s="4" t="s">
        <v>150</v>
      </c>
      <c r="D76" s="5">
        <v>3</v>
      </c>
      <c r="E76" s="5">
        <v>9</v>
      </c>
      <c r="F76" s="4">
        <f t="shared" si="7"/>
        <v>38.799999999999955</v>
      </c>
      <c r="G76" s="4">
        <f t="shared" si="8"/>
        <v>1.5998830720736874</v>
      </c>
      <c r="H76" s="5">
        <v>1</v>
      </c>
      <c r="I76" s="5">
        <v>5</v>
      </c>
      <c r="J76" s="5">
        <v>1</v>
      </c>
      <c r="K76" s="5"/>
      <c r="L76" s="5">
        <v>4</v>
      </c>
      <c r="M76" s="5">
        <v>546.5</v>
      </c>
      <c r="N76" s="5">
        <v>585.29999999999995</v>
      </c>
      <c r="O76" s="116">
        <v>2.4519999999999982</v>
      </c>
      <c r="P76" s="115">
        <v>3.6020000000002028</v>
      </c>
      <c r="Q76" s="115">
        <v>18.032999999999788</v>
      </c>
      <c r="R76" s="115">
        <v>24.086999999999989</v>
      </c>
      <c r="S76" s="4">
        <f t="shared" si="9"/>
        <v>0.53807078704317179</v>
      </c>
      <c r="T76" s="4">
        <f t="shared" si="10"/>
        <v>0.66294661433264368</v>
      </c>
      <c r="U76" s="4">
        <f t="shared" si="11"/>
        <v>1.2795072476017522</v>
      </c>
      <c r="V76" s="4">
        <f t="shared" si="12"/>
        <v>1.3994487298142313</v>
      </c>
      <c r="W76" s="116">
        <v>123</v>
      </c>
      <c r="X76" s="115">
        <v>7</v>
      </c>
      <c r="Y76" s="115">
        <v>4</v>
      </c>
      <c r="Z76" s="5">
        <f t="shared" si="13"/>
        <v>3</v>
      </c>
    </row>
    <row r="77" spans="1:26">
      <c r="A77" s="4">
        <v>7</v>
      </c>
      <c r="B77" s="4" t="s">
        <v>151</v>
      </c>
      <c r="C77" s="4" t="s">
        <v>154</v>
      </c>
      <c r="D77" s="5">
        <v>4</v>
      </c>
      <c r="E77" s="5">
        <v>3</v>
      </c>
      <c r="F77" s="4">
        <f t="shared" si="7"/>
        <v>21.200000000000017</v>
      </c>
      <c r="G77" s="4">
        <f t="shared" si="8"/>
        <v>1.3463529744506391</v>
      </c>
      <c r="H77" s="5">
        <v>1</v>
      </c>
      <c r="I77" s="5">
        <v>6</v>
      </c>
      <c r="J77" s="5">
        <v>0</v>
      </c>
      <c r="K77" s="5"/>
      <c r="L77" s="5">
        <v>3</v>
      </c>
      <c r="M77" s="5">
        <v>190.2</v>
      </c>
      <c r="N77" s="5">
        <v>211.4</v>
      </c>
      <c r="O77" s="116">
        <v>6.8359999999999559</v>
      </c>
      <c r="P77" s="115">
        <v>2.3489999999999327</v>
      </c>
      <c r="Q77" s="115">
        <v>2.7990000000000066</v>
      </c>
      <c r="R77" s="115">
        <v>11.983999999999895</v>
      </c>
      <c r="S77" s="4">
        <f t="shared" si="9"/>
        <v>0.89409442732269628</v>
      </c>
      <c r="T77" s="4">
        <f t="shared" si="10"/>
        <v>0.52491514753985813</v>
      </c>
      <c r="U77" s="4">
        <f t="shared" si="11"/>
        <v>0.57966929355472108</v>
      </c>
      <c r="V77" s="4">
        <f t="shared" si="12"/>
        <v>1.1134085068181721</v>
      </c>
      <c r="W77" s="116">
        <v>53</v>
      </c>
      <c r="X77" s="115">
        <v>6</v>
      </c>
      <c r="Y77" s="115">
        <v>4</v>
      </c>
      <c r="Z77" s="5">
        <f t="shared" si="13"/>
        <v>2</v>
      </c>
    </row>
    <row r="78" spans="1:26">
      <c r="A78" s="4">
        <v>7</v>
      </c>
      <c r="B78" s="4" t="s">
        <v>151</v>
      </c>
      <c r="C78" s="4" t="s">
        <v>150</v>
      </c>
      <c r="D78" s="5">
        <v>5</v>
      </c>
      <c r="E78" s="5">
        <v>11</v>
      </c>
      <c r="F78" s="4">
        <f t="shared" si="7"/>
        <v>33.299999999999955</v>
      </c>
      <c r="G78" s="4">
        <f t="shared" si="8"/>
        <v>1.5352941200427699</v>
      </c>
      <c r="H78" s="5">
        <v>1</v>
      </c>
      <c r="I78" s="5">
        <v>6</v>
      </c>
      <c r="J78" s="5">
        <v>1</v>
      </c>
      <c r="K78" s="5"/>
      <c r="L78" s="5">
        <v>2</v>
      </c>
      <c r="M78" s="5">
        <v>665.6</v>
      </c>
      <c r="N78" s="5">
        <v>698.9</v>
      </c>
      <c r="O78" s="116">
        <v>3.1559999999998354</v>
      </c>
      <c r="P78" s="115">
        <v>1.1000000000000227</v>
      </c>
      <c r="Q78" s="115">
        <v>16.148000000000138</v>
      </c>
      <c r="R78" s="115">
        <v>20.403999999999996</v>
      </c>
      <c r="S78" s="4">
        <f t="shared" si="9"/>
        <v>0.61867553888512261</v>
      </c>
      <c r="T78" s="4">
        <f t="shared" si="10"/>
        <v>0.32221929473392397</v>
      </c>
      <c r="U78" s="4">
        <f t="shared" si="11"/>
        <v>1.2342134748385987</v>
      </c>
      <c r="V78" s="4">
        <f t="shared" si="12"/>
        <v>1.3304949423022172</v>
      </c>
      <c r="W78" s="116">
        <v>96</v>
      </c>
      <c r="X78" s="115">
        <v>10</v>
      </c>
      <c r="Y78" s="115">
        <v>3</v>
      </c>
      <c r="Z78" s="5">
        <f t="shared" si="13"/>
        <v>7</v>
      </c>
    </row>
    <row r="79" spans="1:26">
      <c r="A79" s="4">
        <v>7</v>
      </c>
      <c r="B79" s="4" t="s">
        <v>151</v>
      </c>
      <c r="C79" s="4" t="s">
        <v>149</v>
      </c>
      <c r="D79" s="5">
        <v>6</v>
      </c>
      <c r="E79" s="5">
        <v>7</v>
      </c>
      <c r="F79" s="4">
        <f t="shared" si="7"/>
        <v>12.399999999999977</v>
      </c>
      <c r="G79" s="4">
        <f t="shared" si="8"/>
        <v>1.1271047983648068</v>
      </c>
      <c r="H79" s="5">
        <v>1</v>
      </c>
      <c r="I79" s="5">
        <v>6</v>
      </c>
      <c r="J79" s="5">
        <v>0</v>
      </c>
      <c r="K79" s="5"/>
      <c r="L79" s="5">
        <v>2</v>
      </c>
      <c r="M79" s="5">
        <v>451.1</v>
      </c>
      <c r="N79" s="5">
        <v>463.5</v>
      </c>
      <c r="O79" s="116">
        <v>4.7820000000001528</v>
      </c>
      <c r="P79" s="115">
        <v>1.8999999999999204</v>
      </c>
      <c r="Q79" s="115">
        <v>0.53300000000001546</v>
      </c>
      <c r="R79" s="115">
        <v>7.2150000000000887</v>
      </c>
      <c r="S79" s="4">
        <f t="shared" si="9"/>
        <v>0.76207808733465054</v>
      </c>
      <c r="T79" s="4">
        <f t="shared" si="10"/>
        <v>0.46239799789894415</v>
      </c>
      <c r="U79" s="4">
        <f t="shared" si="11"/>
        <v>0.18554215485437955</v>
      </c>
      <c r="V79" s="4">
        <f t="shared" si="12"/>
        <v>0.91460756777108521</v>
      </c>
      <c r="W79" s="116">
        <v>34</v>
      </c>
      <c r="X79" s="115">
        <v>7</v>
      </c>
      <c r="Y79" s="115">
        <v>4</v>
      </c>
      <c r="Z79" s="5">
        <f t="shared" si="13"/>
        <v>3</v>
      </c>
    </row>
    <row r="80" spans="1:26">
      <c r="A80" s="4">
        <v>7</v>
      </c>
      <c r="B80" s="4" t="s">
        <v>152</v>
      </c>
      <c r="C80" s="4" t="s">
        <v>154</v>
      </c>
      <c r="D80" s="5">
        <v>7</v>
      </c>
      <c r="E80" s="5">
        <v>4</v>
      </c>
      <c r="F80" s="4">
        <f t="shared" si="7"/>
        <v>27.5</v>
      </c>
      <c r="G80" s="4">
        <f t="shared" si="8"/>
        <v>1.4548448600085102</v>
      </c>
      <c r="H80" s="5">
        <v>1</v>
      </c>
      <c r="I80" s="5">
        <v>6</v>
      </c>
      <c r="J80" s="5">
        <v>1</v>
      </c>
      <c r="K80" s="5"/>
      <c r="L80" s="5">
        <v>3</v>
      </c>
      <c r="M80" s="5">
        <v>259.89999999999998</v>
      </c>
      <c r="N80" s="5">
        <v>287.39999999999998</v>
      </c>
      <c r="O80" s="116">
        <v>7.5670000000000641</v>
      </c>
      <c r="P80" s="115">
        <v>4.7020000000001687</v>
      </c>
      <c r="Q80" s="115">
        <v>4.1489999999999441</v>
      </c>
      <c r="R80" s="115">
        <v>16.418000000000177</v>
      </c>
      <c r="S80" s="4">
        <f t="shared" si="9"/>
        <v>0.93282876690084993</v>
      </c>
      <c r="T80" s="4">
        <f t="shared" si="10"/>
        <v>0.75602721297345399</v>
      </c>
      <c r="U80" s="4">
        <f t="shared" si="11"/>
        <v>0.71172289182722992</v>
      </c>
      <c r="V80" s="4">
        <f t="shared" si="12"/>
        <v>1.2409982862153217</v>
      </c>
      <c r="W80" s="116">
        <v>79</v>
      </c>
      <c r="X80" s="115">
        <v>21</v>
      </c>
      <c r="Y80" s="115">
        <v>7</v>
      </c>
      <c r="Z80" s="5">
        <f t="shared" si="13"/>
        <v>14</v>
      </c>
    </row>
    <row r="81" spans="1:26">
      <c r="A81" s="4">
        <v>7</v>
      </c>
      <c r="B81" s="4" t="s">
        <v>152</v>
      </c>
      <c r="C81" s="4" t="s">
        <v>149</v>
      </c>
      <c r="D81" s="5">
        <v>8</v>
      </c>
      <c r="E81" s="5">
        <v>6</v>
      </c>
      <c r="F81" s="4">
        <f t="shared" si="7"/>
        <v>9.5</v>
      </c>
      <c r="G81" s="4">
        <f t="shared" si="8"/>
        <v>1.0211892990699381</v>
      </c>
      <c r="H81" s="5">
        <v>1</v>
      </c>
      <c r="I81" s="5">
        <v>6</v>
      </c>
      <c r="J81" s="5">
        <v>0</v>
      </c>
      <c r="K81" s="5"/>
      <c r="L81" s="5">
        <v>2</v>
      </c>
      <c r="M81" s="5">
        <v>413.8</v>
      </c>
      <c r="N81" s="5">
        <v>423.3</v>
      </c>
      <c r="O81" s="116">
        <v>2.2829999999999018</v>
      </c>
      <c r="P81" s="115">
        <v>1.4160000000000537</v>
      </c>
      <c r="Q81" s="115">
        <v>0.60099999999999909</v>
      </c>
      <c r="R81" s="115">
        <v>4.2999999999999545</v>
      </c>
      <c r="S81" s="4">
        <f t="shared" si="9"/>
        <v>0.51627088272932709</v>
      </c>
      <c r="T81" s="4">
        <f t="shared" si="10"/>
        <v>0.38309692994910388</v>
      </c>
      <c r="U81" s="4">
        <f t="shared" si="11"/>
        <v>0.20439133191929948</v>
      </c>
      <c r="V81" s="4">
        <f t="shared" si="12"/>
        <v>0.72427586960078527</v>
      </c>
      <c r="W81" s="116">
        <v>22</v>
      </c>
      <c r="X81" s="115">
        <v>5</v>
      </c>
      <c r="Y81" s="115">
        <v>4</v>
      </c>
      <c r="Z81" s="5">
        <f t="shared" si="13"/>
        <v>1</v>
      </c>
    </row>
    <row r="82" spans="1:26">
      <c r="A82" s="4">
        <v>7</v>
      </c>
      <c r="B82" s="4" t="s">
        <v>152</v>
      </c>
      <c r="C82" s="4" t="s">
        <v>149</v>
      </c>
      <c r="D82" s="5">
        <v>9</v>
      </c>
      <c r="E82" s="5">
        <v>8</v>
      </c>
      <c r="F82" s="4">
        <f t="shared" si="7"/>
        <v>12.600000000000023</v>
      </c>
      <c r="G82" s="4">
        <f t="shared" si="8"/>
        <v>1.1335389083702183</v>
      </c>
      <c r="H82" s="5">
        <v>1</v>
      </c>
      <c r="I82" s="5">
        <v>6</v>
      </c>
      <c r="J82" s="5">
        <v>0</v>
      </c>
      <c r="K82" s="5"/>
      <c r="L82" s="5">
        <v>2</v>
      </c>
      <c r="M82" s="5">
        <v>507.6</v>
      </c>
      <c r="N82" s="5">
        <v>520.20000000000005</v>
      </c>
      <c r="O82" s="116">
        <v>5.6089999999999804</v>
      </c>
      <c r="P82" s="115">
        <v>2.1659999999999968</v>
      </c>
      <c r="Q82" s="115">
        <v>0.13399999999990087</v>
      </c>
      <c r="R82" s="115">
        <v>7.9089999999998781</v>
      </c>
      <c r="S82" s="4">
        <f t="shared" si="9"/>
        <v>0.82013575187042875</v>
      </c>
      <c r="T82" s="4">
        <f t="shared" si="10"/>
        <v>0.50051091052633667</v>
      </c>
      <c r="U82" s="4">
        <f t="shared" si="11"/>
        <v>5.461305455684981E-2</v>
      </c>
      <c r="V82" s="4">
        <f t="shared" si="12"/>
        <v>0.94982895893530772</v>
      </c>
      <c r="W82" s="116">
        <v>38</v>
      </c>
      <c r="X82" s="115">
        <v>4</v>
      </c>
      <c r="Y82" s="115">
        <v>3</v>
      </c>
      <c r="Z82" s="5">
        <f t="shared" si="13"/>
        <v>1</v>
      </c>
    </row>
    <row r="83" spans="1:26">
      <c r="A83" s="4">
        <v>7</v>
      </c>
      <c r="B83" s="4" t="s">
        <v>152</v>
      </c>
      <c r="C83" s="4" t="s">
        <v>150</v>
      </c>
      <c r="D83" s="5">
        <v>10</v>
      </c>
      <c r="E83" s="5">
        <v>10</v>
      </c>
      <c r="F83" s="4">
        <f t="shared" si="7"/>
        <v>20.100000000000023</v>
      </c>
      <c r="G83" s="4">
        <f t="shared" si="8"/>
        <v>1.3242824552976931</v>
      </c>
      <c r="H83" s="5">
        <v>1</v>
      </c>
      <c r="I83" s="5">
        <v>3</v>
      </c>
      <c r="J83" s="5">
        <v>0</v>
      </c>
      <c r="K83" s="5"/>
      <c r="L83" s="5">
        <v>1</v>
      </c>
      <c r="M83" s="5">
        <v>612.6</v>
      </c>
      <c r="N83" s="5">
        <v>632.70000000000005</v>
      </c>
      <c r="O83" s="116">
        <v>1.3010000000000446</v>
      </c>
      <c r="P83" s="115">
        <v>3.0510000000000446</v>
      </c>
      <c r="Q83" s="115">
        <v>8.2850000000001955</v>
      </c>
      <c r="R83" s="115">
        <v>12.637000000000285</v>
      </c>
      <c r="S83" s="4">
        <f t="shared" si="9"/>
        <v>0.36191661866865182</v>
      </c>
      <c r="T83" s="4">
        <f t="shared" si="10"/>
        <v>0.60756224318359298</v>
      </c>
      <c r="U83" s="4">
        <f t="shared" si="11"/>
        <v>0.96778190807580833</v>
      </c>
      <c r="V83" s="4">
        <f t="shared" si="12"/>
        <v>1.1347188405004036</v>
      </c>
      <c r="W83" s="116">
        <v>57</v>
      </c>
      <c r="X83" s="115">
        <v>8</v>
      </c>
      <c r="Y83" s="115">
        <v>3</v>
      </c>
      <c r="Z83" s="5">
        <f t="shared" si="13"/>
        <v>5</v>
      </c>
    </row>
    <row r="84" spans="1:26">
      <c r="A84" s="4">
        <v>7</v>
      </c>
      <c r="B84" s="4" t="s">
        <v>152</v>
      </c>
      <c r="C84" s="4" t="s">
        <v>150</v>
      </c>
      <c r="D84" s="5">
        <v>11</v>
      </c>
      <c r="E84" s="5">
        <v>12</v>
      </c>
      <c r="F84" s="4">
        <f t="shared" si="7"/>
        <v>70.900000000000091</v>
      </c>
      <c r="G84" s="4">
        <f t="shared" si="8"/>
        <v>1.8567288903828831</v>
      </c>
      <c r="H84" s="5">
        <v>1</v>
      </c>
      <c r="I84" s="5">
        <v>5</v>
      </c>
      <c r="J84" s="5">
        <v>1</v>
      </c>
      <c r="K84" s="5"/>
      <c r="L84" s="5">
        <v>3</v>
      </c>
      <c r="M84" s="5">
        <v>733.3</v>
      </c>
      <c r="N84" s="5">
        <v>804.2</v>
      </c>
      <c r="O84" s="116">
        <v>8.3829999999996971</v>
      </c>
      <c r="P84" s="115">
        <v>9.3800000000001091</v>
      </c>
      <c r="Q84" s="115">
        <v>21.014000000000465</v>
      </c>
      <c r="R84" s="115">
        <v>38.777000000000271</v>
      </c>
      <c r="S84" s="4">
        <f t="shared" si="9"/>
        <v>0.97234171632573407</v>
      </c>
      <c r="T84" s="4">
        <f t="shared" si="10"/>
        <v>1.0161973535124436</v>
      </c>
      <c r="U84" s="4">
        <f t="shared" si="11"/>
        <v>1.3426989621396006</v>
      </c>
      <c r="V84" s="4">
        <f t="shared" si="12"/>
        <v>1.5996320253299854</v>
      </c>
      <c r="W84" s="116">
        <v>201</v>
      </c>
      <c r="X84" s="115">
        <v>24</v>
      </c>
      <c r="Y84" s="115">
        <v>9</v>
      </c>
      <c r="Z84" s="5">
        <f t="shared" si="13"/>
        <v>15</v>
      </c>
    </row>
    <row r="85" spans="1:26">
      <c r="A85" s="4">
        <v>7</v>
      </c>
      <c r="B85" s="4" t="s">
        <v>152</v>
      </c>
      <c r="C85" s="4" t="s">
        <v>154</v>
      </c>
      <c r="D85" s="5">
        <v>12</v>
      </c>
      <c r="E85" s="5">
        <v>2</v>
      </c>
      <c r="F85" s="4">
        <f t="shared" si="7"/>
        <v>11.099999999999994</v>
      </c>
      <c r="G85" s="4">
        <f t="shared" si="8"/>
        <v>1.0827853703164498</v>
      </c>
      <c r="H85" s="5">
        <v>1</v>
      </c>
      <c r="I85" s="5">
        <v>6</v>
      </c>
      <c r="J85" s="5">
        <v>0</v>
      </c>
      <c r="K85" s="5"/>
      <c r="L85" s="5">
        <v>3</v>
      </c>
      <c r="M85" s="5">
        <v>151.30000000000001</v>
      </c>
      <c r="N85" s="5">
        <v>162.4</v>
      </c>
      <c r="O85" s="116">
        <v>3.7980000000000018</v>
      </c>
      <c r="P85" s="115">
        <v>0.88400000000001455</v>
      </c>
      <c r="Q85" s="115">
        <v>0.91600000000002524</v>
      </c>
      <c r="R85" s="115">
        <v>5.5980000000000416</v>
      </c>
      <c r="S85" s="4">
        <f t="shared" si="9"/>
        <v>0.68106024363181195</v>
      </c>
      <c r="T85" s="4">
        <f t="shared" si="10"/>
        <v>0.2750808984568619</v>
      </c>
      <c r="U85" s="4">
        <f t="shared" si="11"/>
        <v>0.28239550474253133</v>
      </c>
      <c r="V85" s="4">
        <f t="shared" si="12"/>
        <v>0.81941231120932778</v>
      </c>
      <c r="W85" s="116">
        <v>31</v>
      </c>
      <c r="X85" s="115">
        <v>7</v>
      </c>
      <c r="Y85" s="115">
        <v>3</v>
      </c>
      <c r="Z85" s="5">
        <f t="shared" si="13"/>
        <v>4</v>
      </c>
    </row>
    <row r="86" spans="1:26">
      <c r="A86" s="4">
        <v>8</v>
      </c>
      <c r="B86" s="4" t="s">
        <v>151</v>
      </c>
      <c r="C86" s="4" t="s">
        <v>149</v>
      </c>
      <c r="D86" s="5">
        <v>1</v>
      </c>
      <c r="E86" s="5">
        <v>11</v>
      </c>
      <c r="F86" s="4">
        <f t="shared" si="7"/>
        <v>18.700000000000045</v>
      </c>
      <c r="G86" s="4">
        <f t="shared" si="8"/>
        <v>1.294466226161594</v>
      </c>
      <c r="H86" s="5">
        <v>1</v>
      </c>
      <c r="I86" s="5">
        <v>6</v>
      </c>
      <c r="J86" s="5">
        <v>0</v>
      </c>
      <c r="K86" s="5"/>
      <c r="L86" s="5">
        <v>1</v>
      </c>
      <c r="M86" s="5">
        <v>690.8</v>
      </c>
      <c r="N86" s="5">
        <v>709.5</v>
      </c>
      <c r="O86" s="116">
        <v>6.7500000000002274</v>
      </c>
      <c r="P86" s="115">
        <v>0.53399999999999181</v>
      </c>
      <c r="Q86" s="115">
        <v>4.3989999999996598</v>
      </c>
      <c r="R86" s="115">
        <v>11.682999999999879</v>
      </c>
      <c r="S86" s="4">
        <f t="shared" si="9"/>
        <v>0.88930170250632301</v>
      </c>
      <c r="T86" s="4">
        <f t="shared" si="10"/>
        <v>0.18582535961295985</v>
      </c>
      <c r="U86" s="4">
        <f t="shared" si="11"/>
        <v>0.73231332747121514</v>
      </c>
      <c r="V86" s="4">
        <f t="shared" si="12"/>
        <v>1.1032219924529199</v>
      </c>
      <c r="W86" s="116">
        <v>59</v>
      </c>
      <c r="X86" s="115">
        <v>6</v>
      </c>
      <c r="Y86" s="115">
        <v>3</v>
      </c>
      <c r="Z86" s="5">
        <f t="shared" si="13"/>
        <v>3</v>
      </c>
    </row>
    <row r="87" spans="1:26">
      <c r="A87" s="4">
        <v>8</v>
      </c>
      <c r="B87" s="4" t="s">
        <v>151</v>
      </c>
      <c r="C87" s="4" t="s">
        <v>154</v>
      </c>
      <c r="D87" s="5">
        <v>2</v>
      </c>
      <c r="E87" s="5">
        <v>1</v>
      </c>
      <c r="F87" s="4">
        <f t="shared" si="7"/>
        <v>18.299999999999997</v>
      </c>
      <c r="G87" s="4">
        <f t="shared" si="8"/>
        <v>1.2855573090077737</v>
      </c>
      <c r="H87" s="5">
        <v>1</v>
      </c>
      <c r="I87" s="5">
        <v>5</v>
      </c>
      <c r="J87" s="5">
        <v>0</v>
      </c>
      <c r="K87" s="5"/>
      <c r="L87" s="5">
        <v>1</v>
      </c>
      <c r="M87" s="5">
        <v>101.8</v>
      </c>
      <c r="N87" s="5">
        <v>120.1</v>
      </c>
      <c r="O87" s="116">
        <v>6.9990000000000236</v>
      </c>
      <c r="P87" s="115">
        <v>0.93299999999999272</v>
      </c>
      <c r="Q87" s="115">
        <v>3.4969999999999999</v>
      </c>
      <c r="R87" s="115">
        <v>11.429000000000016</v>
      </c>
      <c r="S87" s="4">
        <f t="shared" si="9"/>
        <v>0.9030356967884986</v>
      </c>
      <c r="T87" s="4">
        <f t="shared" si="10"/>
        <v>0.28623185402855139</v>
      </c>
      <c r="U87" s="4">
        <f t="shared" si="11"/>
        <v>0.65292288756794192</v>
      </c>
      <c r="V87" s="4">
        <f t="shared" si="12"/>
        <v>1.0944361880179567</v>
      </c>
      <c r="W87" s="116">
        <v>52</v>
      </c>
      <c r="X87" s="115">
        <v>16</v>
      </c>
      <c r="Y87" s="115">
        <v>5</v>
      </c>
      <c r="Z87" s="5">
        <f t="shared" si="13"/>
        <v>11</v>
      </c>
    </row>
    <row r="88" spans="1:26">
      <c r="A88" s="4">
        <v>8</v>
      </c>
      <c r="B88" s="4" t="s">
        <v>151</v>
      </c>
      <c r="C88" s="4" t="s">
        <v>149</v>
      </c>
      <c r="D88" s="5">
        <v>3</v>
      </c>
      <c r="E88" s="5">
        <v>9</v>
      </c>
      <c r="F88" s="4">
        <f t="shared" si="7"/>
        <v>17.599999999999966</v>
      </c>
      <c r="G88" s="4">
        <f t="shared" si="8"/>
        <v>1.2695129442179156</v>
      </c>
      <c r="H88" s="5">
        <v>0</v>
      </c>
      <c r="I88" s="5">
        <v>4</v>
      </c>
      <c r="J88" s="5">
        <v>0</v>
      </c>
      <c r="K88" s="5"/>
      <c r="L88" s="5">
        <v>3</v>
      </c>
      <c r="M88" s="5">
        <v>481.1</v>
      </c>
      <c r="N88" s="5">
        <v>498.7</v>
      </c>
      <c r="O88" s="116">
        <v>0.41599999999999682</v>
      </c>
      <c r="P88" s="115">
        <v>1.0840000000000032</v>
      </c>
      <c r="Q88" s="115">
        <v>5.6980000000001496</v>
      </c>
      <c r="R88" s="115">
        <v>7.1980000000001496</v>
      </c>
      <c r="S88" s="4">
        <f t="shared" si="9"/>
        <v>0.15106325335374923</v>
      </c>
      <c r="T88" s="4">
        <f t="shared" si="10"/>
        <v>0.31889771462748751</v>
      </c>
      <c r="U88" s="4">
        <f t="shared" si="11"/>
        <v>0.8259451432038577</v>
      </c>
      <c r="V88" s="4">
        <f t="shared" si="12"/>
        <v>0.91370791398049089</v>
      </c>
      <c r="W88" s="116">
        <v>41</v>
      </c>
      <c r="X88" s="115">
        <v>14</v>
      </c>
      <c r="Y88" s="115">
        <v>4</v>
      </c>
      <c r="Z88" s="5">
        <f t="shared" si="13"/>
        <v>10</v>
      </c>
    </row>
    <row r="89" spans="1:26">
      <c r="A89" s="4">
        <v>8</v>
      </c>
      <c r="B89" s="4" t="s">
        <v>151</v>
      </c>
      <c r="C89" s="4" t="s">
        <v>150</v>
      </c>
      <c r="D89" s="5">
        <v>4</v>
      </c>
      <c r="E89" s="5">
        <v>5</v>
      </c>
      <c r="F89" s="4">
        <f t="shared" si="7"/>
        <v>33</v>
      </c>
      <c r="G89" s="4">
        <f t="shared" si="8"/>
        <v>1.5314789170422551</v>
      </c>
      <c r="H89" s="5">
        <v>1</v>
      </c>
      <c r="I89" s="5">
        <v>6</v>
      </c>
      <c r="J89" s="5">
        <v>1</v>
      </c>
      <c r="K89" s="5"/>
      <c r="L89" s="5">
        <v>3</v>
      </c>
      <c r="M89" s="5">
        <v>292.5</v>
      </c>
      <c r="N89" s="5">
        <v>325.5</v>
      </c>
      <c r="O89" s="116">
        <v>7.2290000000000418</v>
      </c>
      <c r="P89" s="115">
        <v>1.9010000000000105</v>
      </c>
      <c r="Q89" s="115">
        <v>3.9639999999999418</v>
      </c>
      <c r="R89" s="115">
        <v>13.093999999999994</v>
      </c>
      <c r="S89" s="4">
        <f t="shared" si="9"/>
        <v>0.91534706232419405</v>
      </c>
      <c r="T89" s="4">
        <f t="shared" si="10"/>
        <v>0.4625477288026657</v>
      </c>
      <c r="U89" s="4">
        <f t="shared" si="11"/>
        <v>0.69583177282668718</v>
      </c>
      <c r="V89" s="4">
        <f t="shared" si="12"/>
        <v>1.1490342671612492</v>
      </c>
      <c r="W89" s="116">
        <v>76</v>
      </c>
      <c r="X89" s="115">
        <v>13</v>
      </c>
      <c r="Y89" s="115">
        <v>3</v>
      </c>
      <c r="Z89" s="5">
        <f t="shared" si="13"/>
        <v>10</v>
      </c>
    </row>
    <row r="90" spans="1:26">
      <c r="A90" s="4">
        <v>8</v>
      </c>
      <c r="B90" s="4" t="s">
        <v>151</v>
      </c>
      <c r="C90" s="4" t="s">
        <v>154</v>
      </c>
      <c r="D90" s="5">
        <v>5</v>
      </c>
      <c r="E90" s="5">
        <v>3</v>
      </c>
      <c r="F90" s="4">
        <f t="shared" si="7"/>
        <v>22</v>
      </c>
      <c r="G90" s="4">
        <f t="shared" si="8"/>
        <v>1.3617278360175928</v>
      </c>
      <c r="H90" s="5">
        <v>1</v>
      </c>
      <c r="I90" s="5">
        <v>5</v>
      </c>
      <c r="J90" s="5">
        <v>0</v>
      </c>
      <c r="K90" s="5"/>
      <c r="L90" s="5">
        <v>2</v>
      </c>
      <c r="M90" s="5">
        <v>197.9</v>
      </c>
      <c r="N90" s="5">
        <v>219.9</v>
      </c>
      <c r="O90" s="116">
        <v>8.1980000000000643</v>
      </c>
      <c r="P90" s="115">
        <v>1.132000000000005</v>
      </c>
      <c r="Q90" s="115">
        <v>1.2340000000000089</v>
      </c>
      <c r="R90" s="115">
        <v>10.564000000000078</v>
      </c>
      <c r="S90" s="4">
        <f t="shared" si="9"/>
        <v>0.96369340523802183</v>
      </c>
      <c r="T90" s="4">
        <f t="shared" si="10"/>
        <v>0.32878720035453568</v>
      </c>
      <c r="U90" s="4">
        <f t="shared" si="11"/>
        <v>0.349083168779592</v>
      </c>
      <c r="V90" s="4">
        <f t="shared" si="12"/>
        <v>1.0631080829986232</v>
      </c>
      <c r="W90" s="116">
        <v>56</v>
      </c>
      <c r="X90" s="115">
        <v>14</v>
      </c>
      <c r="Y90" s="115">
        <v>5</v>
      </c>
      <c r="Z90" s="5">
        <f t="shared" si="13"/>
        <v>9</v>
      </c>
    </row>
    <row r="91" spans="1:26">
      <c r="A91" s="4">
        <v>8</v>
      </c>
      <c r="B91" s="4" t="s">
        <v>151</v>
      </c>
      <c r="C91" s="4" t="s">
        <v>150</v>
      </c>
      <c r="D91" s="5">
        <v>6</v>
      </c>
      <c r="E91" s="5">
        <v>7</v>
      </c>
      <c r="F91" s="4">
        <f t="shared" si="7"/>
        <v>14.700000000000045</v>
      </c>
      <c r="G91" s="4">
        <f t="shared" si="8"/>
        <v>1.1958996524092349</v>
      </c>
      <c r="H91" s="5">
        <v>1</v>
      </c>
      <c r="I91" s="5">
        <v>6</v>
      </c>
      <c r="J91" s="5">
        <v>0</v>
      </c>
      <c r="K91" s="5"/>
      <c r="L91" s="5">
        <v>1</v>
      </c>
      <c r="M91" s="5">
        <v>402.9</v>
      </c>
      <c r="N91" s="5">
        <v>417.6</v>
      </c>
      <c r="O91" s="116">
        <v>5.0660000000000309</v>
      </c>
      <c r="P91" s="115">
        <v>1.5029999999999291</v>
      </c>
      <c r="Q91" s="115">
        <v>1.4660000000000082</v>
      </c>
      <c r="R91" s="115">
        <v>8.0349999999999682</v>
      </c>
      <c r="S91" s="4">
        <f t="shared" si="9"/>
        <v>0.78290240597464689</v>
      </c>
      <c r="T91" s="4">
        <f t="shared" si="10"/>
        <v>0.39846084960821093</v>
      </c>
      <c r="U91" s="4">
        <f t="shared" si="11"/>
        <v>0.3919930722597143</v>
      </c>
      <c r="V91" s="4">
        <f t="shared" si="12"/>
        <v>0.9559281568969491</v>
      </c>
      <c r="W91" s="116">
        <v>48</v>
      </c>
      <c r="X91" s="115">
        <v>8</v>
      </c>
      <c r="Y91" s="115">
        <v>4</v>
      </c>
      <c r="Z91" s="5">
        <f t="shared" si="13"/>
        <v>4</v>
      </c>
    </row>
    <row r="92" spans="1:26">
      <c r="A92" s="4">
        <v>8</v>
      </c>
      <c r="B92" s="4" t="s">
        <v>152</v>
      </c>
      <c r="C92" s="4" t="s">
        <v>149</v>
      </c>
      <c r="D92" s="5">
        <v>7</v>
      </c>
      <c r="E92" s="5">
        <v>12</v>
      </c>
      <c r="F92" s="4">
        <f t="shared" si="7"/>
        <v>23.299999999999955</v>
      </c>
      <c r="G92" s="4">
        <f t="shared" si="8"/>
        <v>1.3856062735983115</v>
      </c>
      <c r="H92" s="5">
        <v>1</v>
      </c>
      <c r="I92" s="5">
        <v>6</v>
      </c>
      <c r="J92" s="5">
        <v>0</v>
      </c>
      <c r="K92" s="5"/>
      <c r="L92" s="5">
        <v>2</v>
      </c>
      <c r="M92" s="5">
        <v>734.2</v>
      </c>
      <c r="N92" s="5">
        <v>757.5</v>
      </c>
      <c r="O92" s="116">
        <v>8.2710000000000719</v>
      </c>
      <c r="P92" s="115">
        <v>4.6029999999999518</v>
      </c>
      <c r="Q92" s="115">
        <v>1.4669999999998709</v>
      </c>
      <c r="R92" s="115">
        <v>14.340999999999894</v>
      </c>
      <c r="S92" s="4">
        <f t="shared" si="9"/>
        <v>0.96712658107641614</v>
      </c>
      <c r="T92" s="4">
        <f t="shared" si="10"/>
        <v>0.74842062246756469</v>
      </c>
      <c r="U92" s="4">
        <f t="shared" si="11"/>
        <v>0.39216914948971332</v>
      </c>
      <c r="V92" s="4">
        <f t="shared" si="12"/>
        <v>1.1858536699341389</v>
      </c>
      <c r="W92" s="116">
        <v>74</v>
      </c>
      <c r="X92" s="115">
        <v>22</v>
      </c>
      <c r="Y92" s="115">
        <v>4</v>
      </c>
      <c r="Z92" s="5">
        <f>X92-Y92</f>
        <v>18</v>
      </c>
    </row>
    <row r="93" spans="1:26">
      <c r="A93" s="4">
        <v>8</v>
      </c>
      <c r="B93" s="4" t="s">
        <v>152</v>
      </c>
      <c r="C93" s="4" t="s">
        <v>150</v>
      </c>
      <c r="D93" s="5">
        <v>8</v>
      </c>
      <c r="E93" s="5">
        <v>8</v>
      </c>
      <c r="F93" s="4">
        <f t="shared" si="7"/>
        <v>9.3999999999999773</v>
      </c>
      <c r="G93" s="4">
        <f t="shared" si="8"/>
        <v>1.0170333392987794</v>
      </c>
      <c r="H93" s="5">
        <v>1</v>
      </c>
      <c r="I93" s="5">
        <v>6</v>
      </c>
      <c r="J93" s="5">
        <v>0</v>
      </c>
      <c r="K93" s="5"/>
      <c r="L93" s="5">
        <v>2</v>
      </c>
      <c r="M93" s="5">
        <v>450.3</v>
      </c>
      <c r="N93" s="5">
        <v>459.7</v>
      </c>
      <c r="O93" s="116">
        <v>2.632000000000005</v>
      </c>
      <c r="P93" s="115">
        <v>1.7639999999998963</v>
      </c>
      <c r="Q93" s="115">
        <v>0.86700000000001864</v>
      </c>
      <c r="R93" s="115">
        <v>5.26299999999992</v>
      </c>
      <c r="S93" s="4">
        <f t="shared" si="9"/>
        <v>0.56014583984904809</v>
      </c>
      <c r="T93" s="4">
        <f t="shared" si="10"/>
        <v>0.44153803870214453</v>
      </c>
      <c r="U93" s="4">
        <f t="shared" si="11"/>
        <v>0.27114431794908267</v>
      </c>
      <c r="V93" s="4">
        <f t="shared" si="12"/>
        <v>0.79678241170130226</v>
      </c>
      <c r="W93" s="116">
        <v>30</v>
      </c>
      <c r="X93" s="115">
        <v>6</v>
      </c>
      <c r="Y93" s="115">
        <v>3</v>
      </c>
      <c r="Z93" s="5">
        <f t="shared" ref="Z93:Z117" si="14">X93-Y93</f>
        <v>3</v>
      </c>
    </row>
    <row r="94" spans="1:26">
      <c r="A94" s="4">
        <v>8</v>
      </c>
      <c r="B94" s="4" t="s">
        <v>152</v>
      </c>
      <c r="C94" s="4" t="s">
        <v>150</v>
      </c>
      <c r="D94" s="5">
        <v>9</v>
      </c>
      <c r="E94" s="5">
        <v>6</v>
      </c>
      <c r="F94" s="4">
        <f t="shared" si="7"/>
        <v>9.3999999999999773</v>
      </c>
      <c r="G94" s="4">
        <f t="shared" si="8"/>
        <v>1.0170333392987794</v>
      </c>
      <c r="H94" s="5">
        <v>1</v>
      </c>
      <c r="I94" s="5">
        <v>6</v>
      </c>
      <c r="J94" s="5">
        <v>0</v>
      </c>
      <c r="K94" s="5"/>
      <c r="L94" s="5">
        <v>2</v>
      </c>
      <c r="M94" s="5">
        <v>351.1</v>
      </c>
      <c r="N94" s="5">
        <v>360.5</v>
      </c>
      <c r="O94" s="116">
        <v>3.1170000000000755</v>
      </c>
      <c r="P94" s="115">
        <v>2.1319999999999482</v>
      </c>
      <c r="Q94" s="115">
        <v>9.9999999999965894E-2</v>
      </c>
      <c r="R94" s="115">
        <v>5.3489999999999895</v>
      </c>
      <c r="S94" s="4">
        <f t="shared" si="9"/>
        <v>0.61458086699749404</v>
      </c>
      <c r="T94" s="4">
        <f t="shared" si="10"/>
        <v>0.49582175338589862</v>
      </c>
      <c r="U94" s="4">
        <f t="shared" si="11"/>
        <v>4.1392685158211574E-2</v>
      </c>
      <c r="V94" s="4">
        <f t="shared" si="12"/>
        <v>0.80270532707435138</v>
      </c>
      <c r="W94" s="116">
        <v>23</v>
      </c>
      <c r="X94" s="115">
        <v>2</v>
      </c>
      <c r="Y94" s="115">
        <v>2</v>
      </c>
      <c r="Z94" s="5">
        <f t="shared" si="14"/>
        <v>0</v>
      </c>
    </row>
    <row r="95" spans="1:26">
      <c r="A95" s="4">
        <v>8</v>
      </c>
      <c r="B95" s="4" t="s">
        <v>152</v>
      </c>
      <c r="C95" s="4" t="s">
        <v>154</v>
      </c>
      <c r="D95" s="5">
        <v>10</v>
      </c>
      <c r="E95" s="5">
        <v>4</v>
      </c>
      <c r="F95" s="4">
        <f t="shared" si="7"/>
        <v>9.5999999999999659</v>
      </c>
      <c r="G95" s="4">
        <f t="shared" si="8"/>
        <v>1.0253058652647689</v>
      </c>
      <c r="H95" s="5">
        <v>1</v>
      </c>
      <c r="I95" s="5">
        <v>7</v>
      </c>
      <c r="J95" s="5">
        <v>0</v>
      </c>
      <c r="K95" s="5"/>
      <c r="L95" s="5">
        <v>1</v>
      </c>
      <c r="M95" s="5">
        <v>257.10000000000002</v>
      </c>
      <c r="N95" s="5">
        <v>266.7</v>
      </c>
      <c r="O95" s="116">
        <v>3.2479999999999905</v>
      </c>
      <c r="P95" s="115">
        <v>1.3179999999999268</v>
      </c>
      <c r="Q95" s="115">
        <v>1.08299999999997</v>
      </c>
      <c r="R95" s="115">
        <v>5.6489999999998872</v>
      </c>
      <c r="S95" s="4">
        <f t="shared" si="9"/>
        <v>0.62818450807341164</v>
      </c>
      <c r="T95" s="4">
        <f t="shared" si="10"/>
        <v>0.36511343162756349</v>
      </c>
      <c r="U95" s="4">
        <f t="shared" si="11"/>
        <v>0.31868926994773961</v>
      </c>
      <c r="V95" s="4">
        <f t="shared" si="12"/>
        <v>0.82275633295138328</v>
      </c>
      <c r="W95" s="116">
        <v>23</v>
      </c>
      <c r="X95" s="115">
        <v>7</v>
      </c>
      <c r="Y95" s="115">
        <v>3</v>
      </c>
      <c r="Z95" s="5">
        <f t="shared" si="14"/>
        <v>4</v>
      </c>
    </row>
    <row r="96" spans="1:26">
      <c r="A96" s="4">
        <v>8</v>
      </c>
      <c r="B96" s="4" t="s">
        <v>152</v>
      </c>
      <c r="C96" s="4" t="s">
        <v>154</v>
      </c>
      <c r="D96" s="5">
        <v>11</v>
      </c>
      <c r="E96" s="5">
        <v>2</v>
      </c>
      <c r="F96" s="4">
        <f t="shared" si="7"/>
        <v>13.599999999999994</v>
      </c>
      <c r="G96" s="4">
        <f t="shared" si="8"/>
        <v>1.1643528557844369</v>
      </c>
      <c r="H96" s="5">
        <v>1</v>
      </c>
      <c r="I96" s="5">
        <v>7</v>
      </c>
      <c r="J96" s="5">
        <v>0</v>
      </c>
      <c r="K96" s="5"/>
      <c r="L96" s="5">
        <v>3</v>
      </c>
      <c r="M96" s="5">
        <v>154.1</v>
      </c>
      <c r="N96" s="5">
        <v>167.7</v>
      </c>
      <c r="O96" s="116">
        <v>4.5680000000000405</v>
      </c>
      <c r="P96" s="115">
        <v>1.966000000000065</v>
      </c>
      <c r="Q96" s="115">
        <v>0.81700000000006412</v>
      </c>
      <c r="R96" s="115">
        <v>7.3510000000001696</v>
      </c>
      <c r="S96" s="4">
        <f t="shared" si="9"/>
        <v>0.74569922660250887</v>
      </c>
      <c r="T96" s="4">
        <f t="shared" si="10"/>
        <v>0.47217114669237276</v>
      </c>
      <c r="U96" s="4">
        <f t="shared" si="11"/>
        <v>0.25935492730804965</v>
      </c>
      <c r="V96" s="4">
        <f t="shared" si="12"/>
        <v>0.92173848368460753</v>
      </c>
      <c r="W96" s="116">
        <v>34</v>
      </c>
      <c r="X96" s="115">
        <v>8</v>
      </c>
      <c r="Y96" s="115">
        <v>4</v>
      </c>
      <c r="Z96" s="5">
        <f t="shared" si="14"/>
        <v>4</v>
      </c>
    </row>
    <row r="97" spans="1:26">
      <c r="A97" s="4">
        <v>8</v>
      </c>
      <c r="B97" s="4" t="s">
        <v>152</v>
      </c>
      <c r="C97" s="4" t="s">
        <v>149</v>
      </c>
      <c r="D97" s="5">
        <v>12</v>
      </c>
      <c r="E97" s="5">
        <v>10</v>
      </c>
      <c r="F97" s="4">
        <f t="shared" si="7"/>
        <v>21.299999999999955</v>
      </c>
      <c r="G97" s="4">
        <f t="shared" si="8"/>
        <v>1.3483048630481598</v>
      </c>
      <c r="H97" s="5">
        <v>1</v>
      </c>
      <c r="I97" s="5">
        <v>5</v>
      </c>
      <c r="J97" s="5">
        <v>0</v>
      </c>
      <c r="K97" s="5"/>
      <c r="L97" s="5">
        <v>3</v>
      </c>
      <c r="M97" s="5">
        <v>643</v>
      </c>
      <c r="N97" s="5">
        <v>664.3</v>
      </c>
      <c r="O97" s="116">
        <v>4.8679999999995971</v>
      </c>
      <c r="P97" s="115">
        <v>1.7670000000000528</v>
      </c>
      <c r="Q97" s="115">
        <v>2.9679999999996198</v>
      </c>
      <c r="R97" s="115">
        <v>9.6029999999992697</v>
      </c>
      <c r="S97" s="4">
        <f t="shared" si="9"/>
        <v>0.7684901051712153</v>
      </c>
      <c r="T97" s="4">
        <f t="shared" si="10"/>
        <v>0.44200915914096028</v>
      </c>
      <c r="U97" s="4">
        <f t="shared" si="11"/>
        <v>0.59857166348209945</v>
      </c>
      <c r="V97" s="4">
        <f t="shared" si="12"/>
        <v>1.0254287614072111</v>
      </c>
      <c r="W97" s="116">
        <v>57</v>
      </c>
      <c r="X97" s="115">
        <v>23</v>
      </c>
      <c r="Y97" s="115">
        <v>5</v>
      </c>
      <c r="Z97" s="5">
        <f t="shared" si="14"/>
        <v>18</v>
      </c>
    </row>
    <row r="98" spans="1:26">
      <c r="A98" s="4">
        <v>9</v>
      </c>
      <c r="B98" s="4" t="s">
        <v>151</v>
      </c>
      <c r="C98" s="4" t="s">
        <v>150</v>
      </c>
      <c r="D98" s="5">
        <v>1</v>
      </c>
      <c r="E98" s="5">
        <v>11</v>
      </c>
      <c r="F98" s="4">
        <f t="shared" si="7"/>
        <v>47</v>
      </c>
      <c r="G98" s="4">
        <f t="shared" si="8"/>
        <v>1.6812412373755872</v>
      </c>
      <c r="H98" s="5">
        <v>1</v>
      </c>
      <c r="I98" s="5">
        <v>2</v>
      </c>
      <c r="J98" s="5">
        <v>1</v>
      </c>
      <c r="K98" s="5"/>
      <c r="L98" s="5">
        <v>1</v>
      </c>
      <c r="M98" s="5">
        <v>743.5</v>
      </c>
      <c r="N98" s="5">
        <v>790.5</v>
      </c>
      <c r="O98" s="116">
        <v>6.8869999999999436</v>
      </c>
      <c r="P98" s="115">
        <v>2.9320000000000164</v>
      </c>
      <c r="Q98" s="115">
        <v>14.910000000000537</v>
      </c>
      <c r="R98" s="115">
        <v>24.729000000000497</v>
      </c>
      <c r="S98" s="4">
        <f t="shared" si="9"/>
        <v>0.89691184082602204</v>
      </c>
      <c r="T98" s="4">
        <f t="shared" si="10"/>
        <v>0.59461350916009981</v>
      </c>
      <c r="U98" s="4">
        <f t="shared" si="11"/>
        <v>1.2016701796465963</v>
      </c>
      <c r="V98" s="4">
        <f t="shared" si="12"/>
        <v>1.4104229069673864</v>
      </c>
      <c r="W98" s="116">
        <v>123</v>
      </c>
      <c r="X98" s="115">
        <v>15</v>
      </c>
      <c r="Y98" s="115">
        <v>4</v>
      </c>
      <c r="Z98" s="5">
        <f t="shared" si="14"/>
        <v>11</v>
      </c>
    </row>
    <row r="99" spans="1:26">
      <c r="A99" s="4">
        <v>9</v>
      </c>
      <c r="B99" s="4" t="s">
        <v>151</v>
      </c>
      <c r="C99" s="4" t="s">
        <v>149</v>
      </c>
      <c r="D99" s="5">
        <v>2</v>
      </c>
      <c r="E99" s="5">
        <v>3</v>
      </c>
      <c r="F99" s="4">
        <f t="shared" si="7"/>
        <v>18.300000000000011</v>
      </c>
      <c r="G99" s="4">
        <f t="shared" si="8"/>
        <v>1.2855573090077741</v>
      </c>
      <c r="H99" s="5">
        <v>1</v>
      </c>
      <c r="I99" s="5">
        <v>4</v>
      </c>
      <c r="J99" s="5">
        <v>0</v>
      </c>
      <c r="K99" s="5"/>
      <c r="L99" s="5">
        <v>2</v>
      </c>
      <c r="M99" s="5">
        <v>181.5</v>
      </c>
      <c r="N99" s="5">
        <v>199.8</v>
      </c>
      <c r="O99" s="116">
        <v>5.5660000000000025</v>
      </c>
      <c r="P99" s="115">
        <v>2.0670000000000073</v>
      </c>
      <c r="Q99" s="115">
        <v>3.3330000000000268</v>
      </c>
      <c r="R99" s="115">
        <v>10.966000000000037</v>
      </c>
      <c r="S99" s="4">
        <f t="shared" si="9"/>
        <v>0.81730087839332144</v>
      </c>
      <c r="T99" s="4">
        <f t="shared" si="10"/>
        <v>0.48671377598248655</v>
      </c>
      <c r="U99" s="4">
        <f t="shared" si="11"/>
        <v>0.63678868903437746</v>
      </c>
      <c r="V99" s="4">
        <f t="shared" si="12"/>
        <v>1.0779489985060289</v>
      </c>
      <c r="W99" s="116">
        <v>56</v>
      </c>
      <c r="X99" s="115">
        <v>8</v>
      </c>
      <c r="Y99" s="115">
        <v>4</v>
      </c>
      <c r="Z99" s="5">
        <f t="shared" si="14"/>
        <v>4</v>
      </c>
    </row>
    <row r="100" spans="1:26">
      <c r="A100" s="4">
        <v>9</v>
      </c>
      <c r="B100" s="4" t="s">
        <v>151</v>
      </c>
      <c r="C100" s="4" t="s">
        <v>154</v>
      </c>
      <c r="D100" s="5">
        <v>3</v>
      </c>
      <c r="E100" s="5">
        <v>5</v>
      </c>
      <c r="F100" s="4">
        <f t="shared" si="7"/>
        <v>16.899999999999977</v>
      </c>
      <c r="G100" s="4">
        <f t="shared" si="8"/>
        <v>1.2528530309798926</v>
      </c>
      <c r="H100" s="5">
        <v>1</v>
      </c>
      <c r="I100" s="5">
        <v>3</v>
      </c>
      <c r="J100" s="5">
        <v>0</v>
      </c>
      <c r="K100" s="5"/>
      <c r="L100" s="5">
        <v>5</v>
      </c>
      <c r="M100" s="5">
        <v>289.8</v>
      </c>
      <c r="N100" s="5">
        <v>306.7</v>
      </c>
      <c r="O100" s="116">
        <v>2.741000000000156</v>
      </c>
      <c r="P100" s="115">
        <v>1.5990000000000464</v>
      </c>
      <c r="Q100" s="115">
        <v>2.6830000000000496</v>
      </c>
      <c r="R100" s="115">
        <v>7.0230000000002519</v>
      </c>
      <c r="S100" s="4">
        <f t="shared" si="9"/>
        <v>0.5729877081982232</v>
      </c>
      <c r="T100" s="4">
        <f t="shared" si="10"/>
        <v>0.41480627950102034</v>
      </c>
      <c r="U100" s="4">
        <f t="shared" si="11"/>
        <v>0.56620171885491877</v>
      </c>
      <c r="V100" s="4">
        <f t="shared" si="12"/>
        <v>0.90433679220250862</v>
      </c>
      <c r="W100" s="116">
        <v>37</v>
      </c>
      <c r="X100" s="115">
        <v>9</v>
      </c>
      <c r="Y100" s="115">
        <v>5</v>
      </c>
      <c r="Z100" s="5">
        <f t="shared" si="14"/>
        <v>4</v>
      </c>
    </row>
    <row r="101" spans="1:26">
      <c r="A101" s="4">
        <v>9</v>
      </c>
      <c r="B101" s="4" t="s">
        <v>151</v>
      </c>
      <c r="C101" s="4" t="s">
        <v>149</v>
      </c>
      <c r="D101" s="5">
        <v>4</v>
      </c>
      <c r="E101" s="5">
        <v>1</v>
      </c>
      <c r="F101" s="4">
        <f t="shared" si="7"/>
        <v>23.700000000000003</v>
      </c>
      <c r="G101" s="4">
        <f t="shared" si="8"/>
        <v>1.3926969532596658</v>
      </c>
      <c r="H101" s="5">
        <v>1</v>
      </c>
      <c r="I101" s="5">
        <v>5</v>
      </c>
      <c r="J101" s="5">
        <v>1</v>
      </c>
      <c r="K101" s="5"/>
      <c r="L101" s="5">
        <v>3</v>
      </c>
      <c r="M101" s="5">
        <v>66</v>
      </c>
      <c r="N101" s="5">
        <v>89.7</v>
      </c>
      <c r="O101" s="116">
        <v>3.9680000000000462</v>
      </c>
      <c r="P101" s="115">
        <v>2.1689999999999685</v>
      </c>
      <c r="Q101" s="115">
        <v>7.6789999999999878</v>
      </c>
      <c r="R101" s="115">
        <v>13.816000000000003</v>
      </c>
      <c r="S101" s="4">
        <f t="shared" si="9"/>
        <v>0.69618158716852785</v>
      </c>
      <c r="T101" s="4">
        <f t="shared" si="10"/>
        <v>0.50092223919029621</v>
      </c>
      <c r="U101" s="4">
        <f t="shared" si="11"/>
        <v>0.93846968836764477</v>
      </c>
      <c r="V101" s="4">
        <f t="shared" si="12"/>
        <v>1.1707309693378591</v>
      </c>
      <c r="W101" s="116">
        <v>69</v>
      </c>
      <c r="X101" s="115">
        <v>6</v>
      </c>
      <c r="Y101" s="115">
        <v>4</v>
      </c>
      <c r="Z101" s="5">
        <f t="shared" si="14"/>
        <v>2</v>
      </c>
    </row>
    <row r="102" spans="1:26">
      <c r="A102" s="4">
        <v>9</v>
      </c>
      <c r="B102" s="4" t="s">
        <v>151</v>
      </c>
      <c r="C102" s="4" t="s">
        <v>150</v>
      </c>
      <c r="D102" s="5">
        <v>5</v>
      </c>
      <c r="E102" s="5">
        <v>9</v>
      </c>
      <c r="F102" s="4">
        <f t="shared" si="7"/>
        <v>56</v>
      </c>
      <c r="G102" s="4">
        <f t="shared" si="8"/>
        <v>1.7558748556724915</v>
      </c>
      <c r="H102" s="5">
        <v>1</v>
      </c>
      <c r="I102" s="5">
        <v>3</v>
      </c>
      <c r="J102" s="5">
        <v>1</v>
      </c>
      <c r="K102" s="5"/>
      <c r="L102" s="5">
        <v>2</v>
      </c>
      <c r="M102" s="5">
        <v>575.70000000000005</v>
      </c>
      <c r="N102" s="5">
        <v>631.70000000000005</v>
      </c>
      <c r="O102" s="116">
        <v>8.3510000000003402</v>
      </c>
      <c r="P102" s="115">
        <v>3.3500000000000227</v>
      </c>
      <c r="Q102" s="115">
        <v>18.940000000000055</v>
      </c>
      <c r="R102" s="115">
        <v>30.641000000000417</v>
      </c>
      <c r="S102" s="4">
        <f t="shared" si="9"/>
        <v>0.97085805699651806</v>
      </c>
      <c r="T102" s="4">
        <f t="shared" si="10"/>
        <v>0.63848925695463965</v>
      </c>
      <c r="U102" s="4">
        <f t="shared" si="11"/>
        <v>1.299725153975638</v>
      </c>
      <c r="V102" s="4">
        <f t="shared" si="12"/>
        <v>1.5002502007301639</v>
      </c>
      <c r="W102" s="116">
        <v>148</v>
      </c>
      <c r="X102" s="115">
        <v>15</v>
      </c>
      <c r="Y102" s="115">
        <v>6</v>
      </c>
      <c r="Z102" s="5">
        <f t="shared" si="14"/>
        <v>9</v>
      </c>
    </row>
    <row r="103" spans="1:26">
      <c r="A103" s="4">
        <v>9</v>
      </c>
      <c r="B103" s="4" t="s">
        <v>151</v>
      </c>
      <c r="C103" s="4" t="s">
        <v>154</v>
      </c>
      <c r="D103" s="5">
        <v>6</v>
      </c>
      <c r="E103" s="5">
        <v>7</v>
      </c>
      <c r="F103" s="4">
        <f t="shared" si="7"/>
        <v>15.100000000000023</v>
      </c>
      <c r="G103" s="4">
        <f t="shared" si="8"/>
        <v>1.2068258760318504</v>
      </c>
      <c r="H103" s="5">
        <v>1</v>
      </c>
      <c r="I103" s="5">
        <v>5</v>
      </c>
      <c r="J103" s="5">
        <v>0</v>
      </c>
      <c r="K103" s="5"/>
      <c r="L103" s="5">
        <v>1</v>
      </c>
      <c r="M103" s="5">
        <v>415.9</v>
      </c>
      <c r="N103" s="5">
        <v>431</v>
      </c>
      <c r="O103" s="116">
        <v>5.214000000000226</v>
      </c>
      <c r="P103" s="115">
        <v>1.66700000000003</v>
      </c>
      <c r="Q103" s="115">
        <v>1.4870000000000232</v>
      </c>
      <c r="R103" s="115">
        <v>8.3680000000002792</v>
      </c>
      <c r="S103" s="4">
        <f t="shared" si="9"/>
        <v>0.79337124891897148</v>
      </c>
      <c r="T103" s="4">
        <f t="shared" si="10"/>
        <v>0.42602301568988105</v>
      </c>
      <c r="U103" s="4">
        <f t="shared" si="11"/>
        <v>0.39567578526994002</v>
      </c>
      <c r="V103" s="4">
        <f t="shared" si="12"/>
        <v>0.97164688206431971</v>
      </c>
      <c r="W103" s="116">
        <v>41</v>
      </c>
      <c r="X103" s="115">
        <v>9</v>
      </c>
      <c r="Y103" s="115">
        <v>4</v>
      </c>
      <c r="Z103" s="5">
        <f t="shared" si="14"/>
        <v>5</v>
      </c>
    </row>
    <row r="104" spans="1:26">
      <c r="A104" s="4">
        <v>9</v>
      </c>
      <c r="B104" s="4" t="s">
        <v>152</v>
      </c>
      <c r="C104" s="4" t="s">
        <v>150</v>
      </c>
      <c r="D104" s="5">
        <v>7</v>
      </c>
      <c r="E104" s="5">
        <v>10</v>
      </c>
      <c r="F104" s="4">
        <f t="shared" si="7"/>
        <v>34.5</v>
      </c>
      <c r="G104" s="4">
        <f t="shared" si="8"/>
        <v>1.550228353055094</v>
      </c>
      <c r="H104" s="5">
        <v>1</v>
      </c>
      <c r="I104" s="5">
        <v>4</v>
      </c>
      <c r="J104" s="5">
        <v>1</v>
      </c>
      <c r="K104" s="5"/>
      <c r="L104" s="5">
        <v>2</v>
      </c>
      <c r="M104" s="5">
        <v>666.6</v>
      </c>
      <c r="N104" s="5">
        <v>701.1</v>
      </c>
      <c r="O104" s="116">
        <v>6.2670000000003938</v>
      </c>
      <c r="P104" s="115">
        <v>5.6950000000003911</v>
      </c>
      <c r="Q104" s="115">
        <v>6.3500000000002501</v>
      </c>
      <c r="R104" s="115">
        <v>18.312000000001035</v>
      </c>
      <c r="S104" s="4">
        <f t="shared" si="9"/>
        <v>0.86135516019328362</v>
      </c>
      <c r="T104" s="4">
        <f t="shared" si="10"/>
        <v>0.82575058134805313</v>
      </c>
      <c r="U104" s="4">
        <f t="shared" si="11"/>
        <v>0.86628733908420963</v>
      </c>
      <c r="V104" s="4">
        <f t="shared" si="12"/>
        <v>1.2858272527532972</v>
      </c>
      <c r="W104" s="116">
        <v>74</v>
      </c>
      <c r="X104" s="115">
        <v>11</v>
      </c>
      <c r="Y104" s="115">
        <v>5</v>
      </c>
      <c r="Z104" s="5">
        <f t="shared" si="14"/>
        <v>6</v>
      </c>
    </row>
    <row r="105" spans="1:26">
      <c r="A105" s="4">
        <v>9</v>
      </c>
      <c r="B105" s="4" t="s">
        <v>152</v>
      </c>
      <c r="C105" s="4" t="s">
        <v>154</v>
      </c>
      <c r="D105" s="5">
        <v>8</v>
      </c>
      <c r="E105" s="5">
        <v>6</v>
      </c>
      <c r="F105" s="4">
        <f t="shared" si="7"/>
        <v>18.699999999999989</v>
      </c>
      <c r="G105" s="4">
        <f t="shared" si="8"/>
        <v>1.2944662261615927</v>
      </c>
      <c r="H105" s="5">
        <v>1</v>
      </c>
      <c r="I105" s="5">
        <v>4</v>
      </c>
      <c r="J105" s="5">
        <v>0</v>
      </c>
      <c r="K105" s="5"/>
      <c r="L105" s="5">
        <v>2</v>
      </c>
      <c r="M105" s="5">
        <v>362.3</v>
      </c>
      <c r="N105" s="5">
        <v>381</v>
      </c>
      <c r="O105" s="116">
        <v>5.7129999999998518</v>
      </c>
      <c r="P105" s="115">
        <v>1.3480000000000132</v>
      </c>
      <c r="Q105" s="115">
        <v>3.4489999999999554</v>
      </c>
      <c r="R105" s="115">
        <v>10.50999999999982</v>
      </c>
      <c r="S105" s="4">
        <f t="shared" si="9"/>
        <v>0.82691664718491087</v>
      </c>
      <c r="T105" s="4">
        <f t="shared" si="10"/>
        <v>0.37069809257557929</v>
      </c>
      <c r="U105" s="4">
        <f t="shared" si="11"/>
        <v>0.64826240574804006</v>
      </c>
      <c r="V105" s="4">
        <f t="shared" si="12"/>
        <v>1.061075323629785</v>
      </c>
      <c r="W105" s="116">
        <v>55</v>
      </c>
      <c r="X105" s="115">
        <v>8</v>
      </c>
      <c r="Y105" s="115">
        <v>5</v>
      </c>
      <c r="Z105" s="5">
        <f t="shared" si="14"/>
        <v>3</v>
      </c>
    </row>
    <row r="106" spans="1:26">
      <c r="A106" s="4">
        <v>9</v>
      </c>
      <c r="B106" s="4" t="s">
        <v>152</v>
      </c>
      <c r="C106" s="4" t="s">
        <v>154</v>
      </c>
      <c r="D106" s="5">
        <v>9</v>
      </c>
      <c r="E106" s="5">
        <v>8</v>
      </c>
      <c r="F106" s="4">
        <f t="shared" si="7"/>
        <v>30</v>
      </c>
      <c r="G106" s="4">
        <f t="shared" si="8"/>
        <v>1.4913616938342726</v>
      </c>
      <c r="H106" s="5">
        <v>1</v>
      </c>
      <c r="I106" s="5">
        <v>2</v>
      </c>
      <c r="J106" s="5">
        <v>0</v>
      </c>
      <c r="K106" s="5"/>
      <c r="L106" s="5">
        <v>2</v>
      </c>
      <c r="M106" s="5">
        <v>483.9</v>
      </c>
      <c r="N106" s="5">
        <v>513.9</v>
      </c>
      <c r="O106" s="116">
        <v>7.8100000000000023</v>
      </c>
      <c r="P106" s="115">
        <v>3.484000000000151</v>
      </c>
      <c r="Q106" s="115">
        <v>4.646000000000015</v>
      </c>
      <c r="R106" s="115">
        <v>15.940000000000168</v>
      </c>
      <c r="S106" s="4">
        <f t="shared" si="9"/>
        <v>0.94497590841204804</v>
      </c>
      <c r="T106" s="4">
        <f t="shared" si="10"/>
        <v>0.65166560392295014</v>
      </c>
      <c r="U106" s="4">
        <f t="shared" si="11"/>
        <v>0.75174087381090171</v>
      </c>
      <c r="V106" s="4">
        <f t="shared" si="12"/>
        <v>1.2289134059946925</v>
      </c>
      <c r="W106" s="116">
        <v>79</v>
      </c>
      <c r="X106" s="115">
        <v>7</v>
      </c>
      <c r="Y106" s="115">
        <v>4</v>
      </c>
      <c r="Z106" s="5">
        <f t="shared" si="14"/>
        <v>3</v>
      </c>
    </row>
    <row r="107" spans="1:26">
      <c r="A107" s="4">
        <v>9</v>
      </c>
      <c r="B107" s="4" t="s">
        <v>152</v>
      </c>
      <c r="C107" s="4" t="s">
        <v>149</v>
      </c>
      <c r="D107" s="5">
        <v>10</v>
      </c>
      <c r="E107" s="5">
        <v>4</v>
      </c>
      <c r="F107" s="4">
        <f t="shared" si="7"/>
        <v>12.600000000000023</v>
      </c>
      <c r="G107" s="4">
        <f t="shared" si="8"/>
        <v>1.1335389083702183</v>
      </c>
      <c r="H107" s="5">
        <v>1</v>
      </c>
      <c r="I107" s="5">
        <v>6</v>
      </c>
      <c r="J107" s="5">
        <v>0</v>
      </c>
      <c r="K107" s="5"/>
      <c r="L107" s="5">
        <v>1</v>
      </c>
      <c r="M107" s="5">
        <v>243.5</v>
      </c>
      <c r="N107" s="5">
        <v>256.10000000000002</v>
      </c>
      <c r="O107" s="116">
        <v>4.3290000000000362</v>
      </c>
      <c r="P107" s="115">
        <v>2.0010000000000332</v>
      </c>
      <c r="Q107" s="115">
        <v>1.2670000000000528</v>
      </c>
      <c r="R107" s="115">
        <v>7.5970000000001221</v>
      </c>
      <c r="S107" s="4">
        <f t="shared" si="9"/>
        <v>0.72664572024091478</v>
      </c>
      <c r="T107" s="4">
        <f t="shared" si="10"/>
        <v>0.47726599542485743</v>
      </c>
      <c r="U107" s="4">
        <f t="shared" si="11"/>
        <v>0.35545152012652748</v>
      </c>
      <c r="V107" s="4">
        <f t="shared" si="12"/>
        <v>0.93434692673826181</v>
      </c>
      <c r="W107" s="116">
        <v>36</v>
      </c>
      <c r="X107" s="115">
        <v>9</v>
      </c>
      <c r="Y107" s="115">
        <v>4</v>
      </c>
      <c r="Z107" s="5">
        <f t="shared" si="14"/>
        <v>5</v>
      </c>
    </row>
    <row r="108" spans="1:26">
      <c r="A108" s="4">
        <v>9</v>
      </c>
      <c r="B108" s="4" t="s">
        <v>152</v>
      </c>
      <c r="C108" s="4" t="s">
        <v>149</v>
      </c>
      <c r="D108" s="5">
        <v>11</v>
      </c>
      <c r="E108" s="5">
        <v>2</v>
      </c>
      <c r="F108" s="4">
        <f t="shared" si="7"/>
        <v>23</v>
      </c>
      <c r="G108" s="4">
        <f t="shared" si="8"/>
        <v>1.3802112417116059</v>
      </c>
      <c r="H108" s="5">
        <v>1</v>
      </c>
      <c r="I108" s="5">
        <v>6</v>
      </c>
      <c r="J108" s="5">
        <v>1</v>
      </c>
      <c r="K108" s="5"/>
      <c r="L108" s="5">
        <v>3</v>
      </c>
      <c r="M108" s="5">
        <v>132.80000000000001</v>
      </c>
      <c r="N108" s="5">
        <v>155.80000000000001</v>
      </c>
      <c r="O108" s="116">
        <v>6.6000000000000512</v>
      </c>
      <c r="P108" s="115">
        <v>2.4830000000000041</v>
      </c>
      <c r="Q108" s="115">
        <v>4.0490000000000066</v>
      </c>
      <c r="R108" s="115">
        <v>13.132000000000062</v>
      </c>
      <c r="S108" s="4">
        <f t="shared" si="9"/>
        <v>0.88081359228079426</v>
      </c>
      <c r="T108" s="4">
        <f t="shared" si="10"/>
        <v>0.54195347445823683</v>
      </c>
      <c r="U108" s="4">
        <f t="shared" si="11"/>
        <v>0.70320537069548683</v>
      </c>
      <c r="V108" s="4">
        <f t="shared" si="12"/>
        <v>1.1502036287628097</v>
      </c>
      <c r="W108" s="116">
        <v>65</v>
      </c>
      <c r="X108" s="115">
        <v>10</v>
      </c>
      <c r="Y108" s="115">
        <v>3</v>
      </c>
      <c r="Z108" s="5">
        <f t="shared" si="14"/>
        <v>7</v>
      </c>
    </row>
    <row r="109" spans="1:26">
      <c r="A109" s="4">
        <v>9</v>
      </c>
      <c r="B109" s="4" t="s">
        <v>152</v>
      </c>
      <c r="C109" s="4" t="s">
        <v>150</v>
      </c>
      <c r="D109" s="5">
        <v>12</v>
      </c>
      <c r="E109" s="5">
        <v>12</v>
      </c>
      <c r="F109" s="4">
        <f t="shared" si="7"/>
        <v>18</v>
      </c>
      <c r="G109" s="4">
        <f t="shared" si="8"/>
        <v>1.2787536009528289</v>
      </c>
      <c r="H109" s="5">
        <v>1</v>
      </c>
      <c r="I109" s="5">
        <v>4</v>
      </c>
      <c r="J109" s="5">
        <v>1</v>
      </c>
      <c r="K109" s="5"/>
      <c r="L109" s="5">
        <v>3</v>
      </c>
      <c r="M109" s="5">
        <v>835.6</v>
      </c>
      <c r="N109" s="5">
        <v>853.6</v>
      </c>
      <c r="O109" s="116">
        <v>3.0339999999999918</v>
      </c>
      <c r="P109" s="115">
        <v>2.4009999999999536</v>
      </c>
      <c r="Q109" s="115">
        <v>4.3510000000002265</v>
      </c>
      <c r="R109" s="115">
        <v>9.7860000000001719</v>
      </c>
      <c r="S109" s="4">
        <f t="shared" si="9"/>
        <v>0.60573589387674576</v>
      </c>
      <c r="T109" s="4">
        <f t="shared" si="10"/>
        <v>0.53160663193271618</v>
      </c>
      <c r="U109" s="4">
        <f t="shared" si="11"/>
        <v>0.72843495097427313</v>
      </c>
      <c r="V109" s="4">
        <f t="shared" si="12"/>
        <v>1.0328604159521506</v>
      </c>
      <c r="W109" s="116">
        <v>43</v>
      </c>
      <c r="X109" s="115">
        <v>8</v>
      </c>
      <c r="Y109" s="115">
        <v>3</v>
      </c>
      <c r="Z109" s="5">
        <f t="shared" si="14"/>
        <v>5</v>
      </c>
    </row>
    <row r="110" spans="1:26">
      <c r="A110" s="4">
        <v>10</v>
      </c>
      <c r="B110" s="4" t="s">
        <v>151</v>
      </c>
      <c r="C110" s="4" t="s">
        <v>154</v>
      </c>
      <c r="D110" s="5">
        <v>1</v>
      </c>
      <c r="E110" s="5">
        <v>11</v>
      </c>
      <c r="F110" s="4">
        <f t="shared" si="7"/>
        <v>15.799999999999955</v>
      </c>
      <c r="G110" s="4">
        <f t="shared" si="8"/>
        <v>1.2253092817258617</v>
      </c>
      <c r="H110" s="5">
        <v>1</v>
      </c>
      <c r="I110" s="5">
        <v>5</v>
      </c>
      <c r="J110" s="5">
        <v>0</v>
      </c>
      <c r="K110" s="5"/>
      <c r="L110" s="5">
        <v>1</v>
      </c>
      <c r="M110" s="5">
        <v>704.5</v>
      </c>
      <c r="N110" s="5">
        <v>720.3</v>
      </c>
      <c r="O110" s="116">
        <v>2.7989999999999782</v>
      </c>
      <c r="P110" s="115">
        <v>3.9150000000000773</v>
      </c>
      <c r="Q110" s="115">
        <v>0.76800000000014279</v>
      </c>
      <c r="R110" s="115">
        <v>7.4820000000001983</v>
      </c>
      <c r="S110" s="4">
        <f t="shared" si="9"/>
        <v>0.57966929355471786</v>
      </c>
      <c r="T110" s="4">
        <f t="shared" si="10"/>
        <v>0.69152352216816126</v>
      </c>
      <c r="U110" s="4">
        <f t="shared" si="11"/>
        <v>0.24748226067708937</v>
      </c>
      <c r="V110" s="4">
        <f t="shared" si="12"/>
        <v>0.92849826812370095</v>
      </c>
      <c r="W110" s="116">
        <v>40</v>
      </c>
      <c r="X110" s="115">
        <v>9</v>
      </c>
      <c r="Y110" s="115">
        <v>5</v>
      </c>
      <c r="Z110" s="5">
        <f t="shared" si="14"/>
        <v>4</v>
      </c>
    </row>
    <row r="111" spans="1:26">
      <c r="A111" s="4">
        <v>10</v>
      </c>
      <c r="B111" s="4" t="s">
        <v>151</v>
      </c>
      <c r="C111" s="4" t="s">
        <v>150</v>
      </c>
      <c r="D111" s="5">
        <v>2</v>
      </c>
      <c r="E111" s="5">
        <v>7</v>
      </c>
      <c r="F111" s="4">
        <f t="shared" si="7"/>
        <v>38.100000000000023</v>
      </c>
      <c r="G111" s="4">
        <f t="shared" si="8"/>
        <v>1.5921767573958672</v>
      </c>
      <c r="H111" s="5">
        <v>1</v>
      </c>
      <c r="I111" s="5">
        <v>5</v>
      </c>
      <c r="J111" s="5">
        <v>1</v>
      </c>
      <c r="K111" s="5"/>
      <c r="L111" s="5">
        <v>3</v>
      </c>
      <c r="M111" s="5">
        <v>527.1</v>
      </c>
      <c r="N111" s="5">
        <v>565.20000000000005</v>
      </c>
      <c r="O111" s="116">
        <v>3.8159999999998035</v>
      </c>
      <c r="P111" s="115">
        <v>0.73300000000006094</v>
      </c>
      <c r="Q111" s="115">
        <v>7.2549999999999955</v>
      </c>
      <c r="R111" s="115">
        <v>11.80399999999986</v>
      </c>
      <c r="S111" s="4">
        <f t="shared" si="9"/>
        <v>0.68268647824975037</v>
      </c>
      <c r="T111" s="4">
        <f t="shared" si="10"/>
        <v>0.23879856271393227</v>
      </c>
      <c r="U111" s="4">
        <f t="shared" si="11"/>
        <v>0.91671707759881216</v>
      </c>
      <c r="V111" s="4">
        <f t="shared" si="12"/>
        <v>1.1073456654720899</v>
      </c>
      <c r="W111" s="116">
        <v>63</v>
      </c>
      <c r="X111" s="115">
        <v>16</v>
      </c>
      <c r="Y111" s="115">
        <v>6</v>
      </c>
      <c r="Z111" s="5">
        <f t="shared" si="14"/>
        <v>10</v>
      </c>
    </row>
    <row r="112" spans="1:26">
      <c r="A112" s="4">
        <v>10</v>
      </c>
      <c r="B112" s="4" t="s">
        <v>151</v>
      </c>
      <c r="C112" s="4" t="s">
        <v>149</v>
      </c>
      <c r="D112" s="5">
        <v>3</v>
      </c>
      <c r="E112" s="5">
        <v>3</v>
      </c>
      <c r="F112" s="4">
        <f t="shared" si="7"/>
        <v>16.400000000000034</v>
      </c>
      <c r="G112" s="4">
        <f t="shared" si="8"/>
        <v>1.2405492482826006</v>
      </c>
      <c r="H112" s="5">
        <v>1</v>
      </c>
      <c r="I112" s="5">
        <v>6</v>
      </c>
      <c r="J112" s="5">
        <v>1</v>
      </c>
      <c r="K112" s="5"/>
      <c r="L112" s="5">
        <v>4</v>
      </c>
      <c r="M112" s="5">
        <v>323.39999999999998</v>
      </c>
      <c r="N112" s="5">
        <v>339.8</v>
      </c>
      <c r="O112" s="116">
        <v>0.78399999999999181</v>
      </c>
      <c r="P112" s="115">
        <v>1.0999999999999091</v>
      </c>
      <c r="Q112" s="115">
        <v>3.6120000000000232</v>
      </c>
      <c r="R112" s="115">
        <v>5.4959999999999241</v>
      </c>
      <c r="S112" s="4">
        <f t="shared" si="9"/>
        <v>0.25139485004010226</v>
      </c>
      <c r="T112" s="4">
        <f t="shared" si="10"/>
        <v>0.32221929473390049</v>
      </c>
      <c r="U112" s="4">
        <f t="shared" si="11"/>
        <v>0.66388929862266355</v>
      </c>
      <c r="V112" s="4">
        <f t="shared" si="12"/>
        <v>0.81264601623311383</v>
      </c>
      <c r="W112" s="116">
        <v>34</v>
      </c>
      <c r="X112" s="115">
        <v>10</v>
      </c>
      <c r="Y112" s="115">
        <v>5</v>
      </c>
      <c r="Z112" s="5">
        <f t="shared" si="14"/>
        <v>5</v>
      </c>
    </row>
    <row r="113" spans="1:26">
      <c r="A113" s="4">
        <v>10</v>
      </c>
      <c r="B113" s="4" t="s">
        <v>151</v>
      </c>
      <c r="C113" s="4" t="s">
        <v>154</v>
      </c>
      <c r="D113" s="5">
        <v>4</v>
      </c>
      <c r="E113" s="5">
        <v>9</v>
      </c>
      <c r="F113" s="4">
        <f t="shared" si="7"/>
        <v>16.100000000000023</v>
      </c>
      <c r="G113" s="4">
        <f t="shared" si="8"/>
        <v>1.2329961103921545</v>
      </c>
      <c r="H113" s="5">
        <v>1</v>
      </c>
      <c r="I113" s="5">
        <v>6</v>
      </c>
      <c r="J113" s="5">
        <v>0</v>
      </c>
      <c r="K113" s="5"/>
      <c r="L113" s="5">
        <v>3</v>
      </c>
      <c r="M113" s="5">
        <v>633.29999999999995</v>
      </c>
      <c r="N113" s="5">
        <v>649.4</v>
      </c>
      <c r="O113" s="116">
        <v>4.9189999999999827</v>
      </c>
      <c r="P113" s="115">
        <v>0.84999999999990905</v>
      </c>
      <c r="Q113" s="115">
        <v>1.848999999999819</v>
      </c>
      <c r="R113" s="115">
        <v>7.6179999999997108</v>
      </c>
      <c r="S113" s="4">
        <f t="shared" si="9"/>
        <v>0.77224833997185238</v>
      </c>
      <c r="T113" s="4">
        <f t="shared" si="10"/>
        <v>0.26717172840299247</v>
      </c>
      <c r="U113" s="4">
        <f t="shared" si="11"/>
        <v>0.45469244923944929</v>
      </c>
      <c r="V113" s="4">
        <f t="shared" si="12"/>
        <v>0.93540648975233442</v>
      </c>
      <c r="W113" s="116">
        <v>43</v>
      </c>
      <c r="X113" s="115">
        <v>7</v>
      </c>
      <c r="Y113" s="115">
        <v>3</v>
      </c>
      <c r="Z113" s="5">
        <f t="shared" si="14"/>
        <v>4</v>
      </c>
    </row>
    <row r="114" spans="1:26">
      <c r="A114" s="4">
        <v>10</v>
      </c>
      <c r="B114" s="4" t="s">
        <v>151</v>
      </c>
      <c r="C114" s="4" t="s">
        <v>149</v>
      </c>
      <c r="D114" s="5">
        <v>5</v>
      </c>
      <c r="E114" s="5">
        <v>1</v>
      </c>
      <c r="F114" s="4">
        <f t="shared" si="7"/>
        <v>7.2000000000000028</v>
      </c>
      <c r="G114" s="4">
        <f t="shared" si="8"/>
        <v>0.91381385238371682</v>
      </c>
      <c r="H114" s="5">
        <v>0</v>
      </c>
      <c r="I114" s="5">
        <v>5</v>
      </c>
      <c r="J114" s="5">
        <v>0</v>
      </c>
      <c r="K114" s="5"/>
      <c r="L114" s="5">
        <v>1</v>
      </c>
      <c r="M114" s="5">
        <v>88.5</v>
      </c>
      <c r="N114" s="5">
        <v>95.7</v>
      </c>
      <c r="O114" s="116">
        <v>1.5830000000000126</v>
      </c>
      <c r="P114" s="115">
        <v>0.24999999999998579</v>
      </c>
      <c r="Q114" s="115">
        <v>2.7809999999999633</v>
      </c>
      <c r="R114" s="115">
        <v>4.6139999999999617</v>
      </c>
      <c r="S114" s="4">
        <f t="shared" si="9"/>
        <v>0.4121244061733193</v>
      </c>
      <c r="T114" s="4">
        <f t="shared" si="10"/>
        <v>9.6910013008051479E-2</v>
      </c>
      <c r="U114" s="4">
        <f t="shared" si="11"/>
        <v>0.57760667736253135</v>
      </c>
      <c r="V114" s="4">
        <f t="shared" si="12"/>
        <v>0.74927240829841735</v>
      </c>
      <c r="W114" s="116">
        <v>21</v>
      </c>
      <c r="X114" s="115">
        <v>3</v>
      </c>
      <c r="Y114" s="115">
        <v>3</v>
      </c>
      <c r="Z114" s="5">
        <f t="shared" si="14"/>
        <v>0</v>
      </c>
    </row>
    <row r="115" spans="1:26">
      <c r="A115" s="4">
        <v>10</v>
      </c>
      <c r="B115" s="4" t="s">
        <v>151</v>
      </c>
      <c r="C115" s="4" t="s">
        <v>150</v>
      </c>
      <c r="D115" s="5">
        <v>6</v>
      </c>
      <c r="E115" s="5">
        <v>5</v>
      </c>
      <c r="F115" s="4">
        <f t="shared" si="7"/>
        <v>23.800000000000011</v>
      </c>
      <c r="G115" s="4">
        <f t="shared" si="8"/>
        <v>1.3944516808262164</v>
      </c>
      <c r="H115" s="5">
        <v>1</v>
      </c>
      <c r="I115" s="5">
        <v>4</v>
      </c>
      <c r="J115" s="5">
        <v>1</v>
      </c>
      <c r="K115" s="5"/>
      <c r="L115" s="5">
        <v>5</v>
      </c>
      <c r="M115" s="5">
        <v>406</v>
      </c>
      <c r="N115" s="5">
        <v>429.8</v>
      </c>
      <c r="O115" s="116">
        <v>0.38400000000001455</v>
      </c>
      <c r="P115" s="115">
        <v>1.6150000000000659</v>
      </c>
      <c r="Q115" s="115">
        <v>4.3670000000001323</v>
      </c>
      <c r="R115" s="115">
        <v>6.3660000000002128</v>
      </c>
      <c r="S115" s="4">
        <f t="shared" si="9"/>
        <v>0.14113609012074357</v>
      </c>
      <c r="T115" s="4">
        <f t="shared" si="10"/>
        <v>0.41747169320330402</v>
      </c>
      <c r="U115" s="4">
        <f t="shared" si="11"/>
        <v>0.72973159528704612</v>
      </c>
      <c r="V115" s="4">
        <f t="shared" si="12"/>
        <v>0.86723171451890668</v>
      </c>
      <c r="W115" s="116">
        <v>33</v>
      </c>
      <c r="X115" s="115">
        <v>8</v>
      </c>
      <c r="Y115" s="115">
        <v>5</v>
      </c>
      <c r="Z115" s="5">
        <f t="shared" si="14"/>
        <v>3</v>
      </c>
    </row>
    <row r="116" spans="1:26">
      <c r="A116" s="4">
        <v>10</v>
      </c>
      <c r="B116" s="4" t="s">
        <v>152</v>
      </c>
      <c r="C116" s="4" t="s">
        <v>150</v>
      </c>
      <c r="D116" s="5">
        <v>7</v>
      </c>
      <c r="E116" s="5">
        <v>8</v>
      </c>
      <c r="F116" s="4">
        <f t="shared" si="7"/>
        <v>7.7000000000000455</v>
      </c>
      <c r="G116" s="4">
        <f t="shared" si="8"/>
        <v>0.93951925261862079</v>
      </c>
      <c r="H116" s="5">
        <v>1</v>
      </c>
      <c r="I116" s="5">
        <v>6</v>
      </c>
      <c r="J116" s="5">
        <v>0</v>
      </c>
      <c r="K116" s="5"/>
      <c r="L116" s="5">
        <v>2</v>
      </c>
      <c r="M116" s="5">
        <v>598.5</v>
      </c>
      <c r="N116" s="5">
        <v>606.20000000000005</v>
      </c>
      <c r="O116" s="116">
        <v>2.3819999999999482</v>
      </c>
      <c r="P116" s="115">
        <v>1.2340000000000373</v>
      </c>
      <c r="Q116" s="115">
        <v>0.56600000000003092</v>
      </c>
      <c r="R116" s="115">
        <v>4.1820000000000164</v>
      </c>
      <c r="S116" s="4">
        <f t="shared" si="9"/>
        <v>0.52917360326171625</v>
      </c>
      <c r="T116" s="4">
        <f t="shared" si="10"/>
        <v>0.3490831687795975</v>
      </c>
      <c r="U116" s="4">
        <f t="shared" si="11"/>
        <v>0.19479175772193316</v>
      </c>
      <c r="V116" s="4">
        <f t="shared" si="12"/>
        <v>0.71449740864980738</v>
      </c>
      <c r="W116" s="116">
        <v>18</v>
      </c>
      <c r="X116" s="115">
        <v>6</v>
      </c>
      <c r="Y116" s="115">
        <v>3</v>
      </c>
      <c r="Z116" s="5">
        <f t="shared" si="14"/>
        <v>3</v>
      </c>
    </row>
    <row r="117" spans="1:26">
      <c r="A117" s="4">
        <v>10</v>
      </c>
      <c r="B117" s="4" t="s">
        <v>152</v>
      </c>
      <c r="C117" s="4" t="s">
        <v>149</v>
      </c>
      <c r="D117" s="5">
        <v>8</v>
      </c>
      <c r="E117" s="5">
        <v>4</v>
      </c>
      <c r="F117" s="4">
        <f t="shared" si="7"/>
        <v>8</v>
      </c>
      <c r="G117" s="4">
        <f t="shared" si="8"/>
        <v>0.95424250943932487</v>
      </c>
      <c r="H117" s="5">
        <v>1</v>
      </c>
      <c r="I117" s="5">
        <v>7</v>
      </c>
      <c r="J117" s="5">
        <v>0</v>
      </c>
      <c r="K117" s="5"/>
      <c r="L117" s="5">
        <v>2</v>
      </c>
      <c r="M117" s="5">
        <v>366.7</v>
      </c>
      <c r="N117" s="5">
        <v>374.7</v>
      </c>
      <c r="O117" s="116">
        <v>2.0650000000000546</v>
      </c>
      <c r="P117" s="115">
        <v>0.76699999999999591</v>
      </c>
      <c r="Q117" s="115">
        <v>0.96499999999991815</v>
      </c>
      <c r="R117" s="115">
        <v>3.7969999999999686</v>
      </c>
      <c r="S117" s="4">
        <f t="shared" si="9"/>
        <v>0.48643047885444157</v>
      </c>
      <c r="T117" s="4">
        <f t="shared" si="10"/>
        <v>0.24723654950676308</v>
      </c>
      <c r="U117" s="4">
        <f t="shared" si="11"/>
        <v>0.29336255471142741</v>
      </c>
      <c r="V117" s="4">
        <f t="shared" si="12"/>
        <v>0.68096971846589427</v>
      </c>
      <c r="W117" s="116">
        <v>21</v>
      </c>
      <c r="X117" s="115">
        <v>7</v>
      </c>
      <c r="Y117" s="115">
        <v>3</v>
      </c>
      <c r="Z117" s="5">
        <f t="shared" si="14"/>
        <v>4</v>
      </c>
    </row>
    <row r="118" spans="1:26">
      <c r="A118" s="4">
        <v>10</v>
      </c>
      <c r="B118" s="4" t="s">
        <v>152</v>
      </c>
      <c r="C118" s="4" t="s">
        <v>154</v>
      </c>
      <c r="D118" s="5">
        <v>9</v>
      </c>
      <c r="E118" s="5">
        <v>10</v>
      </c>
      <c r="F118" s="4">
        <f t="shared" si="7"/>
        <v>5.3000000000000682</v>
      </c>
      <c r="G118" s="4">
        <f t="shared" si="8"/>
        <v>0.79934054945358646</v>
      </c>
      <c r="H118" s="5">
        <v>1</v>
      </c>
      <c r="I118" s="5">
        <v>6</v>
      </c>
      <c r="J118" s="5">
        <v>0</v>
      </c>
      <c r="K118" s="5"/>
      <c r="L118" s="5">
        <v>1</v>
      </c>
      <c r="M118" s="5">
        <v>678.8</v>
      </c>
      <c r="N118" s="5">
        <v>684.1</v>
      </c>
      <c r="O118" s="116">
        <v>2.58299999999997</v>
      </c>
      <c r="P118" s="115">
        <v>0.13400000000001455</v>
      </c>
      <c r="Q118" s="115">
        <v>0.31700000000000728</v>
      </c>
      <c r="R118" s="115">
        <v>3.0339999999999918</v>
      </c>
      <c r="S118" s="4">
        <f t="shared" si="9"/>
        <v>0.55424680816610694</v>
      </c>
      <c r="T118" s="4">
        <f t="shared" si="10"/>
        <v>5.4613054556893345E-2</v>
      </c>
      <c r="U118" s="4">
        <f t="shared" si="11"/>
        <v>0.11958577496178621</v>
      </c>
      <c r="V118" s="4">
        <f t="shared" si="12"/>
        <v>0.60573589387674576</v>
      </c>
      <c r="W118" s="116">
        <v>16</v>
      </c>
      <c r="X118" s="115">
        <v>4</v>
      </c>
      <c r="Y118" s="115">
        <v>3</v>
      </c>
      <c r="Z118" s="5">
        <f>X118-Y118</f>
        <v>1</v>
      </c>
    </row>
    <row r="119" spans="1:26">
      <c r="A119" s="4">
        <v>10</v>
      </c>
      <c r="B119" s="4" t="s">
        <v>152</v>
      </c>
      <c r="C119" s="4" t="s">
        <v>149</v>
      </c>
      <c r="D119" s="5">
        <v>10</v>
      </c>
      <c r="E119" s="5">
        <v>2</v>
      </c>
      <c r="F119" s="4">
        <f t="shared" si="7"/>
        <v>18.100000000000023</v>
      </c>
      <c r="G119" s="4">
        <f t="shared" si="8"/>
        <v>1.2810333672477281</v>
      </c>
      <c r="H119" s="5">
        <v>1</v>
      </c>
      <c r="I119" s="5">
        <v>6</v>
      </c>
      <c r="J119" s="5">
        <v>0</v>
      </c>
      <c r="K119" s="5"/>
      <c r="L119" s="5">
        <v>1</v>
      </c>
      <c r="M119" s="5">
        <v>278.5</v>
      </c>
      <c r="N119" s="5">
        <v>296.60000000000002</v>
      </c>
      <c r="O119" s="116">
        <v>1.799000000000035</v>
      </c>
      <c r="P119" s="115">
        <v>1.7820000000001528</v>
      </c>
      <c r="Q119" s="115">
        <v>3.3010000000001014</v>
      </c>
      <c r="R119" s="115">
        <v>6.8820000000002892</v>
      </c>
      <c r="S119" s="4">
        <f t="shared" si="9"/>
        <v>0.44700289846616781</v>
      </c>
      <c r="T119" s="4">
        <f t="shared" si="10"/>
        <v>0.44435712565605145</v>
      </c>
      <c r="U119" s="4">
        <f t="shared" si="11"/>
        <v>0.63356944255410208</v>
      </c>
      <c r="V119" s="4">
        <f t="shared" si="12"/>
        <v>0.89663643052960018</v>
      </c>
      <c r="W119" s="116">
        <v>38</v>
      </c>
      <c r="X119" s="115">
        <v>14</v>
      </c>
      <c r="Y119" s="115">
        <v>3</v>
      </c>
      <c r="Z119" s="5">
        <f t="shared" ref="Z119:Z142" si="15">X119-Y119</f>
        <v>11</v>
      </c>
    </row>
    <row r="120" spans="1:26">
      <c r="A120" s="4">
        <v>10</v>
      </c>
      <c r="B120" s="4" t="s">
        <v>152</v>
      </c>
      <c r="C120" s="4" t="s">
        <v>150</v>
      </c>
      <c r="D120" s="5">
        <v>11</v>
      </c>
      <c r="E120" s="5">
        <v>6</v>
      </c>
      <c r="F120" s="4">
        <f t="shared" si="7"/>
        <v>12.199999999999989</v>
      </c>
      <c r="G120" s="4">
        <f t="shared" si="8"/>
        <v>1.1205739312058496</v>
      </c>
      <c r="H120" s="5">
        <v>1</v>
      </c>
      <c r="I120" s="5">
        <v>5</v>
      </c>
      <c r="J120" s="5">
        <v>1</v>
      </c>
      <c r="K120" s="5"/>
      <c r="L120" s="5">
        <v>3</v>
      </c>
      <c r="M120" s="5">
        <v>476.3</v>
      </c>
      <c r="N120" s="5">
        <v>488.5</v>
      </c>
      <c r="O120" s="116">
        <v>0.88499999999999091</v>
      </c>
      <c r="P120" s="115">
        <v>1.0990000000001601</v>
      </c>
      <c r="Q120" s="115">
        <v>3.2529999999999859</v>
      </c>
      <c r="R120" s="115">
        <v>5.2370000000001369</v>
      </c>
      <c r="S120" s="4">
        <f t="shared" si="9"/>
        <v>0.27531135454180955</v>
      </c>
      <c r="T120" s="4">
        <f t="shared" si="10"/>
        <v>0.32201243858243356</v>
      </c>
      <c r="U120" s="4">
        <f t="shared" si="11"/>
        <v>0.62869538271402181</v>
      </c>
      <c r="V120" s="4">
        <f t="shared" si="12"/>
        <v>0.79497574405114113</v>
      </c>
      <c r="W120" s="116">
        <v>32</v>
      </c>
      <c r="X120" s="115">
        <v>8</v>
      </c>
      <c r="Y120" s="115">
        <v>3</v>
      </c>
      <c r="Z120" s="5">
        <f t="shared" si="15"/>
        <v>5</v>
      </c>
    </row>
    <row r="121" spans="1:26">
      <c r="A121" s="4">
        <v>10</v>
      </c>
      <c r="B121" s="4" t="s">
        <v>152</v>
      </c>
      <c r="C121" s="4" t="s">
        <v>154</v>
      </c>
      <c r="D121" s="5">
        <v>12</v>
      </c>
      <c r="E121" s="5">
        <v>12</v>
      </c>
      <c r="F121" s="4">
        <f t="shared" si="7"/>
        <v>5.3000000000000682</v>
      </c>
      <c r="G121" s="4">
        <f t="shared" si="8"/>
        <v>0.79934054945358646</v>
      </c>
      <c r="H121" s="5">
        <v>1</v>
      </c>
      <c r="I121" s="5">
        <v>6</v>
      </c>
      <c r="J121" s="5">
        <v>0</v>
      </c>
      <c r="K121" s="5"/>
      <c r="L121" s="5">
        <v>3</v>
      </c>
      <c r="M121" s="5">
        <v>754.3</v>
      </c>
      <c r="N121" s="5">
        <v>759.6</v>
      </c>
      <c r="O121" s="116">
        <v>1.2669999999999391</v>
      </c>
      <c r="P121" s="115">
        <v>1.2989999999999782</v>
      </c>
      <c r="Q121" s="115">
        <v>0.20000000000004547</v>
      </c>
      <c r="R121" s="115">
        <v>2.7659999999999627</v>
      </c>
      <c r="S121" s="4">
        <f t="shared" si="9"/>
        <v>0.35545152012650572</v>
      </c>
      <c r="T121" s="4">
        <f t="shared" si="10"/>
        <v>0.36153897126927492</v>
      </c>
      <c r="U121" s="4">
        <f t="shared" si="11"/>
        <v>7.918124604764129E-2</v>
      </c>
      <c r="V121" s="4">
        <f t="shared" si="12"/>
        <v>0.57588031568064169</v>
      </c>
      <c r="W121" s="116">
        <v>13</v>
      </c>
      <c r="X121" s="115">
        <v>4</v>
      </c>
      <c r="Y121" s="115">
        <v>4</v>
      </c>
      <c r="Z121" s="5">
        <f t="shared" si="15"/>
        <v>0</v>
      </c>
    </row>
    <row r="122" spans="1:26">
      <c r="A122" s="4">
        <v>11</v>
      </c>
      <c r="B122" s="4" t="s">
        <v>151</v>
      </c>
      <c r="C122" s="4" t="s">
        <v>149</v>
      </c>
      <c r="D122" s="5">
        <v>1</v>
      </c>
      <c r="E122" s="5">
        <v>9</v>
      </c>
      <c r="F122" s="4">
        <f t="shared" si="7"/>
        <v>18.699999999999989</v>
      </c>
      <c r="G122" s="4">
        <f t="shared" si="8"/>
        <v>1.2944662261615927</v>
      </c>
      <c r="H122" s="5">
        <v>1</v>
      </c>
      <c r="I122" s="5">
        <v>5</v>
      </c>
      <c r="J122" s="5">
        <v>0</v>
      </c>
      <c r="K122" s="5"/>
      <c r="L122" s="5">
        <v>1</v>
      </c>
      <c r="M122" s="5">
        <v>427.3</v>
      </c>
      <c r="N122" s="5">
        <v>446</v>
      </c>
      <c r="O122" s="116">
        <v>2.6150000000001228</v>
      </c>
      <c r="P122" s="115">
        <v>0.56600000000008777</v>
      </c>
      <c r="Q122" s="115">
        <v>4.4479999999999791</v>
      </c>
      <c r="R122" s="115">
        <v>7.6290000000001896</v>
      </c>
      <c r="S122" s="4">
        <f t="shared" si="9"/>
        <v>0.55810830163056435</v>
      </c>
      <c r="T122" s="4">
        <f t="shared" si="10"/>
        <v>0.19479175772194893</v>
      </c>
      <c r="U122" s="4">
        <f t="shared" si="11"/>
        <v>0.73623709890472711</v>
      </c>
      <c r="V122" s="4">
        <f t="shared" si="12"/>
        <v>0.93596046898917595</v>
      </c>
      <c r="W122" s="116">
        <v>38</v>
      </c>
      <c r="X122" s="115">
        <v>12</v>
      </c>
      <c r="Y122" s="115">
        <v>2</v>
      </c>
      <c r="Z122" s="5">
        <f t="shared" si="15"/>
        <v>10</v>
      </c>
    </row>
    <row r="123" spans="1:26">
      <c r="A123" s="4">
        <v>11</v>
      </c>
      <c r="B123" s="4" t="s">
        <v>151</v>
      </c>
      <c r="C123" s="4" t="s">
        <v>150</v>
      </c>
      <c r="D123" s="5">
        <v>2</v>
      </c>
      <c r="E123" s="5">
        <v>1</v>
      </c>
      <c r="F123" s="4">
        <f t="shared" si="7"/>
        <v>20.200000000000003</v>
      </c>
      <c r="G123" s="4">
        <f t="shared" si="8"/>
        <v>1.3263358609287514</v>
      </c>
      <c r="H123" s="5">
        <v>1</v>
      </c>
      <c r="I123" s="5">
        <v>5</v>
      </c>
      <c r="J123" s="5">
        <v>0</v>
      </c>
      <c r="K123" s="5"/>
      <c r="L123" s="5">
        <v>2</v>
      </c>
      <c r="M123" s="5">
        <v>57.2</v>
      </c>
      <c r="N123" s="5">
        <v>77.400000000000006</v>
      </c>
      <c r="O123" s="116">
        <v>0.96499999999998209</v>
      </c>
      <c r="P123" s="115">
        <v>0.43300000000000693</v>
      </c>
      <c r="Q123" s="115">
        <v>3.7309999999999803</v>
      </c>
      <c r="R123" s="115">
        <v>5.1289999999999694</v>
      </c>
      <c r="S123" s="4">
        <f t="shared" si="9"/>
        <v>0.29336255471144157</v>
      </c>
      <c r="T123" s="4">
        <f t="shared" si="10"/>
        <v>0.15624619039734658</v>
      </c>
      <c r="U123" s="4">
        <f t="shared" si="11"/>
        <v>0.67495294804856354</v>
      </c>
      <c r="V123" s="4">
        <f t="shared" si="12"/>
        <v>0.78738962135210788</v>
      </c>
      <c r="W123" s="116">
        <v>24</v>
      </c>
      <c r="X123" s="115">
        <v>7</v>
      </c>
      <c r="Y123" s="115">
        <v>2</v>
      </c>
      <c r="Z123" s="5">
        <f t="shared" si="15"/>
        <v>5</v>
      </c>
    </row>
    <row r="124" spans="1:26">
      <c r="A124" s="4">
        <v>11</v>
      </c>
      <c r="B124" s="4" t="s">
        <v>151</v>
      </c>
      <c r="C124" s="4" t="s">
        <v>154</v>
      </c>
      <c r="D124" s="5">
        <v>3</v>
      </c>
      <c r="E124" s="5">
        <v>7</v>
      </c>
      <c r="F124" s="4">
        <f t="shared" si="7"/>
        <v>8.0999999999999659</v>
      </c>
      <c r="G124" s="4">
        <f t="shared" si="8"/>
        <v>0.95904139232109198</v>
      </c>
      <c r="H124" s="5">
        <v>1</v>
      </c>
      <c r="I124" s="5">
        <v>4</v>
      </c>
      <c r="J124" s="5">
        <v>0</v>
      </c>
      <c r="K124" s="5"/>
      <c r="L124" s="5">
        <v>2</v>
      </c>
      <c r="M124" s="5">
        <v>347.1</v>
      </c>
      <c r="N124" s="5">
        <v>355.2</v>
      </c>
      <c r="O124" s="116">
        <v>1.0519999999999641</v>
      </c>
      <c r="P124" s="115">
        <v>0.6330000000000382</v>
      </c>
      <c r="Q124" s="115">
        <v>2.0659999999999172</v>
      </c>
      <c r="R124" s="115">
        <v>3.7509999999999195</v>
      </c>
      <c r="S124" s="4">
        <f t="shared" si="9"/>
        <v>0.31217735643977107</v>
      </c>
      <c r="T124" s="4">
        <f t="shared" si="10"/>
        <v>0.21298618473667832</v>
      </c>
      <c r="U124" s="4">
        <f t="shared" si="11"/>
        <v>0.48657215051834463</v>
      </c>
      <c r="V124" s="4">
        <f t="shared" si="12"/>
        <v>0.67678503041919813</v>
      </c>
      <c r="W124" s="116">
        <v>23</v>
      </c>
      <c r="X124" s="115">
        <v>8</v>
      </c>
      <c r="Y124" s="115">
        <v>3</v>
      </c>
      <c r="Z124" s="5">
        <f t="shared" si="15"/>
        <v>5</v>
      </c>
    </row>
    <row r="125" spans="1:26">
      <c r="A125" s="4">
        <v>11</v>
      </c>
      <c r="B125" s="4" t="s">
        <v>151</v>
      </c>
      <c r="C125" s="4" t="s">
        <v>150</v>
      </c>
      <c r="D125" s="5">
        <v>4</v>
      </c>
      <c r="E125" s="5">
        <v>3</v>
      </c>
      <c r="F125" s="4">
        <f t="shared" si="7"/>
        <v>25.199999999999989</v>
      </c>
      <c r="G125" s="4">
        <f t="shared" si="8"/>
        <v>1.4183012913197452</v>
      </c>
      <c r="H125" s="5">
        <v>1</v>
      </c>
      <c r="I125" s="5">
        <v>5</v>
      </c>
      <c r="J125" s="5">
        <v>1</v>
      </c>
      <c r="K125" s="5"/>
      <c r="L125" s="5">
        <v>3</v>
      </c>
      <c r="M125" s="5">
        <v>168.5</v>
      </c>
      <c r="N125" s="5">
        <v>193.7</v>
      </c>
      <c r="O125" s="116">
        <v>1.6360000000001094</v>
      </c>
      <c r="P125" s="115">
        <v>0.88499999999999091</v>
      </c>
      <c r="Q125" s="115">
        <v>5.0400000000000205</v>
      </c>
      <c r="R125" s="115">
        <v>7.5610000000001207</v>
      </c>
      <c r="S125" s="4">
        <f t="shared" si="9"/>
        <v>0.42094540592199026</v>
      </c>
      <c r="T125" s="4">
        <f t="shared" si="10"/>
        <v>0.27531135454180955</v>
      </c>
      <c r="U125" s="4">
        <f t="shared" si="11"/>
        <v>0.78103693862113333</v>
      </c>
      <c r="V125" s="4">
        <f t="shared" si="12"/>
        <v>0.93252449705054841</v>
      </c>
      <c r="W125" s="116">
        <v>45</v>
      </c>
      <c r="X125" s="115">
        <v>11</v>
      </c>
      <c r="Y125" s="115">
        <v>3</v>
      </c>
      <c r="Z125" s="5">
        <f t="shared" si="15"/>
        <v>8</v>
      </c>
    </row>
    <row r="126" spans="1:26">
      <c r="A126" s="4">
        <v>11</v>
      </c>
      <c r="B126" s="4" t="s">
        <v>151</v>
      </c>
      <c r="C126" s="4" t="s">
        <v>149</v>
      </c>
      <c r="D126" s="5">
        <v>5</v>
      </c>
      <c r="E126" s="5">
        <v>11</v>
      </c>
      <c r="F126" s="4">
        <f t="shared" si="7"/>
        <v>35.600000000000023</v>
      </c>
      <c r="G126" s="4">
        <f t="shared" si="8"/>
        <v>1.563481085394411</v>
      </c>
      <c r="H126" s="5">
        <v>1</v>
      </c>
      <c r="I126" s="5">
        <v>5</v>
      </c>
      <c r="J126" s="5">
        <v>1</v>
      </c>
      <c r="K126" s="5"/>
      <c r="L126" s="5">
        <v>2</v>
      </c>
      <c r="M126" s="5">
        <v>533.5</v>
      </c>
      <c r="N126" s="5">
        <v>569.1</v>
      </c>
      <c r="O126" s="116">
        <v>4.1970000000000027</v>
      </c>
      <c r="P126" s="115">
        <v>1.6490000000001146</v>
      </c>
      <c r="Q126" s="115">
        <v>6.4850000000001273</v>
      </c>
      <c r="R126" s="115">
        <v>12.331000000000245</v>
      </c>
      <c r="S126" s="4">
        <f t="shared" si="9"/>
        <v>0.71575271682285968</v>
      </c>
      <c r="T126" s="4">
        <f t="shared" si="10"/>
        <v>0.42308195829724982</v>
      </c>
      <c r="U126" s="4">
        <f t="shared" si="11"/>
        <v>0.87419180467907853</v>
      </c>
      <c r="V126" s="4">
        <f t="shared" si="12"/>
        <v>1.1248627284230646</v>
      </c>
      <c r="W126" s="116">
        <v>65</v>
      </c>
      <c r="X126" s="115">
        <v>21</v>
      </c>
      <c r="Y126" s="115">
        <v>4</v>
      </c>
      <c r="Z126" s="5">
        <f t="shared" si="15"/>
        <v>17</v>
      </c>
    </row>
    <row r="127" spans="1:26">
      <c r="A127" s="4">
        <v>11</v>
      </c>
      <c r="B127" s="4" t="s">
        <v>151</v>
      </c>
      <c r="C127" s="4" t="s">
        <v>154</v>
      </c>
      <c r="D127" s="5">
        <v>6</v>
      </c>
      <c r="E127" s="5">
        <v>5</v>
      </c>
      <c r="F127" s="4">
        <f t="shared" si="7"/>
        <v>9.0999999999999659</v>
      </c>
      <c r="G127" s="4">
        <f t="shared" si="8"/>
        <v>1.0043213737826411</v>
      </c>
      <c r="H127" s="5">
        <v>1</v>
      </c>
      <c r="I127" s="5">
        <v>3</v>
      </c>
      <c r="J127" s="5">
        <v>0</v>
      </c>
      <c r="K127" s="5"/>
      <c r="L127" s="5">
        <v>1</v>
      </c>
      <c r="M127" s="5">
        <v>262.3</v>
      </c>
      <c r="N127" s="5">
        <v>271.39999999999998</v>
      </c>
      <c r="O127" s="116">
        <v>1.4490000000000123</v>
      </c>
      <c r="P127" s="115">
        <v>0.10099999999999909</v>
      </c>
      <c r="Q127" s="115">
        <v>0.19999999999993179</v>
      </c>
      <c r="R127" s="115">
        <v>1.7499999999999432</v>
      </c>
      <c r="S127" s="4">
        <f t="shared" si="9"/>
        <v>0.3889887851247163</v>
      </c>
      <c r="T127" s="4">
        <f t="shared" si="10"/>
        <v>4.1787318971751419E-2</v>
      </c>
      <c r="U127" s="4">
        <f t="shared" si="11"/>
        <v>7.9181246047600143E-2</v>
      </c>
      <c r="V127" s="4">
        <f t="shared" si="12"/>
        <v>0.4393326938302537</v>
      </c>
      <c r="W127" s="116">
        <v>11</v>
      </c>
      <c r="X127" s="115">
        <v>5</v>
      </c>
      <c r="Y127" s="115">
        <v>3</v>
      </c>
      <c r="Z127" s="5">
        <f t="shared" si="15"/>
        <v>2</v>
      </c>
    </row>
    <row r="128" spans="1:26">
      <c r="A128" s="4">
        <v>11</v>
      </c>
      <c r="B128" s="4" t="s">
        <v>152</v>
      </c>
      <c r="C128" s="4" t="s">
        <v>149</v>
      </c>
      <c r="D128" s="5">
        <v>7</v>
      </c>
      <c r="E128" s="5">
        <v>10</v>
      </c>
      <c r="F128" s="4">
        <f t="shared" si="7"/>
        <v>9.2999999999999545</v>
      </c>
      <c r="G128" s="4">
        <f t="shared" si="8"/>
        <v>1.0128372247051702</v>
      </c>
      <c r="H128" s="5">
        <v>1</v>
      </c>
      <c r="I128" s="5">
        <v>6</v>
      </c>
      <c r="J128" s="5">
        <v>0</v>
      </c>
      <c r="K128" s="5"/>
      <c r="L128" s="5">
        <v>2</v>
      </c>
      <c r="M128" s="5">
        <v>496.1</v>
      </c>
      <c r="N128" s="5">
        <v>505.4</v>
      </c>
      <c r="O128" s="116">
        <v>0.40000000000003411</v>
      </c>
      <c r="P128" s="115">
        <v>1.6480000000000814</v>
      </c>
      <c r="Q128" s="115">
        <v>0.44900000000001228</v>
      </c>
      <c r="R128" s="115">
        <v>2.4970000000001278</v>
      </c>
      <c r="S128" s="4">
        <f t="shared" si="9"/>
        <v>0.14612803567824861</v>
      </c>
      <c r="T128" s="4">
        <f t="shared" si="10"/>
        <v>0.42291798076767567</v>
      </c>
      <c r="U128" s="4">
        <f t="shared" si="11"/>
        <v>0.16106838547117827</v>
      </c>
      <c r="V128" s="4">
        <f t="shared" si="12"/>
        <v>0.54369563230926066</v>
      </c>
      <c r="W128" s="116">
        <v>14</v>
      </c>
      <c r="X128" s="115">
        <v>5</v>
      </c>
      <c r="Y128" s="115">
        <v>3</v>
      </c>
      <c r="Z128" s="5">
        <f t="shared" si="15"/>
        <v>2</v>
      </c>
    </row>
    <row r="129" spans="1:26">
      <c r="A129" s="4">
        <v>11</v>
      </c>
      <c r="B129" s="4" t="s">
        <v>152</v>
      </c>
      <c r="C129" s="4" t="s">
        <v>154</v>
      </c>
      <c r="D129" s="5">
        <v>8</v>
      </c>
      <c r="E129" s="5">
        <v>8</v>
      </c>
      <c r="F129" s="4">
        <f t="shared" si="7"/>
        <v>7.6000000000000227</v>
      </c>
      <c r="G129" s="4">
        <f t="shared" si="8"/>
        <v>0.9344984512435689</v>
      </c>
      <c r="H129" s="5">
        <v>1</v>
      </c>
      <c r="I129" s="5">
        <v>5</v>
      </c>
      <c r="J129" s="5">
        <v>0</v>
      </c>
      <c r="K129" s="5"/>
      <c r="L129" s="5">
        <v>1</v>
      </c>
      <c r="M129" s="5">
        <v>394.9</v>
      </c>
      <c r="N129" s="5">
        <v>402.5</v>
      </c>
      <c r="O129" s="116">
        <v>0.90000000000003411</v>
      </c>
      <c r="P129" s="115">
        <v>1.0000000000000568</v>
      </c>
      <c r="Q129" s="115">
        <v>1.6170000000000186</v>
      </c>
      <c r="R129" s="115">
        <v>3.5170000000001096</v>
      </c>
      <c r="S129" s="4">
        <f t="shared" si="9"/>
        <v>0.27875360095283674</v>
      </c>
      <c r="T129" s="4">
        <f t="shared" si="10"/>
        <v>0.30102999566399352</v>
      </c>
      <c r="U129" s="4">
        <f t="shared" si="11"/>
        <v>0.41780372263988408</v>
      </c>
      <c r="V129" s="4">
        <f t="shared" si="12"/>
        <v>0.65485009056140475</v>
      </c>
      <c r="W129" s="116">
        <v>19</v>
      </c>
      <c r="X129" s="115">
        <v>8</v>
      </c>
      <c r="Y129" s="115">
        <v>3</v>
      </c>
      <c r="Z129" s="5">
        <f t="shared" si="15"/>
        <v>5</v>
      </c>
    </row>
    <row r="130" spans="1:26">
      <c r="A130" s="4">
        <v>11</v>
      </c>
      <c r="B130" s="4" t="s">
        <v>152</v>
      </c>
      <c r="C130" s="4" t="s">
        <v>150</v>
      </c>
      <c r="D130" s="5">
        <v>9</v>
      </c>
      <c r="E130" s="5">
        <v>4</v>
      </c>
      <c r="F130" s="4">
        <f t="shared" ref="F130:F193" si="16">N130-M130</f>
        <v>11.900000000000006</v>
      </c>
      <c r="G130" s="4">
        <f t="shared" ref="G130:G193" si="17">LOG10(F130+1)</f>
        <v>1.1105897102992492</v>
      </c>
      <c r="H130" s="5">
        <v>1</v>
      </c>
      <c r="I130" s="5">
        <v>3</v>
      </c>
      <c r="J130" s="5">
        <v>0</v>
      </c>
      <c r="K130" s="5"/>
      <c r="L130" s="5">
        <v>2</v>
      </c>
      <c r="M130" s="5">
        <v>221.1</v>
      </c>
      <c r="N130" s="5">
        <v>233</v>
      </c>
      <c r="O130" s="116">
        <v>0.13299999999998136</v>
      </c>
      <c r="P130" s="115">
        <v>0.30000000000001137</v>
      </c>
      <c r="Q130" s="115">
        <v>1.5519999999999357</v>
      </c>
      <c r="R130" s="115">
        <v>1.9849999999999284</v>
      </c>
      <c r="S130" s="4">
        <f t="shared" ref="S130:S193" si="18">LOG10(O130+1)</f>
        <v>5.4229909863390102E-2</v>
      </c>
      <c r="T130" s="4">
        <f t="shared" ref="T130:T193" si="19">LOG10(P130+1)</f>
        <v>0.11394335230684056</v>
      </c>
      <c r="U130" s="4">
        <f t="shared" ref="U130:U193" si="20">LOG10(Q130+1)</f>
        <v>0.40688067004911377</v>
      </c>
      <c r="V130" s="4">
        <f t="shared" ref="V130:V193" si="21">LOG10(R130+1)</f>
        <v>0.47494433546537745</v>
      </c>
      <c r="W130" s="116">
        <v>16</v>
      </c>
      <c r="X130" s="115">
        <v>5</v>
      </c>
      <c r="Y130" s="115">
        <v>2</v>
      </c>
      <c r="Z130" s="5">
        <f t="shared" si="15"/>
        <v>3</v>
      </c>
    </row>
    <row r="131" spans="1:26">
      <c r="A131" s="4">
        <v>11</v>
      </c>
      <c r="B131" s="4" t="s">
        <v>152</v>
      </c>
      <c r="C131" s="4" t="s">
        <v>154</v>
      </c>
      <c r="D131" s="5">
        <v>10</v>
      </c>
      <c r="E131" s="5">
        <v>6</v>
      </c>
      <c r="F131" s="4">
        <f t="shared" si="16"/>
        <v>10.199999999999989</v>
      </c>
      <c r="G131" s="4">
        <f t="shared" si="17"/>
        <v>1.0492180226701813</v>
      </c>
      <c r="H131" s="5">
        <v>1</v>
      </c>
      <c r="I131" s="5">
        <v>3</v>
      </c>
      <c r="J131" s="5">
        <v>0</v>
      </c>
      <c r="K131" s="5"/>
      <c r="L131" s="5">
        <v>1</v>
      </c>
      <c r="M131" s="5">
        <v>314.2</v>
      </c>
      <c r="N131" s="5">
        <v>324.39999999999998</v>
      </c>
      <c r="O131" s="116">
        <v>0.74599999999992406</v>
      </c>
      <c r="P131" s="115">
        <v>1.1149999999999523</v>
      </c>
      <c r="Q131" s="115">
        <v>1.2670000000000528</v>
      </c>
      <c r="R131" s="115">
        <v>3.1279999999999291</v>
      </c>
      <c r="S131" s="4">
        <f t="shared" si="18"/>
        <v>0.24204423936953204</v>
      </c>
      <c r="T131" s="4">
        <f t="shared" si="19"/>
        <v>0.32531037171105132</v>
      </c>
      <c r="U131" s="4">
        <f t="shared" si="20"/>
        <v>0.35545152012652748</v>
      </c>
      <c r="V131" s="4">
        <f t="shared" si="21"/>
        <v>0.61573968861914752</v>
      </c>
      <c r="W131" s="116">
        <v>17</v>
      </c>
      <c r="X131" s="115">
        <v>5</v>
      </c>
      <c r="Y131" s="115">
        <v>3</v>
      </c>
      <c r="Z131" s="5">
        <f t="shared" si="15"/>
        <v>2</v>
      </c>
    </row>
    <row r="132" spans="1:26">
      <c r="A132" s="4">
        <v>11</v>
      </c>
      <c r="B132" s="4" t="s">
        <v>152</v>
      </c>
      <c r="C132" s="4" t="s">
        <v>149</v>
      </c>
      <c r="D132" s="5">
        <v>11</v>
      </c>
      <c r="E132" s="5">
        <v>12</v>
      </c>
      <c r="F132" s="4">
        <f t="shared" si="16"/>
        <v>31.5</v>
      </c>
      <c r="G132" s="4">
        <f t="shared" si="17"/>
        <v>1.5118833609788744</v>
      </c>
      <c r="H132" s="5">
        <v>1</v>
      </c>
      <c r="I132" s="5">
        <v>5</v>
      </c>
      <c r="J132" s="5">
        <v>1</v>
      </c>
      <c r="K132" s="5"/>
      <c r="L132" s="5">
        <v>1</v>
      </c>
      <c r="M132" s="5">
        <v>613.1</v>
      </c>
      <c r="N132" s="5">
        <v>644.6</v>
      </c>
      <c r="O132" s="116">
        <v>3.6910000000001446</v>
      </c>
      <c r="P132" s="115">
        <v>1.0660000000000309</v>
      </c>
      <c r="Q132" s="115">
        <v>5.2330000000000609</v>
      </c>
      <c r="R132" s="115">
        <v>9.9900000000002365</v>
      </c>
      <c r="S132" s="4">
        <f t="shared" si="18"/>
        <v>0.67126543294717178</v>
      </c>
      <c r="T132" s="4">
        <f t="shared" si="19"/>
        <v>0.31513031718360829</v>
      </c>
      <c r="U132" s="4">
        <f t="shared" si="20"/>
        <v>0.79469712689200289</v>
      </c>
      <c r="V132" s="4">
        <f t="shared" si="21"/>
        <v>1.0409976924234998</v>
      </c>
      <c r="W132" s="116">
        <v>45</v>
      </c>
      <c r="X132" s="115">
        <v>9</v>
      </c>
      <c r="Y132" s="115">
        <v>4</v>
      </c>
      <c r="Z132" s="5">
        <f t="shared" si="15"/>
        <v>5</v>
      </c>
    </row>
    <row r="133" spans="1:26">
      <c r="A133" s="4">
        <v>11</v>
      </c>
      <c r="B133" s="4" t="s">
        <v>152</v>
      </c>
      <c r="C133" s="4" t="s">
        <v>150</v>
      </c>
      <c r="D133" s="5">
        <v>12</v>
      </c>
      <c r="E133" s="5">
        <v>2</v>
      </c>
      <c r="F133" s="4">
        <f t="shared" si="16"/>
        <v>25.900000000000006</v>
      </c>
      <c r="G133" s="4">
        <f t="shared" si="17"/>
        <v>1.4297522800024081</v>
      </c>
      <c r="H133" s="5">
        <v>1</v>
      </c>
      <c r="I133" s="5">
        <v>4</v>
      </c>
      <c r="J133" s="5">
        <v>0</v>
      </c>
      <c r="K133" s="5"/>
      <c r="L133" s="5">
        <v>1</v>
      </c>
      <c r="M133" s="5">
        <v>111.9</v>
      </c>
      <c r="N133" s="5">
        <v>137.80000000000001</v>
      </c>
      <c r="O133" s="116">
        <v>1.9000000000000057</v>
      </c>
      <c r="P133" s="115">
        <v>1.6990000000000265</v>
      </c>
      <c r="Q133" s="115">
        <v>3.2010000000000076</v>
      </c>
      <c r="R133" s="115">
        <v>6.8000000000000398</v>
      </c>
      <c r="S133" s="4">
        <f t="shared" si="18"/>
        <v>0.46239799789895691</v>
      </c>
      <c r="T133" s="4">
        <f t="shared" si="19"/>
        <v>0.43120288455652089</v>
      </c>
      <c r="U133" s="4">
        <f t="shared" si="20"/>
        <v>0.62335268153799273</v>
      </c>
      <c r="V133" s="4">
        <f t="shared" si="21"/>
        <v>0.89209460269048257</v>
      </c>
      <c r="W133" s="116">
        <v>36</v>
      </c>
      <c r="X133" s="115">
        <v>10</v>
      </c>
      <c r="Y133" s="115">
        <v>2</v>
      </c>
      <c r="Z133" s="5">
        <f t="shared" si="15"/>
        <v>8</v>
      </c>
    </row>
    <row r="134" spans="1:26">
      <c r="A134" s="4">
        <v>12</v>
      </c>
      <c r="B134" s="4" t="s">
        <v>151</v>
      </c>
      <c r="C134" s="4" t="s">
        <v>150</v>
      </c>
      <c r="D134" s="5">
        <v>1</v>
      </c>
      <c r="E134" s="5">
        <v>1</v>
      </c>
      <c r="F134" s="4">
        <f t="shared" si="16"/>
        <v>11.599999999999994</v>
      </c>
      <c r="G134" s="4">
        <f t="shared" si="17"/>
        <v>1.1003705451175627</v>
      </c>
      <c r="H134" s="5">
        <v>1</v>
      </c>
      <c r="I134" s="5">
        <v>5</v>
      </c>
      <c r="J134" s="5">
        <v>0</v>
      </c>
      <c r="K134" s="5"/>
      <c r="L134" s="5">
        <v>1</v>
      </c>
      <c r="M134" s="5">
        <v>72.7</v>
      </c>
      <c r="N134" s="5">
        <v>84.3</v>
      </c>
      <c r="O134" s="116">
        <v>1.3639999999999901</v>
      </c>
      <c r="P134" s="115"/>
      <c r="Q134" s="115">
        <v>1.2160000000000082</v>
      </c>
      <c r="R134" s="115">
        <v>2.5799999999999983</v>
      </c>
      <c r="S134" s="4">
        <f t="shared" si="18"/>
        <v>0.37364747220921596</v>
      </c>
      <c r="T134" s="4">
        <f t="shared" si="19"/>
        <v>0</v>
      </c>
      <c r="U134" s="4">
        <f t="shared" si="20"/>
        <v>0.34556975605639373</v>
      </c>
      <c r="V134" s="4">
        <f t="shared" si="21"/>
        <v>0.55388302664387412</v>
      </c>
      <c r="W134" s="116">
        <v>14</v>
      </c>
      <c r="X134" s="115">
        <v>1</v>
      </c>
      <c r="Y134" s="115">
        <v>1</v>
      </c>
      <c r="Z134" s="5">
        <f t="shared" si="15"/>
        <v>0</v>
      </c>
    </row>
    <row r="135" spans="1:26">
      <c r="A135" s="4">
        <v>12</v>
      </c>
      <c r="B135" s="4" t="s">
        <v>151</v>
      </c>
      <c r="C135" s="4" t="s">
        <v>154</v>
      </c>
      <c r="D135" s="5">
        <v>2</v>
      </c>
      <c r="E135" s="5">
        <v>11</v>
      </c>
      <c r="F135" s="4">
        <f t="shared" si="16"/>
        <v>19.899999999999977</v>
      </c>
      <c r="G135" s="4">
        <f t="shared" si="17"/>
        <v>1.3201462861110536</v>
      </c>
      <c r="H135" s="5">
        <v>1</v>
      </c>
      <c r="I135" s="5">
        <v>6</v>
      </c>
      <c r="J135" s="5">
        <v>1</v>
      </c>
      <c r="K135" s="5"/>
      <c r="L135" s="5">
        <v>1</v>
      </c>
      <c r="M135" s="5">
        <v>529.4</v>
      </c>
      <c r="N135" s="5">
        <v>549.29999999999995</v>
      </c>
      <c r="O135" s="116">
        <v>3.0460000000000491</v>
      </c>
      <c r="P135" s="115">
        <v>2.0159999999997353</v>
      </c>
      <c r="Q135" s="115">
        <v>0.45000000000015916</v>
      </c>
      <c r="R135" s="115">
        <v>5.5119999999999436</v>
      </c>
      <c r="S135" s="4">
        <f t="shared" si="18"/>
        <v>0.60702587843479117</v>
      </c>
      <c r="T135" s="4">
        <f t="shared" si="19"/>
        <v>0.47943133719769832</v>
      </c>
      <c r="U135" s="4">
        <f t="shared" si="20"/>
        <v>0.16136800223502257</v>
      </c>
      <c r="V135" s="4">
        <f t="shared" si="21"/>
        <v>0.81371439188114103</v>
      </c>
      <c r="W135" s="116">
        <v>32</v>
      </c>
      <c r="X135" s="115">
        <v>5</v>
      </c>
      <c r="Y135" s="115">
        <v>3</v>
      </c>
      <c r="Z135" s="5">
        <f t="shared" si="15"/>
        <v>2</v>
      </c>
    </row>
    <row r="136" spans="1:26">
      <c r="A136" s="4">
        <v>12</v>
      </c>
      <c r="B136" s="4" t="s">
        <v>151</v>
      </c>
      <c r="C136" s="4" t="s">
        <v>150</v>
      </c>
      <c r="D136" s="5">
        <v>3</v>
      </c>
      <c r="E136" s="5">
        <v>3</v>
      </c>
      <c r="F136" s="4">
        <f t="shared" si="16"/>
        <v>10.599999999999994</v>
      </c>
      <c r="G136" s="4">
        <f t="shared" si="17"/>
        <v>1.0644579892269184</v>
      </c>
      <c r="H136" s="5">
        <v>1</v>
      </c>
      <c r="I136" s="5">
        <v>6</v>
      </c>
      <c r="J136" s="5">
        <v>0</v>
      </c>
      <c r="K136" s="5"/>
      <c r="L136" s="5">
        <v>2</v>
      </c>
      <c r="M136" s="5">
        <v>181.4</v>
      </c>
      <c r="N136" s="5">
        <v>192</v>
      </c>
      <c r="O136" s="116">
        <v>2.6500000000000057</v>
      </c>
      <c r="P136" s="115">
        <v>1.466000000000065</v>
      </c>
      <c r="Q136" s="115">
        <v>1.051000000000073</v>
      </c>
      <c r="R136" s="115">
        <v>5.1670000000001437</v>
      </c>
      <c r="S136" s="4">
        <f t="shared" si="18"/>
        <v>0.56229286445647542</v>
      </c>
      <c r="T136" s="4">
        <f t="shared" si="19"/>
        <v>0.3919930722597243</v>
      </c>
      <c r="U136" s="4">
        <f t="shared" si="20"/>
        <v>0.31196566036838175</v>
      </c>
      <c r="V136" s="4">
        <f t="shared" si="21"/>
        <v>0.79007394842631484</v>
      </c>
      <c r="W136" s="116">
        <v>26</v>
      </c>
      <c r="X136" s="115">
        <v>1</v>
      </c>
      <c r="Y136" s="115">
        <v>1</v>
      </c>
      <c r="Z136" s="5">
        <f t="shared" si="15"/>
        <v>0</v>
      </c>
    </row>
    <row r="137" spans="1:26">
      <c r="A137" s="4">
        <v>12</v>
      </c>
      <c r="B137" s="4" t="s">
        <v>151</v>
      </c>
      <c r="C137" s="4" t="s">
        <v>149</v>
      </c>
      <c r="D137" s="5">
        <v>4</v>
      </c>
      <c r="E137" s="5">
        <v>7</v>
      </c>
      <c r="F137" s="4">
        <f t="shared" si="16"/>
        <v>7</v>
      </c>
      <c r="G137" s="4">
        <f t="shared" si="17"/>
        <v>0.90308998699194354</v>
      </c>
      <c r="H137" s="5">
        <v>1</v>
      </c>
      <c r="I137" s="5">
        <v>6</v>
      </c>
      <c r="J137" s="5">
        <v>0</v>
      </c>
      <c r="K137" s="5"/>
      <c r="L137" s="5">
        <v>1</v>
      </c>
      <c r="M137" s="5">
        <v>353.9</v>
      </c>
      <c r="N137" s="5">
        <v>360.9</v>
      </c>
      <c r="O137" s="116">
        <v>1.4330000000001633</v>
      </c>
      <c r="P137" s="115"/>
      <c r="Q137" s="115">
        <v>0.28299999999995862</v>
      </c>
      <c r="R137" s="115">
        <v>1.7160000000001219</v>
      </c>
      <c r="S137" s="4">
        <f t="shared" si="18"/>
        <v>0.38614210893084761</v>
      </c>
      <c r="T137" s="4">
        <f t="shared" si="19"/>
        <v>0</v>
      </c>
      <c r="U137" s="4">
        <f t="shared" si="20"/>
        <v>0.10822665637491449</v>
      </c>
      <c r="V137" s="4">
        <f t="shared" si="21"/>
        <v>0.43392976560848356</v>
      </c>
      <c r="W137" s="116">
        <v>10</v>
      </c>
      <c r="X137" s="115">
        <v>3</v>
      </c>
      <c r="Y137" s="115">
        <v>2</v>
      </c>
      <c r="Z137" s="5">
        <f t="shared" si="15"/>
        <v>1</v>
      </c>
    </row>
    <row r="138" spans="1:26">
      <c r="A138" s="4">
        <v>12</v>
      </c>
      <c r="B138" s="4" t="s">
        <v>151</v>
      </c>
      <c r="C138" s="4" t="s">
        <v>154</v>
      </c>
      <c r="D138" s="5">
        <v>5</v>
      </c>
      <c r="E138" s="5">
        <v>9</v>
      </c>
      <c r="F138" s="4">
        <f t="shared" si="16"/>
        <v>6.6000000000000227</v>
      </c>
      <c r="G138" s="4">
        <f t="shared" si="17"/>
        <v>0.8808135922807927</v>
      </c>
      <c r="H138" s="5">
        <v>0</v>
      </c>
      <c r="I138" s="5">
        <v>3</v>
      </c>
      <c r="J138" s="5">
        <v>0</v>
      </c>
      <c r="K138" s="5"/>
      <c r="L138" s="5">
        <v>1</v>
      </c>
      <c r="M138" s="5">
        <v>428.9</v>
      </c>
      <c r="N138" s="5">
        <v>435.5</v>
      </c>
      <c r="O138" s="116">
        <v>2.4010000000000673</v>
      </c>
      <c r="P138" s="115">
        <v>0.56700000000000728</v>
      </c>
      <c r="Q138" s="115"/>
      <c r="R138" s="115">
        <v>2.9680000000000746</v>
      </c>
      <c r="S138" s="4">
        <f t="shared" si="18"/>
        <v>0.53160663193273072</v>
      </c>
      <c r="T138" s="4">
        <f t="shared" si="19"/>
        <v>0.19506899646859216</v>
      </c>
      <c r="U138" s="4">
        <f t="shared" si="20"/>
        <v>0</v>
      </c>
      <c r="V138" s="4">
        <f t="shared" si="21"/>
        <v>0.59857166348214919</v>
      </c>
      <c r="W138" s="116">
        <v>14</v>
      </c>
      <c r="X138" s="115">
        <v>7</v>
      </c>
      <c r="Y138" s="115">
        <v>2</v>
      </c>
      <c r="Z138" s="5">
        <f t="shared" si="15"/>
        <v>5</v>
      </c>
    </row>
    <row r="139" spans="1:26">
      <c r="A139" s="4">
        <v>12</v>
      </c>
      <c r="B139" s="4" t="s">
        <v>151</v>
      </c>
      <c r="C139" s="4" t="s">
        <v>149</v>
      </c>
      <c r="D139" s="5">
        <v>6</v>
      </c>
      <c r="E139" s="5">
        <v>5</v>
      </c>
      <c r="F139" s="4">
        <f t="shared" si="16"/>
        <v>12.100000000000023</v>
      </c>
      <c r="G139" s="4">
        <f t="shared" si="17"/>
        <v>1.1172712956557651</v>
      </c>
      <c r="H139" s="5">
        <v>1</v>
      </c>
      <c r="I139" s="5">
        <v>6</v>
      </c>
      <c r="J139" s="5">
        <v>0</v>
      </c>
      <c r="K139" s="5"/>
      <c r="L139" s="5">
        <v>1</v>
      </c>
      <c r="M139" s="5">
        <v>268.39999999999998</v>
      </c>
      <c r="N139" s="5">
        <v>280.5</v>
      </c>
      <c r="O139" s="116">
        <v>6.4659999999999513</v>
      </c>
      <c r="P139" s="115">
        <v>0.28299999999995862</v>
      </c>
      <c r="Q139" s="115">
        <v>0.1169999999999618</v>
      </c>
      <c r="R139" s="115">
        <v>6.8659999999998718</v>
      </c>
      <c r="S139" s="4">
        <f t="shared" si="18"/>
        <v>0.87308798559028289</v>
      </c>
      <c r="T139" s="4">
        <f t="shared" si="19"/>
        <v>0.10822665637491449</v>
      </c>
      <c r="U139" s="4">
        <f t="shared" si="20"/>
        <v>4.8053173115594205E-2</v>
      </c>
      <c r="V139" s="4">
        <f t="shared" si="21"/>
        <v>0.89575394207372083</v>
      </c>
      <c r="W139" s="116">
        <v>33</v>
      </c>
      <c r="X139" s="115">
        <v>1</v>
      </c>
      <c r="Y139" s="115">
        <v>1</v>
      </c>
      <c r="Z139" s="5">
        <f t="shared" si="15"/>
        <v>0</v>
      </c>
    </row>
    <row r="140" spans="1:26">
      <c r="A140" s="4">
        <v>12</v>
      </c>
      <c r="B140" s="4" t="s">
        <v>152</v>
      </c>
      <c r="C140" s="4" t="s">
        <v>154</v>
      </c>
      <c r="D140" s="5">
        <v>7</v>
      </c>
      <c r="E140" s="5">
        <v>10</v>
      </c>
      <c r="F140" s="4">
        <f t="shared" si="16"/>
        <v>9.8999999999999773</v>
      </c>
      <c r="G140" s="4">
        <f t="shared" si="17"/>
        <v>1.0374264979406227</v>
      </c>
      <c r="H140" s="5">
        <v>1</v>
      </c>
      <c r="I140" s="5">
        <v>6</v>
      </c>
      <c r="J140" s="5">
        <v>0</v>
      </c>
      <c r="K140" s="5"/>
      <c r="L140" s="5">
        <v>2</v>
      </c>
      <c r="M140" s="5">
        <v>497.1</v>
      </c>
      <c r="N140" s="5">
        <v>507</v>
      </c>
      <c r="O140" s="116">
        <v>1.16700000000003</v>
      </c>
      <c r="P140" s="115">
        <v>0.14999999999997726</v>
      </c>
      <c r="Q140" s="115"/>
      <c r="R140" s="115">
        <v>1.3170000000000073</v>
      </c>
      <c r="S140" s="4">
        <f t="shared" si="18"/>
        <v>0.33585891131982398</v>
      </c>
      <c r="T140" s="4">
        <f t="shared" si="19"/>
        <v>6.0697840353603094E-2</v>
      </c>
      <c r="U140" s="4">
        <f t="shared" si="20"/>
        <v>0</v>
      </c>
      <c r="V140" s="4">
        <f t="shared" si="21"/>
        <v>0.36492603378997696</v>
      </c>
      <c r="W140" s="116">
        <v>6</v>
      </c>
      <c r="X140" s="115">
        <v>1</v>
      </c>
      <c r="Y140" s="115">
        <v>1</v>
      </c>
      <c r="Z140" s="5">
        <f t="shared" si="15"/>
        <v>0</v>
      </c>
    </row>
    <row r="141" spans="1:26">
      <c r="A141" s="4">
        <v>12</v>
      </c>
      <c r="B141" s="4" t="s">
        <v>152</v>
      </c>
      <c r="C141" s="4" t="s">
        <v>150</v>
      </c>
      <c r="D141" s="5">
        <v>8</v>
      </c>
      <c r="E141" s="5">
        <v>2</v>
      </c>
      <c r="F141" s="4">
        <f t="shared" si="16"/>
        <v>9.1999999999999886</v>
      </c>
      <c r="G141" s="4">
        <f t="shared" si="17"/>
        <v>1.0086001717619171</v>
      </c>
      <c r="H141" s="5">
        <v>1</v>
      </c>
      <c r="I141" s="5">
        <v>6</v>
      </c>
      <c r="J141" s="5">
        <v>1</v>
      </c>
      <c r="K141" s="5"/>
      <c r="L141" s="5">
        <v>1</v>
      </c>
      <c r="M141" s="5">
        <v>133.5</v>
      </c>
      <c r="N141" s="5">
        <v>142.69999999999999</v>
      </c>
      <c r="O141" s="116">
        <v>2.0359999999999729</v>
      </c>
      <c r="P141" s="115"/>
      <c r="Q141" s="115">
        <v>0.7470000000000141</v>
      </c>
      <c r="R141" s="115">
        <v>2.782999999999987</v>
      </c>
      <c r="S141" s="4">
        <f t="shared" si="18"/>
        <v>0.48230176722343887</v>
      </c>
      <c r="T141" s="4">
        <f t="shared" si="19"/>
        <v>0</v>
      </c>
      <c r="U141" s="4">
        <f t="shared" si="20"/>
        <v>0.24229290498293443</v>
      </c>
      <c r="V141" s="4">
        <f t="shared" si="21"/>
        <v>0.57783634129274253</v>
      </c>
      <c r="W141" s="116">
        <v>16</v>
      </c>
      <c r="X141" s="115">
        <v>1</v>
      </c>
      <c r="Y141" s="115">
        <v>1</v>
      </c>
      <c r="Z141" s="5">
        <f t="shared" si="15"/>
        <v>0</v>
      </c>
    </row>
    <row r="142" spans="1:26">
      <c r="A142" s="4">
        <v>12</v>
      </c>
      <c r="B142" s="4" t="s">
        <v>152</v>
      </c>
      <c r="C142" s="4" t="s">
        <v>149</v>
      </c>
      <c r="D142" s="5">
        <v>9</v>
      </c>
      <c r="E142" s="5">
        <v>6</v>
      </c>
      <c r="F142" s="4">
        <f t="shared" si="16"/>
        <v>11</v>
      </c>
      <c r="G142" s="4">
        <f t="shared" si="17"/>
        <v>1.0791812460476249</v>
      </c>
      <c r="H142" s="5">
        <v>1</v>
      </c>
      <c r="I142" s="5">
        <v>6</v>
      </c>
      <c r="J142" s="5">
        <v>0</v>
      </c>
      <c r="K142" s="5"/>
      <c r="L142" s="5">
        <v>1</v>
      </c>
      <c r="M142" s="5">
        <v>315.39999999999998</v>
      </c>
      <c r="N142" s="5">
        <v>326.39999999999998</v>
      </c>
      <c r="O142" s="116">
        <v>3.5159999999999627</v>
      </c>
      <c r="P142" s="115">
        <v>0.31600000000003092</v>
      </c>
      <c r="Q142" s="115">
        <v>0.11700000000001864</v>
      </c>
      <c r="R142" s="115">
        <v>3.9490000000000123</v>
      </c>
      <c r="S142" s="4">
        <f t="shared" si="18"/>
        <v>0.65475393325292663</v>
      </c>
      <c r="T142" s="4">
        <f t="shared" si="19"/>
        <v>0.11925588927794689</v>
      </c>
      <c r="U142" s="4">
        <f t="shared" si="20"/>
        <v>4.8053173115616306E-2</v>
      </c>
      <c r="V142" s="4">
        <f t="shared" si="21"/>
        <v>0.69451745381115726</v>
      </c>
      <c r="W142" s="116">
        <v>22</v>
      </c>
      <c r="X142" s="115">
        <v>7</v>
      </c>
      <c r="Y142" s="115">
        <v>2</v>
      </c>
      <c r="Z142" s="5">
        <f t="shared" si="15"/>
        <v>5</v>
      </c>
    </row>
    <row r="143" spans="1:26">
      <c r="A143" s="4">
        <v>12</v>
      </c>
      <c r="B143" s="4" t="s">
        <v>152</v>
      </c>
      <c r="C143" s="4" t="s">
        <v>150</v>
      </c>
      <c r="D143" s="5">
        <v>10</v>
      </c>
      <c r="E143" s="5">
        <v>4</v>
      </c>
      <c r="F143" s="4">
        <f t="shared" si="16"/>
        <v>8.6000000000000227</v>
      </c>
      <c r="G143" s="4">
        <f t="shared" si="17"/>
        <v>0.98227123303956942</v>
      </c>
      <c r="H143" s="5">
        <v>1</v>
      </c>
      <c r="I143" s="5">
        <v>6</v>
      </c>
      <c r="J143" s="5">
        <v>0</v>
      </c>
      <c r="K143" s="5"/>
      <c r="L143" s="5">
        <v>1</v>
      </c>
      <c r="M143" s="5">
        <v>235.2</v>
      </c>
      <c r="N143" s="5">
        <v>243.8</v>
      </c>
      <c r="O143" s="116">
        <v>1.4989999999999952</v>
      </c>
      <c r="P143" s="115">
        <v>1.0669999999999504</v>
      </c>
      <c r="Q143" s="115">
        <v>1.8679999999999666</v>
      </c>
      <c r="R143" s="115">
        <v>4.4339999999999122</v>
      </c>
      <c r="S143" s="4">
        <f t="shared" si="18"/>
        <v>0.39776625612644922</v>
      </c>
      <c r="T143" s="4">
        <f t="shared" si="19"/>
        <v>0.31534047662727782</v>
      </c>
      <c r="U143" s="4">
        <f t="shared" si="20"/>
        <v>0.45757914699575747</v>
      </c>
      <c r="V143" s="4">
        <f t="shared" si="21"/>
        <v>0.73511963408186498</v>
      </c>
      <c r="W143" s="116">
        <v>23</v>
      </c>
      <c r="X143" s="115">
        <v>1</v>
      </c>
      <c r="Y143" s="115">
        <v>1</v>
      </c>
      <c r="Z143" s="5">
        <f>X143-Y143</f>
        <v>0</v>
      </c>
    </row>
    <row r="144" spans="1:26">
      <c r="A144" s="4">
        <v>12</v>
      </c>
      <c r="B144" s="4" t="s">
        <v>152</v>
      </c>
      <c r="C144" s="4" t="s">
        <v>154</v>
      </c>
      <c r="D144" s="5">
        <v>11</v>
      </c>
      <c r="E144" s="5">
        <v>12</v>
      </c>
      <c r="F144" s="4">
        <f t="shared" si="16"/>
        <v>5.8999999999999773</v>
      </c>
      <c r="G144" s="4">
        <f t="shared" si="17"/>
        <v>0.83884909073725389</v>
      </c>
      <c r="H144" s="5">
        <v>1</v>
      </c>
      <c r="I144" s="5">
        <v>6</v>
      </c>
      <c r="J144" s="5">
        <v>0</v>
      </c>
      <c r="K144" s="5"/>
      <c r="L144" s="5">
        <v>1</v>
      </c>
      <c r="M144" s="5">
        <v>581.4</v>
      </c>
      <c r="N144" s="5">
        <v>587.29999999999995</v>
      </c>
      <c r="O144" s="116">
        <v>0.80100000000004457</v>
      </c>
      <c r="P144" s="115">
        <v>0.15000000000009095</v>
      </c>
      <c r="Q144" s="115"/>
      <c r="R144" s="115">
        <v>0.95100000000013551</v>
      </c>
      <c r="S144" s="4">
        <f t="shared" si="18"/>
        <v>0.25551371281954405</v>
      </c>
      <c r="T144" s="4">
        <f t="shared" si="19"/>
        <v>6.0697840353646032E-2</v>
      </c>
      <c r="U144" s="4">
        <f t="shared" si="20"/>
        <v>0</v>
      </c>
      <c r="V144" s="4">
        <f t="shared" si="21"/>
        <v>0.29025726939454821</v>
      </c>
      <c r="W144" s="116">
        <v>5</v>
      </c>
      <c r="X144" s="115">
        <v>2</v>
      </c>
      <c r="Y144" s="115">
        <v>2</v>
      </c>
      <c r="Z144" s="5">
        <f t="shared" ref="Z144:Z172" si="22">X144-Y144</f>
        <v>0</v>
      </c>
    </row>
    <row r="145" spans="1:26">
      <c r="A145" s="4">
        <v>12</v>
      </c>
      <c r="B145" s="4" t="s">
        <v>152</v>
      </c>
      <c r="C145" s="4" t="s">
        <v>149</v>
      </c>
      <c r="D145" s="5">
        <v>12</v>
      </c>
      <c r="E145" s="5">
        <v>8</v>
      </c>
      <c r="F145" s="4">
        <f t="shared" si="16"/>
        <v>6.1000000000000227</v>
      </c>
      <c r="G145" s="4">
        <f t="shared" si="17"/>
        <v>0.85125834871907669</v>
      </c>
      <c r="H145" s="5">
        <v>1</v>
      </c>
      <c r="I145" s="5">
        <v>6</v>
      </c>
      <c r="J145" s="5">
        <v>0</v>
      </c>
      <c r="K145" s="5"/>
      <c r="L145" s="5">
        <v>1</v>
      </c>
      <c r="M145" s="5">
        <v>401.2</v>
      </c>
      <c r="N145" s="5">
        <v>407.3</v>
      </c>
      <c r="O145" s="116">
        <v>1.3170000000000641</v>
      </c>
      <c r="P145" s="115">
        <v>0.11600000000004229</v>
      </c>
      <c r="Q145" s="115">
        <v>0.30100000000004457</v>
      </c>
      <c r="R145" s="115">
        <v>1.734000000000151</v>
      </c>
      <c r="S145" s="4">
        <f t="shared" si="18"/>
        <v>0.36492603378998761</v>
      </c>
      <c r="T145" s="4">
        <f t="shared" si="19"/>
        <v>4.76641946015764E-2</v>
      </c>
      <c r="U145" s="4">
        <f t="shared" si="20"/>
        <v>0.11427729656160113</v>
      </c>
      <c r="V145" s="4">
        <f t="shared" si="21"/>
        <v>0.43679851023182747</v>
      </c>
      <c r="W145" s="116">
        <v>11</v>
      </c>
      <c r="X145" s="115">
        <v>3</v>
      </c>
      <c r="Y145" s="115">
        <v>2</v>
      </c>
      <c r="Z145" s="5">
        <f t="shared" si="22"/>
        <v>1</v>
      </c>
    </row>
    <row r="146" spans="1:26">
      <c r="A146" s="4">
        <v>13</v>
      </c>
      <c r="B146" s="4" t="s">
        <v>151</v>
      </c>
      <c r="C146" s="4" t="s">
        <v>150</v>
      </c>
      <c r="D146" s="5">
        <v>1</v>
      </c>
      <c r="E146" s="5">
        <v>12</v>
      </c>
      <c r="F146" s="4">
        <f t="shared" si="16"/>
        <v>13.899999999999977</v>
      </c>
      <c r="G146" s="4">
        <f t="shared" si="17"/>
        <v>1.1731862684122734</v>
      </c>
      <c r="H146" s="5">
        <v>1</v>
      </c>
      <c r="I146" s="5">
        <v>2</v>
      </c>
      <c r="J146" s="5">
        <v>0</v>
      </c>
      <c r="K146" s="5"/>
      <c r="L146" s="5">
        <v>1</v>
      </c>
      <c r="M146" s="5">
        <v>809.2</v>
      </c>
      <c r="N146" s="5">
        <v>823.1</v>
      </c>
      <c r="O146" s="116">
        <v>1.833000000000311</v>
      </c>
      <c r="P146" s="115">
        <v>0.21600000000000819</v>
      </c>
      <c r="Q146" s="115">
        <v>5.9670000000000982</v>
      </c>
      <c r="R146" s="115">
        <v>8.0160000000004175</v>
      </c>
      <c r="S146" s="4">
        <f t="shared" si="18"/>
        <v>0.45224657452048489</v>
      </c>
      <c r="T146" s="4">
        <f t="shared" si="19"/>
        <v>8.4933574936719061E-2</v>
      </c>
      <c r="U146" s="4">
        <f t="shared" si="20"/>
        <v>0.84304581053457539</v>
      </c>
      <c r="V146" s="4">
        <f t="shared" si="21"/>
        <v>0.95501390303807021</v>
      </c>
      <c r="W146" s="116">
        <v>30</v>
      </c>
      <c r="X146" s="115">
        <v>3</v>
      </c>
      <c r="Y146" s="115">
        <v>2</v>
      </c>
      <c r="Z146" s="5">
        <f t="shared" si="22"/>
        <v>1</v>
      </c>
    </row>
    <row r="147" spans="1:26">
      <c r="A147" s="4">
        <v>13</v>
      </c>
      <c r="B147" s="4" t="s">
        <v>151</v>
      </c>
      <c r="C147" s="4" t="s">
        <v>149</v>
      </c>
      <c r="D147" s="5">
        <v>2</v>
      </c>
      <c r="E147" s="5">
        <v>6</v>
      </c>
      <c r="F147" s="5">
        <f t="shared" si="16"/>
        <v>10.199999999999989</v>
      </c>
      <c r="G147" s="4">
        <f t="shared" si="17"/>
        <v>1.0492180226701813</v>
      </c>
      <c r="H147" s="5">
        <v>1</v>
      </c>
      <c r="I147" s="5">
        <v>4</v>
      </c>
      <c r="J147" s="5">
        <v>0</v>
      </c>
      <c r="K147" s="5"/>
      <c r="L147" s="5">
        <v>2</v>
      </c>
      <c r="M147" s="5">
        <v>468.8</v>
      </c>
      <c r="N147" s="5">
        <v>479</v>
      </c>
      <c r="O147" s="116">
        <v>3.0639999999999077</v>
      </c>
      <c r="P147" s="115">
        <v>0.93399999999991223</v>
      </c>
      <c r="Q147" s="115">
        <v>1.5330000000000723</v>
      </c>
      <c r="R147" s="115">
        <v>5.5309999999998922</v>
      </c>
      <c r="S147" s="4">
        <f t="shared" si="18"/>
        <v>0.60895369927585297</v>
      </c>
      <c r="T147" s="4">
        <f t="shared" si="19"/>
        <v>0.28645646974696315</v>
      </c>
      <c r="U147" s="4">
        <f t="shared" si="20"/>
        <v>0.40363518979056034</v>
      </c>
      <c r="V147" s="4">
        <f t="shared" si="21"/>
        <v>0.81497968376074958</v>
      </c>
      <c r="W147" s="116">
        <v>23</v>
      </c>
      <c r="X147" s="115">
        <v>7</v>
      </c>
      <c r="Y147" s="115">
        <v>2</v>
      </c>
      <c r="Z147" s="5">
        <f t="shared" si="22"/>
        <v>5</v>
      </c>
    </row>
    <row r="148" spans="1:26">
      <c r="A148" s="4">
        <v>13</v>
      </c>
      <c r="B148" s="4" t="s">
        <v>151</v>
      </c>
      <c r="C148" s="4" t="s">
        <v>154</v>
      </c>
      <c r="D148" s="5">
        <v>3</v>
      </c>
      <c r="E148" s="5">
        <v>2</v>
      </c>
      <c r="F148" s="4">
        <f t="shared" si="16"/>
        <v>15</v>
      </c>
      <c r="G148" s="4">
        <f t="shared" si="17"/>
        <v>1.2041199826559248</v>
      </c>
      <c r="H148" s="5">
        <v>1</v>
      </c>
      <c r="I148" s="5">
        <v>5</v>
      </c>
      <c r="J148" s="5">
        <v>1</v>
      </c>
      <c r="K148" s="5"/>
      <c r="L148" s="5">
        <v>5</v>
      </c>
      <c r="M148" s="5">
        <v>177.4</v>
      </c>
      <c r="N148" s="5">
        <v>192.4</v>
      </c>
      <c r="O148" s="116">
        <v>2.6180000000000803</v>
      </c>
      <c r="P148" s="115">
        <v>4.9159999999999968</v>
      </c>
      <c r="Q148" s="115">
        <v>1.8189999999999884</v>
      </c>
      <c r="R148" s="115">
        <v>9.3530000000000655</v>
      </c>
      <c r="S148" s="4">
        <f t="shared" si="18"/>
        <v>0.55846856252380461</v>
      </c>
      <c r="T148" s="4">
        <f t="shared" si="19"/>
        <v>0.77202816532485463</v>
      </c>
      <c r="U148" s="4">
        <f t="shared" si="20"/>
        <v>0.45009507587160053</v>
      </c>
      <c r="V148" s="4">
        <f t="shared" si="21"/>
        <v>1.0150662140111519</v>
      </c>
      <c r="W148" s="116">
        <v>39</v>
      </c>
      <c r="X148" s="115">
        <v>10</v>
      </c>
      <c r="Y148" s="115">
        <v>6</v>
      </c>
      <c r="Z148" s="5">
        <f t="shared" si="22"/>
        <v>4</v>
      </c>
    </row>
    <row r="149" spans="1:26">
      <c r="A149" s="4">
        <v>13</v>
      </c>
      <c r="B149" s="4" t="s">
        <v>151</v>
      </c>
      <c r="C149" s="4" t="s">
        <v>149</v>
      </c>
      <c r="D149" s="5">
        <v>4</v>
      </c>
      <c r="E149" s="5">
        <v>8</v>
      </c>
      <c r="F149" s="4">
        <f t="shared" si="16"/>
        <v>24.700000000000045</v>
      </c>
      <c r="G149" s="4">
        <f t="shared" si="17"/>
        <v>1.4099331233312953</v>
      </c>
      <c r="H149" s="5">
        <v>1</v>
      </c>
      <c r="I149" s="5">
        <v>5</v>
      </c>
      <c r="J149" s="5">
        <v>1</v>
      </c>
      <c r="K149" s="5"/>
      <c r="L149" s="5">
        <v>3</v>
      </c>
      <c r="M149" s="5">
        <v>557.79999999999995</v>
      </c>
      <c r="N149" s="5">
        <v>582.5</v>
      </c>
      <c r="O149" s="116">
        <v>7.7469999999998436</v>
      </c>
      <c r="P149" s="115">
        <v>3.8490000000001601</v>
      </c>
      <c r="Q149" s="115">
        <v>3.9990000000001373</v>
      </c>
      <c r="R149" s="115">
        <v>15.595000000000141</v>
      </c>
      <c r="S149" s="4">
        <f t="shared" si="18"/>
        <v>0.94185912652536574</v>
      </c>
      <c r="T149" s="4">
        <f t="shared" si="19"/>
        <v>0.68565218411553874</v>
      </c>
      <c r="U149" s="4">
        <f t="shared" si="20"/>
        <v>0.69888313675260216</v>
      </c>
      <c r="V149" s="4">
        <f t="shared" si="21"/>
        <v>1.2199772567446265</v>
      </c>
      <c r="W149" s="116">
        <v>56</v>
      </c>
      <c r="X149" s="115">
        <v>10</v>
      </c>
      <c r="Y149" s="115">
        <v>3</v>
      </c>
      <c r="Z149" s="5">
        <f t="shared" si="22"/>
        <v>7</v>
      </c>
    </row>
    <row r="150" spans="1:26">
      <c r="A150" s="4">
        <v>13</v>
      </c>
      <c r="B150" s="4" t="s">
        <v>151</v>
      </c>
      <c r="C150" s="4" t="s">
        <v>150</v>
      </c>
      <c r="D150" s="5">
        <v>5</v>
      </c>
      <c r="E150" s="5">
        <v>10</v>
      </c>
      <c r="F150" s="4">
        <f t="shared" si="16"/>
        <v>16.300000000000068</v>
      </c>
      <c r="G150" s="4">
        <f t="shared" si="17"/>
        <v>1.238046103128797</v>
      </c>
      <c r="H150" s="5">
        <v>1</v>
      </c>
      <c r="I150" s="5">
        <v>4</v>
      </c>
      <c r="J150" s="5">
        <v>0</v>
      </c>
      <c r="K150" s="5"/>
      <c r="L150" s="5">
        <v>2</v>
      </c>
      <c r="M150" s="5">
        <v>680.3</v>
      </c>
      <c r="N150" s="5">
        <v>696.6</v>
      </c>
      <c r="O150" s="116">
        <v>2.2850000000003092</v>
      </c>
      <c r="P150" s="115"/>
      <c r="Q150" s="115">
        <v>7.4329999999999927</v>
      </c>
      <c r="R150" s="115">
        <v>9.718000000000302</v>
      </c>
      <c r="S150" s="4">
        <f t="shared" si="18"/>
        <v>0.51653537389584048</v>
      </c>
      <c r="T150" s="4">
        <f t="shared" si="19"/>
        <v>0</v>
      </c>
      <c r="U150" s="4">
        <f t="shared" si="20"/>
        <v>0.92598210032710271</v>
      </c>
      <c r="V150" s="4">
        <f t="shared" si="21"/>
        <v>1.0301137527076052</v>
      </c>
      <c r="W150" s="116">
        <v>37</v>
      </c>
      <c r="X150" s="115">
        <v>4</v>
      </c>
      <c r="Y150" s="115">
        <v>2</v>
      </c>
      <c r="Z150" s="5">
        <f t="shared" si="22"/>
        <v>2</v>
      </c>
    </row>
    <row r="151" spans="1:26">
      <c r="A151" s="4">
        <v>13</v>
      </c>
      <c r="B151" s="4" t="s">
        <v>151</v>
      </c>
      <c r="C151" s="4" t="s">
        <v>154</v>
      </c>
      <c r="D151" s="5">
        <v>6</v>
      </c>
      <c r="E151" s="5">
        <v>4</v>
      </c>
      <c r="F151" s="4">
        <f t="shared" si="16"/>
        <v>18.600000000000023</v>
      </c>
      <c r="G151" s="4">
        <f t="shared" si="17"/>
        <v>1.2922560713564766</v>
      </c>
      <c r="H151" s="5">
        <v>0</v>
      </c>
      <c r="I151" s="5">
        <v>5</v>
      </c>
      <c r="J151" s="5">
        <v>1</v>
      </c>
      <c r="K151" s="5"/>
      <c r="L151" s="5">
        <v>3</v>
      </c>
      <c r="M151" s="5">
        <v>313.39999999999998</v>
      </c>
      <c r="N151" s="5">
        <v>332</v>
      </c>
      <c r="O151" s="116">
        <v>1.9830000000000609</v>
      </c>
      <c r="P151" s="115">
        <v>1.2800000000000296</v>
      </c>
      <c r="Q151" s="115">
        <v>7.2869999999999209</v>
      </c>
      <c r="R151" s="115">
        <v>10.550000000000011</v>
      </c>
      <c r="S151" s="4">
        <f t="shared" si="18"/>
        <v>0.47465325336207159</v>
      </c>
      <c r="T151" s="4">
        <f t="shared" si="19"/>
        <v>0.35793484700045941</v>
      </c>
      <c r="U151" s="4">
        <f t="shared" si="20"/>
        <v>0.91839733884369601</v>
      </c>
      <c r="V151" s="4">
        <f t="shared" si="21"/>
        <v>1.0625819842281636</v>
      </c>
      <c r="W151" s="116">
        <v>41</v>
      </c>
      <c r="X151" s="115">
        <v>11</v>
      </c>
      <c r="Y151" s="115">
        <v>6</v>
      </c>
      <c r="Z151" s="5">
        <f t="shared" si="22"/>
        <v>5</v>
      </c>
    </row>
    <row r="152" spans="1:26">
      <c r="A152" s="4">
        <v>13</v>
      </c>
      <c r="B152" s="4" t="s">
        <v>152</v>
      </c>
      <c r="C152" s="4" t="s">
        <v>150</v>
      </c>
      <c r="D152" s="5">
        <v>7</v>
      </c>
      <c r="E152" s="5">
        <v>9</v>
      </c>
      <c r="F152" s="4">
        <f t="shared" si="16"/>
        <v>12.599999999999909</v>
      </c>
      <c r="G152" s="4">
        <f t="shared" si="17"/>
        <v>1.1335389083702145</v>
      </c>
      <c r="H152" s="5">
        <v>1</v>
      </c>
      <c r="I152" s="5">
        <v>2</v>
      </c>
      <c r="J152" s="5">
        <v>1</v>
      </c>
      <c r="K152" s="5"/>
      <c r="L152" s="5">
        <v>2</v>
      </c>
      <c r="M152" s="5">
        <v>607.70000000000005</v>
      </c>
      <c r="N152" s="5">
        <v>620.29999999999995</v>
      </c>
      <c r="O152" s="116">
        <v>2.0180000000000291</v>
      </c>
      <c r="P152" s="115">
        <v>2.2829999999996744</v>
      </c>
      <c r="Q152" s="115">
        <v>3.7170000000000982</v>
      </c>
      <c r="R152" s="115">
        <v>8.0179999999998017</v>
      </c>
      <c r="S152" s="4">
        <f t="shared" si="18"/>
        <v>0.47971923543957523</v>
      </c>
      <c r="T152" s="4">
        <f t="shared" si="19"/>
        <v>0.516270882729297</v>
      </c>
      <c r="U152" s="4">
        <f t="shared" si="20"/>
        <v>0.67366587624571084</v>
      </c>
      <c r="V152" s="4">
        <f t="shared" si="21"/>
        <v>0.95511023097054226</v>
      </c>
      <c r="W152" s="116">
        <v>44</v>
      </c>
      <c r="X152" s="115">
        <v>7</v>
      </c>
      <c r="Y152" s="115">
        <v>3</v>
      </c>
      <c r="Z152" s="5">
        <f t="shared" si="22"/>
        <v>4</v>
      </c>
    </row>
    <row r="153" spans="1:26">
      <c r="A153" s="4">
        <v>13</v>
      </c>
      <c r="B153" s="4" t="s">
        <v>152</v>
      </c>
      <c r="C153" s="4" t="s">
        <v>154</v>
      </c>
      <c r="D153" s="5">
        <v>8</v>
      </c>
      <c r="E153" s="5">
        <v>3</v>
      </c>
      <c r="F153" s="4">
        <f t="shared" si="16"/>
        <v>8.0999999999999943</v>
      </c>
      <c r="G153" s="4">
        <f t="shared" si="17"/>
        <v>0.95904139232109331</v>
      </c>
      <c r="H153" s="5">
        <v>1</v>
      </c>
      <c r="I153" s="5">
        <v>5</v>
      </c>
      <c r="J153" s="5">
        <v>0</v>
      </c>
      <c r="K153" s="5"/>
      <c r="L153" s="5">
        <v>2</v>
      </c>
      <c r="M153" s="5">
        <v>252.4</v>
      </c>
      <c r="N153" s="5">
        <v>260.5</v>
      </c>
      <c r="O153" s="116">
        <v>1.633000000000095</v>
      </c>
      <c r="P153" s="115">
        <v>0.85099999999997067</v>
      </c>
      <c r="Q153" s="115">
        <v>0.93300000000010641</v>
      </c>
      <c r="R153" s="115">
        <v>3.4170000000001721</v>
      </c>
      <c r="S153" s="4">
        <f t="shared" si="18"/>
        <v>0.42045085910608382</v>
      </c>
      <c r="T153" s="4">
        <f t="shared" si="19"/>
        <v>0.26740641875289722</v>
      </c>
      <c r="U153" s="4">
        <f t="shared" si="20"/>
        <v>0.28623185402857693</v>
      </c>
      <c r="V153" s="4">
        <f t="shared" si="21"/>
        <v>0.64512739925840812</v>
      </c>
      <c r="W153" s="116">
        <v>18</v>
      </c>
      <c r="X153" s="115">
        <v>6</v>
      </c>
      <c r="Y153" s="115">
        <v>4</v>
      </c>
      <c r="Z153" s="5">
        <f t="shared" si="22"/>
        <v>2</v>
      </c>
    </row>
    <row r="154" spans="1:26">
      <c r="A154" s="4">
        <v>13</v>
      </c>
      <c r="B154" s="4" t="s">
        <v>152</v>
      </c>
      <c r="C154" s="4" t="s">
        <v>154</v>
      </c>
      <c r="D154" s="5">
        <v>9</v>
      </c>
      <c r="E154" s="5">
        <v>1</v>
      </c>
      <c r="F154" s="4">
        <f t="shared" si="16"/>
        <v>17.299999999999997</v>
      </c>
      <c r="G154" s="4">
        <f t="shared" si="17"/>
        <v>1.2624510897304293</v>
      </c>
      <c r="H154" s="5">
        <v>1</v>
      </c>
      <c r="I154" s="5">
        <v>4</v>
      </c>
      <c r="J154" s="5">
        <v>1</v>
      </c>
      <c r="K154" s="5"/>
      <c r="L154" s="5">
        <v>4</v>
      </c>
      <c r="M154" s="5">
        <v>106.2</v>
      </c>
      <c r="N154" s="5">
        <v>123.5</v>
      </c>
      <c r="O154" s="116">
        <v>5.2390000000000327</v>
      </c>
      <c r="P154" s="115">
        <v>1.914999999999992</v>
      </c>
      <c r="Q154" s="115">
        <v>1.8150000000000404</v>
      </c>
      <c r="R154" s="115">
        <v>8.9690000000000651</v>
      </c>
      <c r="S154" s="4">
        <f t="shared" si="18"/>
        <v>0.79511498563036553</v>
      </c>
      <c r="T154" s="4">
        <f t="shared" si="19"/>
        <v>0.46463855909503171</v>
      </c>
      <c r="U154" s="4">
        <f t="shared" si="20"/>
        <v>0.44947839918737126</v>
      </c>
      <c r="V154" s="4">
        <f t="shared" si="21"/>
        <v>0.99865159599837627</v>
      </c>
      <c r="W154" s="116">
        <v>39</v>
      </c>
      <c r="X154" s="115">
        <v>7</v>
      </c>
      <c r="Y154" s="115">
        <v>4</v>
      </c>
      <c r="Z154" s="5">
        <f t="shared" si="22"/>
        <v>3</v>
      </c>
    </row>
    <row r="155" spans="1:26">
      <c r="A155" s="4">
        <v>13</v>
      </c>
      <c r="B155" s="4" t="s">
        <v>152</v>
      </c>
      <c r="C155" s="4" t="s">
        <v>149</v>
      </c>
      <c r="D155" s="5">
        <v>10</v>
      </c>
      <c r="E155" s="5">
        <v>5</v>
      </c>
      <c r="F155" s="4">
        <f t="shared" si="16"/>
        <v>24.299999999999955</v>
      </c>
      <c r="G155" s="4">
        <f t="shared" si="17"/>
        <v>1.4031205211758171</v>
      </c>
      <c r="H155" s="5">
        <v>1</v>
      </c>
      <c r="I155" s="5">
        <v>3</v>
      </c>
      <c r="J155" s="5">
        <v>1</v>
      </c>
      <c r="K155" s="5"/>
      <c r="L155" s="5">
        <v>3</v>
      </c>
      <c r="M155" s="5">
        <v>402.1</v>
      </c>
      <c r="N155" s="5">
        <v>426.4</v>
      </c>
      <c r="O155" s="116">
        <v>2.5170000000000528</v>
      </c>
      <c r="P155" s="115">
        <v>3.43100000000004</v>
      </c>
      <c r="Q155" s="115">
        <v>9.4300000000001774</v>
      </c>
      <c r="R155" s="115">
        <v>15.37800000000027</v>
      </c>
      <c r="S155" s="4">
        <f t="shared" si="18"/>
        <v>0.54617236831694904</v>
      </c>
      <c r="T155" s="4">
        <f t="shared" si="19"/>
        <v>0.64650175003161581</v>
      </c>
      <c r="U155" s="4">
        <f t="shared" si="20"/>
        <v>1.0182843084265383</v>
      </c>
      <c r="V155" s="4">
        <f t="shared" si="21"/>
        <v>1.214260866777549</v>
      </c>
      <c r="W155" s="116">
        <v>62</v>
      </c>
      <c r="X155" s="115">
        <v>14</v>
      </c>
      <c r="Y155" s="115">
        <v>4</v>
      </c>
      <c r="Z155" s="5">
        <f t="shared" si="22"/>
        <v>10</v>
      </c>
    </row>
    <row r="156" spans="1:26">
      <c r="A156" s="4">
        <v>13</v>
      </c>
      <c r="B156" s="4" t="s">
        <v>152</v>
      </c>
      <c r="C156" s="4" t="s">
        <v>150</v>
      </c>
      <c r="D156" s="5">
        <v>11</v>
      </c>
      <c r="E156" s="5">
        <v>11</v>
      </c>
      <c r="F156" s="4">
        <f t="shared" si="16"/>
        <v>12.300000000000068</v>
      </c>
      <c r="G156" s="4">
        <f t="shared" si="17"/>
        <v>1.123851640967088</v>
      </c>
      <c r="H156" s="5">
        <v>1</v>
      </c>
      <c r="I156" s="5">
        <v>3</v>
      </c>
      <c r="J156" s="5">
        <v>0</v>
      </c>
      <c r="K156" s="5"/>
      <c r="L156" s="5">
        <v>2</v>
      </c>
      <c r="M156" s="5">
        <v>738.8</v>
      </c>
      <c r="N156" s="5">
        <v>751.1</v>
      </c>
      <c r="O156" s="116">
        <v>4.5980000000001837</v>
      </c>
      <c r="P156" s="115">
        <v>0.96800000000007458</v>
      </c>
      <c r="Q156" s="115">
        <v>1.3490000000000464</v>
      </c>
      <c r="R156" s="115">
        <v>6.9150000000003047</v>
      </c>
      <c r="S156" s="4">
        <f t="shared" si="18"/>
        <v>0.74803289413015783</v>
      </c>
      <c r="T156" s="4">
        <f t="shared" si="19"/>
        <v>0.29402509409533917</v>
      </c>
      <c r="U156" s="4">
        <f t="shared" si="20"/>
        <v>0.37088301677761443</v>
      </c>
      <c r="V156" s="4">
        <f t="shared" si="21"/>
        <v>0.89845091919839148</v>
      </c>
      <c r="W156" s="116">
        <v>29</v>
      </c>
      <c r="X156" s="115">
        <v>8</v>
      </c>
      <c r="Y156" s="115">
        <v>3</v>
      </c>
      <c r="Z156" s="5">
        <f t="shared" si="22"/>
        <v>5</v>
      </c>
    </row>
    <row r="157" spans="1:26">
      <c r="A157" s="4">
        <v>13</v>
      </c>
      <c r="B157" s="4" t="s">
        <v>152</v>
      </c>
      <c r="C157" s="4" t="s">
        <v>149</v>
      </c>
      <c r="D157" s="5">
        <v>12</v>
      </c>
      <c r="E157" s="5">
        <v>7</v>
      </c>
      <c r="F157" s="4">
        <f t="shared" si="16"/>
        <v>15.800000000000011</v>
      </c>
      <c r="G157" s="4">
        <f t="shared" si="17"/>
        <v>1.2253092817258631</v>
      </c>
      <c r="H157" s="5">
        <v>1</v>
      </c>
      <c r="I157" s="5">
        <v>5</v>
      </c>
      <c r="J157" s="5">
        <v>1</v>
      </c>
      <c r="K157" s="5"/>
      <c r="L157" s="5">
        <v>3</v>
      </c>
      <c r="M157" s="5">
        <v>508.2</v>
      </c>
      <c r="N157" s="5">
        <v>524</v>
      </c>
      <c r="O157" s="116">
        <v>1.382000000000005</v>
      </c>
      <c r="P157" s="115">
        <v>1.8839999999999577</v>
      </c>
      <c r="Q157" s="115">
        <v>6.3339999999995484</v>
      </c>
      <c r="R157" s="115">
        <v>9.5999999999995111</v>
      </c>
      <c r="S157" s="4">
        <f t="shared" si="18"/>
        <v>0.37694175714675959</v>
      </c>
      <c r="T157" s="4">
        <f t="shared" si="19"/>
        <v>0.45999525604738506</v>
      </c>
      <c r="U157" s="4">
        <f t="shared" si="20"/>
        <v>0.86534090562455712</v>
      </c>
      <c r="V157" s="4">
        <f t="shared" si="21"/>
        <v>1.0253058652647502</v>
      </c>
      <c r="W157" s="116">
        <v>49</v>
      </c>
      <c r="X157" s="115">
        <v>11</v>
      </c>
      <c r="Y157" s="115">
        <v>3</v>
      </c>
      <c r="Z157" s="5">
        <f t="shared" si="22"/>
        <v>8</v>
      </c>
    </row>
    <row r="158" spans="1:26">
      <c r="A158" s="4">
        <v>14</v>
      </c>
      <c r="B158" s="4" t="s">
        <v>151</v>
      </c>
      <c r="C158" s="4" t="s">
        <v>150</v>
      </c>
      <c r="D158" s="5">
        <v>1</v>
      </c>
      <c r="E158" s="5">
        <v>6</v>
      </c>
      <c r="F158" s="4">
        <f t="shared" si="16"/>
        <v>33.699999999999989</v>
      </c>
      <c r="G158" s="4">
        <f t="shared" si="17"/>
        <v>1.5403294747908736</v>
      </c>
      <c r="H158" s="5">
        <v>1</v>
      </c>
      <c r="I158" s="5">
        <v>5</v>
      </c>
      <c r="J158" s="5">
        <v>1</v>
      </c>
      <c r="K158" s="5"/>
      <c r="L158" s="5">
        <v>1</v>
      </c>
      <c r="M158" s="5">
        <v>368.5</v>
      </c>
      <c r="N158" s="5">
        <v>402.2</v>
      </c>
      <c r="O158" s="116">
        <v>4.4619999999999322</v>
      </c>
      <c r="P158" s="115">
        <v>0.39999999999997726</v>
      </c>
      <c r="Q158" s="115">
        <v>12.884999999999877</v>
      </c>
      <c r="R158" s="115">
        <v>17.746999999999787</v>
      </c>
      <c r="S158" s="4">
        <f t="shared" si="18"/>
        <v>0.73735169580370907</v>
      </c>
      <c r="T158" s="4">
        <f t="shared" si="19"/>
        <v>0.14612803567823096</v>
      </c>
      <c r="U158" s="4">
        <f t="shared" si="20"/>
        <v>1.1425458840862726</v>
      </c>
      <c r="V158" s="4">
        <f t="shared" si="21"/>
        <v>1.2729317793870658</v>
      </c>
      <c r="W158" s="116">
        <v>95</v>
      </c>
      <c r="X158" s="115">
        <v>5</v>
      </c>
      <c r="Y158" s="115">
        <v>4</v>
      </c>
      <c r="Z158" s="5">
        <f t="shared" si="22"/>
        <v>1</v>
      </c>
    </row>
    <row r="159" spans="1:26">
      <c r="A159" s="4">
        <v>14</v>
      </c>
      <c r="B159" s="4" t="s">
        <v>151</v>
      </c>
      <c r="C159" s="4" t="s">
        <v>150</v>
      </c>
      <c r="D159" s="5">
        <v>2</v>
      </c>
      <c r="E159" s="5">
        <v>8</v>
      </c>
      <c r="F159" s="4">
        <f t="shared" si="16"/>
        <v>15.899999999999977</v>
      </c>
      <c r="G159" s="4">
        <f t="shared" si="17"/>
        <v>1.227886704613673</v>
      </c>
      <c r="H159" s="5">
        <v>1</v>
      </c>
      <c r="I159" s="5">
        <v>6</v>
      </c>
      <c r="J159" s="5">
        <v>0</v>
      </c>
      <c r="K159" s="5"/>
      <c r="L159" s="5">
        <v>2</v>
      </c>
      <c r="M159" s="5">
        <v>475.3</v>
      </c>
      <c r="N159" s="5">
        <v>491.2</v>
      </c>
      <c r="O159" s="116">
        <v>1.5009999999999195</v>
      </c>
      <c r="P159" s="115">
        <v>3.9980000000001041</v>
      </c>
      <c r="Q159" s="115">
        <v>4.2169999999999845</v>
      </c>
      <c r="R159" s="115">
        <v>9.7160000000000082</v>
      </c>
      <c r="S159" s="4">
        <f t="shared" si="18"/>
        <v>0.39811369173048855</v>
      </c>
      <c r="T159" s="4">
        <f t="shared" si="19"/>
        <v>0.69879625179044025</v>
      </c>
      <c r="U159" s="4">
        <f t="shared" si="20"/>
        <v>0.71742083672237356</v>
      </c>
      <c r="V159" s="4">
        <f t="shared" si="21"/>
        <v>1.0300327049361715</v>
      </c>
      <c r="W159" s="116">
        <v>49</v>
      </c>
      <c r="X159" s="115">
        <v>2</v>
      </c>
      <c r="Y159" s="115">
        <v>2</v>
      </c>
      <c r="Z159" s="5">
        <f t="shared" si="22"/>
        <v>0</v>
      </c>
    </row>
    <row r="160" spans="1:26">
      <c r="A160" s="4">
        <v>14</v>
      </c>
      <c r="B160" s="4" t="s">
        <v>151</v>
      </c>
      <c r="C160" s="4" t="s">
        <v>149</v>
      </c>
      <c r="D160" s="5">
        <v>3</v>
      </c>
      <c r="E160" s="5">
        <v>10</v>
      </c>
      <c r="F160" s="4">
        <f t="shared" si="16"/>
        <v>9.5</v>
      </c>
      <c r="G160" s="4">
        <f t="shared" si="17"/>
        <v>1.0211892990699381</v>
      </c>
      <c r="H160" s="5">
        <v>1</v>
      </c>
      <c r="I160" s="5">
        <v>5</v>
      </c>
      <c r="J160" s="5">
        <v>0</v>
      </c>
      <c r="K160" s="5"/>
      <c r="L160" s="5">
        <v>2</v>
      </c>
      <c r="M160" s="5">
        <v>558.9</v>
      </c>
      <c r="N160" s="5">
        <v>568.4</v>
      </c>
      <c r="O160" s="116">
        <v>1.1490000000001146</v>
      </c>
      <c r="P160" s="115">
        <v>1.5840000000001737</v>
      </c>
      <c r="Q160" s="115">
        <v>1.9839999999999236</v>
      </c>
      <c r="R160" s="115">
        <v>4.7170000000002119</v>
      </c>
      <c r="S160" s="4">
        <f t="shared" si="18"/>
        <v>0.33223641549146649</v>
      </c>
      <c r="T160" s="4">
        <f t="shared" si="19"/>
        <v>0.41229250932307565</v>
      </c>
      <c r="U160" s="4">
        <f t="shared" si="20"/>
        <v>0.47479881880062008</v>
      </c>
      <c r="V160" s="4">
        <f t="shared" si="21"/>
        <v>0.75716819221428866</v>
      </c>
      <c r="W160" s="116">
        <v>23</v>
      </c>
      <c r="X160" s="115">
        <v>4</v>
      </c>
      <c r="Y160" s="115">
        <v>3</v>
      </c>
      <c r="Z160" s="5">
        <f t="shared" si="22"/>
        <v>1</v>
      </c>
    </row>
    <row r="161" spans="1:26">
      <c r="A161" s="4">
        <v>14</v>
      </c>
      <c r="B161" s="4" t="s">
        <v>151</v>
      </c>
      <c r="C161" s="4" t="s">
        <v>154</v>
      </c>
      <c r="D161" s="5">
        <v>4</v>
      </c>
      <c r="E161" s="5">
        <v>4</v>
      </c>
      <c r="F161" s="4">
        <f t="shared" si="16"/>
        <v>10.100000000000023</v>
      </c>
      <c r="G161" s="4">
        <f t="shared" si="17"/>
        <v>1.0453229787866583</v>
      </c>
      <c r="H161" s="5">
        <v>0</v>
      </c>
      <c r="I161" s="5">
        <v>3</v>
      </c>
      <c r="J161" s="5">
        <v>0</v>
      </c>
      <c r="K161" s="5"/>
      <c r="L161" s="5">
        <v>4</v>
      </c>
      <c r="M161" s="5">
        <v>273.2</v>
      </c>
      <c r="N161" s="5">
        <v>283.3</v>
      </c>
      <c r="O161" s="116">
        <v>1.7819999999999823</v>
      </c>
      <c r="P161" s="115">
        <v>1.067000000000121</v>
      </c>
      <c r="Q161" s="115">
        <v>1.9020000000000437</v>
      </c>
      <c r="R161" s="115">
        <v>4.7510000000001469</v>
      </c>
      <c r="S161" s="4">
        <f t="shared" si="18"/>
        <v>0.44435712565602481</v>
      </c>
      <c r="T161" s="4">
        <f t="shared" si="19"/>
        <v>0.31534047662731368</v>
      </c>
      <c r="U161" s="4">
        <f t="shared" si="20"/>
        <v>0.46269740810172361</v>
      </c>
      <c r="V161" s="4">
        <f t="shared" si="21"/>
        <v>0.75974336759773609</v>
      </c>
      <c r="W161" s="116">
        <v>27</v>
      </c>
      <c r="X161" s="115">
        <v>9</v>
      </c>
      <c r="Y161" s="115">
        <v>5</v>
      </c>
      <c r="Z161" s="5">
        <f t="shared" si="22"/>
        <v>4</v>
      </c>
    </row>
    <row r="162" spans="1:26">
      <c r="A162" s="4">
        <v>14</v>
      </c>
      <c r="B162" s="4" t="s">
        <v>151</v>
      </c>
      <c r="C162" s="4" t="s">
        <v>149</v>
      </c>
      <c r="D162" s="5">
        <v>5</v>
      </c>
      <c r="E162" s="5">
        <v>12</v>
      </c>
      <c r="F162" s="4">
        <f t="shared" si="16"/>
        <v>7</v>
      </c>
      <c r="G162" s="4">
        <f t="shared" si="17"/>
        <v>0.90308998699194354</v>
      </c>
      <c r="H162" s="5">
        <v>1</v>
      </c>
      <c r="I162" s="5">
        <v>5</v>
      </c>
      <c r="J162" s="5">
        <v>0</v>
      </c>
      <c r="K162" s="5"/>
      <c r="L162" s="5">
        <v>2</v>
      </c>
      <c r="M162" s="5">
        <v>655.20000000000005</v>
      </c>
      <c r="N162" s="5">
        <v>662.2</v>
      </c>
      <c r="O162" s="116">
        <v>1.3650000000000091</v>
      </c>
      <c r="P162" s="115">
        <v>0.51700000000005275</v>
      </c>
      <c r="Q162" s="115">
        <v>2.0180000000000291</v>
      </c>
      <c r="R162" s="115">
        <v>3.9000000000000909</v>
      </c>
      <c r="S162" s="4">
        <f t="shared" si="18"/>
        <v>0.37383114507383203</v>
      </c>
      <c r="T162" s="4">
        <f t="shared" si="19"/>
        <v>0.18098558078674559</v>
      </c>
      <c r="U162" s="4">
        <f t="shared" si="20"/>
        <v>0.47971923543957523</v>
      </c>
      <c r="V162" s="4">
        <f t="shared" si="21"/>
        <v>0.69019608002852173</v>
      </c>
      <c r="W162" s="116">
        <v>20</v>
      </c>
      <c r="X162" s="115">
        <v>3</v>
      </c>
      <c r="Y162" s="115">
        <v>3</v>
      </c>
      <c r="Z162" s="5">
        <f t="shared" si="22"/>
        <v>0</v>
      </c>
    </row>
    <row r="163" spans="1:26">
      <c r="A163" s="4">
        <v>14</v>
      </c>
      <c r="B163" s="4" t="s">
        <v>151</v>
      </c>
      <c r="C163" s="4" t="s">
        <v>154</v>
      </c>
      <c r="D163" s="5">
        <v>6</v>
      </c>
      <c r="E163" s="5">
        <v>2</v>
      </c>
      <c r="F163" s="4">
        <f t="shared" si="16"/>
        <v>27.900000000000006</v>
      </c>
      <c r="G163" s="4">
        <f t="shared" si="17"/>
        <v>1.460897842756548</v>
      </c>
      <c r="H163" s="5">
        <v>1</v>
      </c>
      <c r="I163" s="5">
        <v>4</v>
      </c>
      <c r="J163" s="5">
        <v>1</v>
      </c>
      <c r="K163" s="5"/>
      <c r="L163" s="5">
        <v>1</v>
      </c>
      <c r="M163" s="5">
        <v>178.2</v>
      </c>
      <c r="N163" s="5">
        <v>206.1</v>
      </c>
      <c r="O163" s="116">
        <v>7.9619999999999322</v>
      </c>
      <c r="P163" s="115">
        <v>1.8349999999999795</v>
      </c>
      <c r="Q163" s="115">
        <v>4.6649999999999352</v>
      </c>
      <c r="R163" s="115">
        <v>14.461999999999847</v>
      </c>
      <c r="S163" s="4">
        <f t="shared" si="18"/>
        <v>0.9524049395770211</v>
      </c>
      <c r="T163" s="4">
        <f t="shared" si="19"/>
        <v>0.45255306322892225</v>
      </c>
      <c r="U163" s="4">
        <f t="shared" si="20"/>
        <v>0.75319991419941112</v>
      </c>
      <c r="V163" s="4">
        <f t="shared" si="21"/>
        <v>1.189265668934544</v>
      </c>
      <c r="W163" s="116">
        <v>75</v>
      </c>
      <c r="X163" s="115">
        <v>23</v>
      </c>
      <c r="Y163" s="115">
        <v>6</v>
      </c>
      <c r="Z163" s="5">
        <f t="shared" si="22"/>
        <v>17</v>
      </c>
    </row>
    <row r="164" spans="1:26">
      <c r="A164" s="4">
        <v>14</v>
      </c>
      <c r="B164" s="4" t="s">
        <v>152</v>
      </c>
      <c r="C164" s="4" t="s">
        <v>150</v>
      </c>
      <c r="D164" s="5">
        <v>7</v>
      </c>
      <c r="E164" s="5">
        <v>7</v>
      </c>
      <c r="F164" s="4">
        <f t="shared" si="16"/>
        <v>8.8000000000000114</v>
      </c>
      <c r="G164" s="4">
        <f t="shared" si="17"/>
        <v>0.99122607569249532</v>
      </c>
      <c r="H164" s="5">
        <v>1</v>
      </c>
      <c r="I164" s="5">
        <v>5</v>
      </c>
      <c r="J164" s="5">
        <v>0</v>
      </c>
      <c r="K164" s="5"/>
      <c r="L164" s="5">
        <v>1</v>
      </c>
      <c r="M164" s="5">
        <v>443.5</v>
      </c>
      <c r="N164" s="5">
        <v>452.3</v>
      </c>
      <c r="O164" s="116">
        <v>2.5339999999998213</v>
      </c>
      <c r="P164" s="115">
        <v>0.93299999999999272</v>
      </c>
      <c r="Q164" s="115">
        <v>0.53500000000002501</v>
      </c>
      <c r="R164" s="115">
        <v>4.001999999999839</v>
      </c>
      <c r="S164" s="4">
        <f t="shared" si="18"/>
        <v>0.54826654517072326</v>
      </c>
      <c r="T164" s="4">
        <f t="shared" si="19"/>
        <v>0.28623185402855139</v>
      </c>
      <c r="U164" s="4">
        <f t="shared" si="20"/>
        <v>0.18610837981321238</v>
      </c>
      <c r="V164" s="4">
        <f t="shared" si="21"/>
        <v>0.69914368739446975</v>
      </c>
      <c r="W164" s="116">
        <v>20</v>
      </c>
      <c r="X164" s="115">
        <v>1</v>
      </c>
      <c r="Y164" s="115">
        <v>1</v>
      </c>
      <c r="Z164" s="5">
        <f t="shared" si="22"/>
        <v>0</v>
      </c>
    </row>
    <row r="165" spans="1:26">
      <c r="A165" s="4">
        <v>14</v>
      </c>
      <c r="B165" s="4" t="s">
        <v>152</v>
      </c>
      <c r="C165" s="4" t="s">
        <v>150</v>
      </c>
      <c r="D165" s="5">
        <v>8</v>
      </c>
      <c r="E165" s="5">
        <v>5</v>
      </c>
      <c r="F165" s="4">
        <f t="shared" si="16"/>
        <v>3.8999999999999773</v>
      </c>
      <c r="G165" s="4">
        <f t="shared" si="17"/>
        <v>0.69019608002851163</v>
      </c>
      <c r="H165" s="5">
        <v>1</v>
      </c>
      <c r="I165" s="5">
        <v>5</v>
      </c>
      <c r="J165" s="5">
        <v>0</v>
      </c>
      <c r="K165" s="5"/>
      <c r="L165" s="5">
        <v>1</v>
      </c>
      <c r="M165" s="5">
        <v>344.3</v>
      </c>
      <c r="N165" s="5">
        <v>348.2</v>
      </c>
      <c r="O165" s="116">
        <v>1.1499999999999773</v>
      </c>
      <c r="P165" s="115">
        <v>0.30000000000006821</v>
      </c>
      <c r="Q165" s="115">
        <v>0.81700000000000728</v>
      </c>
      <c r="R165" s="115">
        <v>2.2670000000000528</v>
      </c>
      <c r="S165" s="4">
        <f t="shared" si="18"/>
        <v>0.33243845991560073</v>
      </c>
      <c r="T165" s="4">
        <f t="shared" si="19"/>
        <v>0.11394335230685956</v>
      </c>
      <c r="U165" s="4">
        <f t="shared" si="20"/>
        <v>0.25935492730803605</v>
      </c>
      <c r="V165" s="4">
        <f t="shared" si="21"/>
        <v>0.51414913447544441</v>
      </c>
      <c r="W165" s="116">
        <v>12</v>
      </c>
      <c r="X165" s="115">
        <v>2</v>
      </c>
      <c r="Y165" s="115">
        <v>2</v>
      </c>
      <c r="Z165" s="5">
        <f t="shared" si="22"/>
        <v>0</v>
      </c>
    </row>
    <row r="166" spans="1:26">
      <c r="A166" s="4">
        <v>14</v>
      </c>
      <c r="B166" s="4" t="s">
        <v>152</v>
      </c>
      <c r="C166" s="4" t="s">
        <v>149</v>
      </c>
      <c r="D166" s="5">
        <v>9</v>
      </c>
      <c r="E166" s="5">
        <v>9</v>
      </c>
      <c r="F166" s="4">
        <f t="shared" si="16"/>
        <v>6.1999999999999318</v>
      </c>
      <c r="G166" s="4">
        <f t="shared" si="17"/>
        <v>0.8573324964312643</v>
      </c>
      <c r="H166" s="5">
        <v>1</v>
      </c>
      <c r="I166" s="5">
        <v>5</v>
      </c>
      <c r="J166" s="5">
        <v>0</v>
      </c>
      <c r="K166" s="5"/>
      <c r="L166" s="5">
        <v>2</v>
      </c>
      <c r="M166" s="5">
        <v>514.1</v>
      </c>
      <c r="N166" s="5">
        <v>520.29999999999995</v>
      </c>
      <c r="O166" s="116">
        <v>3.0329999999999018</v>
      </c>
      <c r="P166" s="115"/>
      <c r="Q166" s="115"/>
      <c r="R166" s="115">
        <v>3.0329999999999018</v>
      </c>
      <c r="S166" s="4">
        <f t="shared" si="18"/>
        <v>0.60562822200760802</v>
      </c>
      <c r="T166" s="4">
        <f t="shared" si="19"/>
        <v>0</v>
      </c>
      <c r="U166" s="4">
        <f t="shared" si="20"/>
        <v>0</v>
      </c>
      <c r="V166" s="4">
        <f t="shared" si="21"/>
        <v>0.60562822200760802</v>
      </c>
      <c r="W166" s="116">
        <v>11</v>
      </c>
      <c r="X166" s="115">
        <v>2</v>
      </c>
      <c r="Y166" s="115">
        <v>2</v>
      </c>
      <c r="Z166" s="5">
        <f t="shared" si="22"/>
        <v>0</v>
      </c>
    </row>
    <row r="167" spans="1:26">
      <c r="A167" s="4">
        <v>14</v>
      </c>
      <c r="B167" s="4" t="s">
        <v>152</v>
      </c>
      <c r="C167" s="4" t="s">
        <v>149</v>
      </c>
      <c r="D167" s="5">
        <v>10</v>
      </c>
      <c r="E167" s="5">
        <v>11</v>
      </c>
      <c r="F167" s="4">
        <f t="shared" si="16"/>
        <v>15.799999999999955</v>
      </c>
      <c r="G167" s="4">
        <f t="shared" si="17"/>
        <v>1.2253092817258617</v>
      </c>
      <c r="H167" s="5">
        <v>0</v>
      </c>
      <c r="I167" s="5">
        <v>5</v>
      </c>
      <c r="J167" s="5">
        <v>0</v>
      </c>
      <c r="K167" s="5"/>
      <c r="L167" s="5">
        <v>4</v>
      </c>
      <c r="M167" s="5">
        <v>601.1</v>
      </c>
      <c r="N167" s="5">
        <v>616.9</v>
      </c>
      <c r="O167" s="116">
        <v>3.9519999999999982</v>
      </c>
      <c r="P167" s="115">
        <v>1.8489999999999327</v>
      </c>
      <c r="Q167" s="115">
        <v>1.9489999999997281</v>
      </c>
      <c r="R167" s="115">
        <v>7.7499999999996589</v>
      </c>
      <c r="S167" s="4">
        <f t="shared" si="18"/>
        <v>0.69478063601206141</v>
      </c>
      <c r="T167" s="4">
        <f t="shared" si="19"/>
        <v>0.45469244923946661</v>
      </c>
      <c r="U167" s="4">
        <f t="shared" si="20"/>
        <v>0.46967477255175799</v>
      </c>
      <c r="V167" s="4">
        <f t="shared" si="21"/>
        <v>0.94200805302229629</v>
      </c>
      <c r="W167" s="116">
        <v>41</v>
      </c>
      <c r="X167" s="115">
        <v>9</v>
      </c>
      <c r="Y167" s="115">
        <v>4</v>
      </c>
      <c r="Z167" s="5">
        <f t="shared" si="22"/>
        <v>5</v>
      </c>
    </row>
    <row r="168" spans="1:26">
      <c r="A168" s="4">
        <v>14</v>
      </c>
      <c r="B168" s="4" t="s">
        <v>152</v>
      </c>
      <c r="C168" s="4" t="s">
        <v>154</v>
      </c>
      <c r="D168" s="5">
        <v>11</v>
      </c>
      <c r="E168" s="5">
        <v>3</v>
      </c>
      <c r="F168" s="4">
        <f t="shared" si="16"/>
        <v>7.8000000000000114</v>
      </c>
      <c r="G168" s="4">
        <f t="shared" si="17"/>
        <v>0.94448267215016923</v>
      </c>
      <c r="H168" s="5">
        <v>1</v>
      </c>
      <c r="I168" s="5">
        <v>4</v>
      </c>
      <c r="J168" s="5">
        <v>0</v>
      </c>
      <c r="K168" s="5"/>
      <c r="L168" s="5">
        <v>3</v>
      </c>
      <c r="M168" s="5">
        <v>240.6</v>
      </c>
      <c r="N168" s="5">
        <v>248.4</v>
      </c>
      <c r="O168" s="116">
        <v>1.3989999999999725</v>
      </c>
      <c r="P168" s="115">
        <v>0.73400000000003729</v>
      </c>
      <c r="Q168" s="115">
        <v>1.3169999999999504</v>
      </c>
      <c r="R168" s="115">
        <v>3.4499999999999602</v>
      </c>
      <c r="S168" s="4">
        <f t="shared" si="18"/>
        <v>0.38003024796782564</v>
      </c>
      <c r="T168" s="4">
        <f t="shared" si="19"/>
        <v>0.23904909314020084</v>
      </c>
      <c r="U168" s="4">
        <f t="shared" si="20"/>
        <v>0.3649260337899663</v>
      </c>
      <c r="V168" s="4">
        <f t="shared" si="21"/>
        <v>0.64836001098092766</v>
      </c>
      <c r="W168" s="116">
        <v>21</v>
      </c>
      <c r="X168" s="115">
        <v>5</v>
      </c>
      <c r="Y168" s="115">
        <v>3</v>
      </c>
      <c r="Z168" s="5">
        <f t="shared" si="22"/>
        <v>2</v>
      </c>
    </row>
    <row r="169" spans="1:26">
      <c r="A169" s="4">
        <v>14</v>
      </c>
      <c r="B169" s="4" t="s">
        <v>152</v>
      </c>
      <c r="C169" s="4" t="s">
        <v>154</v>
      </c>
      <c r="D169" s="5">
        <v>12</v>
      </c>
      <c r="E169" s="5">
        <v>1</v>
      </c>
      <c r="F169" s="4">
        <f t="shared" si="16"/>
        <v>13.799999999999997</v>
      </c>
      <c r="G169" s="4">
        <f t="shared" si="17"/>
        <v>1.1702617153949573</v>
      </c>
      <c r="H169" s="5">
        <v>1</v>
      </c>
      <c r="I169" s="5">
        <v>3</v>
      </c>
      <c r="J169" s="5">
        <v>0</v>
      </c>
      <c r="K169" s="5"/>
      <c r="L169" s="5">
        <v>3</v>
      </c>
      <c r="M169" s="5">
        <v>73.5</v>
      </c>
      <c r="N169" s="5">
        <v>87.3</v>
      </c>
      <c r="O169" s="116">
        <v>0.93400000000001171</v>
      </c>
      <c r="P169" s="115">
        <v>4.8299999999999841</v>
      </c>
      <c r="Q169" s="115">
        <v>1.8330000000000268</v>
      </c>
      <c r="R169" s="115">
        <v>7.5970000000000226</v>
      </c>
      <c r="S169" s="4">
        <f t="shared" si="18"/>
        <v>0.28645646974698552</v>
      </c>
      <c r="T169" s="4">
        <f t="shared" si="19"/>
        <v>0.76566855475901285</v>
      </c>
      <c r="U169" s="4">
        <f t="shared" si="20"/>
        <v>0.45224657452044131</v>
      </c>
      <c r="V169" s="4">
        <f t="shared" si="21"/>
        <v>0.9343469267382567</v>
      </c>
      <c r="W169" s="116">
        <v>41</v>
      </c>
      <c r="X169" s="115">
        <v>9</v>
      </c>
      <c r="Y169" s="115">
        <v>4</v>
      </c>
      <c r="Z169" s="5">
        <f t="shared" si="22"/>
        <v>5</v>
      </c>
    </row>
    <row r="170" spans="1:26">
      <c r="A170" s="4">
        <v>15</v>
      </c>
      <c r="B170" s="4" t="s">
        <v>151</v>
      </c>
      <c r="C170" s="4" t="s">
        <v>149</v>
      </c>
      <c r="D170" s="5">
        <v>1</v>
      </c>
      <c r="E170" s="5">
        <v>4</v>
      </c>
      <c r="F170" s="4">
        <f t="shared" si="16"/>
        <v>2.9000000000000057</v>
      </c>
      <c r="G170" s="4">
        <f t="shared" si="17"/>
        <v>0.59106460702649988</v>
      </c>
      <c r="H170" s="5">
        <v>1</v>
      </c>
      <c r="I170" s="5">
        <v>6</v>
      </c>
      <c r="J170" s="5">
        <v>0</v>
      </c>
      <c r="K170" s="5"/>
      <c r="L170" s="5">
        <v>1</v>
      </c>
      <c r="M170" s="5">
        <v>189.4</v>
      </c>
      <c r="N170" s="5">
        <v>192.3</v>
      </c>
      <c r="O170" s="116">
        <v>1.2009999999999934</v>
      </c>
      <c r="P170" s="115">
        <v>0.36599999999998545</v>
      </c>
      <c r="Q170" s="115">
        <v>0.36599999999998545</v>
      </c>
      <c r="R170" s="115">
        <v>1.9329999999999643</v>
      </c>
      <c r="S170" s="4">
        <f t="shared" si="18"/>
        <v>0.34262004255334666</v>
      </c>
      <c r="T170" s="4">
        <f t="shared" si="19"/>
        <v>0.13545069934550913</v>
      </c>
      <c r="U170" s="4">
        <f t="shared" si="20"/>
        <v>0.13545069934550913</v>
      </c>
      <c r="V170" s="4">
        <f t="shared" si="21"/>
        <v>0.46731206298054684</v>
      </c>
      <c r="W170" s="116">
        <v>7</v>
      </c>
      <c r="X170" s="115">
        <v>2</v>
      </c>
      <c r="Y170" s="115">
        <v>2</v>
      </c>
      <c r="Z170" s="5">
        <f t="shared" si="22"/>
        <v>0</v>
      </c>
    </row>
    <row r="171" spans="1:26">
      <c r="A171" s="4">
        <v>15</v>
      </c>
      <c r="B171" s="4" t="s">
        <v>151</v>
      </c>
      <c r="C171" s="4" t="s">
        <v>150</v>
      </c>
      <c r="D171" s="5">
        <v>2</v>
      </c>
      <c r="E171" s="5">
        <v>10</v>
      </c>
      <c r="F171" s="4">
        <f t="shared" si="16"/>
        <v>87.899999999999977</v>
      </c>
      <c r="G171" s="4">
        <f t="shared" si="17"/>
        <v>1.9489017609702135</v>
      </c>
      <c r="H171" s="5">
        <v>1</v>
      </c>
      <c r="I171" s="5">
        <v>4</v>
      </c>
      <c r="J171" s="5">
        <v>1</v>
      </c>
      <c r="K171" s="5"/>
      <c r="L171" s="5">
        <v>3</v>
      </c>
      <c r="M171" s="5">
        <v>531.5</v>
      </c>
      <c r="N171" s="5">
        <v>619.4</v>
      </c>
      <c r="O171" s="116">
        <v>23.821000000000481</v>
      </c>
      <c r="P171" s="115">
        <v>6.303000000000111</v>
      </c>
      <c r="Q171" s="115">
        <v>25.708000000000197</v>
      </c>
      <c r="R171" s="115">
        <v>55.832000000000789</v>
      </c>
      <c r="S171" s="4">
        <f t="shared" si="18"/>
        <v>1.3948192745734067</v>
      </c>
      <c r="T171" s="4">
        <f t="shared" si="19"/>
        <v>0.86350130064145669</v>
      </c>
      <c r="U171" s="4">
        <f t="shared" si="20"/>
        <v>1.4266413675614482</v>
      </c>
      <c r="V171" s="4">
        <f t="shared" si="21"/>
        <v>1.7545929397624942</v>
      </c>
      <c r="W171" s="116">
        <v>243</v>
      </c>
      <c r="X171" s="115">
        <v>36</v>
      </c>
      <c r="Y171" s="115">
        <v>10</v>
      </c>
      <c r="Z171" s="5">
        <f t="shared" si="22"/>
        <v>26</v>
      </c>
    </row>
    <row r="172" spans="1:26">
      <c r="A172" s="4">
        <v>15</v>
      </c>
      <c r="B172" s="4" t="s">
        <v>151</v>
      </c>
      <c r="C172" s="4" t="s">
        <v>150</v>
      </c>
      <c r="D172" s="5">
        <v>3</v>
      </c>
      <c r="E172" s="5">
        <v>12</v>
      </c>
      <c r="F172" s="4">
        <f t="shared" si="16"/>
        <v>8.1999999999999318</v>
      </c>
      <c r="G172" s="4">
        <f t="shared" si="17"/>
        <v>0.96378782734555202</v>
      </c>
      <c r="H172" s="5">
        <v>1</v>
      </c>
      <c r="I172" s="5">
        <v>7</v>
      </c>
      <c r="J172" s="5">
        <v>0</v>
      </c>
      <c r="K172" s="5"/>
      <c r="L172" s="5">
        <v>2</v>
      </c>
      <c r="M172" s="5">
        <v>704.7</v>
      </c>
      <c r="N172" s="5">
        <v>712.9</v>
      </c>
      <c r="O172" s="116">
        <v>2.3670000000000755</v>
      </c>
      <c r="P172" s="115">
        <v>0.13400000000001455</v>
      </c>
      <c r="Q172" s="115">
        <v>2.0480000000001155</v>
      </c>
      <c r="R172" s="115">
        <v>4.5490000000002055</v>
      </c>
      <c r="S172" s="4">
        <f t="shared" si="18"/>
        <v>0.52724311638809829</v>
      </c>
      <c r="T172" s="4">
        <f t="shared" si="19"/>
        <v>5.4613054556893345E-2</v>
      </c>
      <c r="U172" s="4">
        <f t="shared" si="20"/>
        <v>0.48401496266757932</v>
      </c>
      <c r="V172" s="4">
        <f t="shared" si="21"/>
        <v>0.74421472481418194</v>
      </c>
      <c r="W172" s="116">
        <v>18</v>
      </c>
      <c r="X172" s="115">
        <v>2</v>
      </c>
      <c r="Y172" s="115">
        <v>2</v>
      </c>
      <c r="Z172" s="5">
        <f t="shared" si="22"/>
        <v>0</v>
      </c>
    </row>
    <row r="173" spans="1:26">
      <c r="A173" s="4">
        <v>15</v>
      </c>
      <c r="B173" s="4" t="s">
        <v>151</v>
      </c>
      <c r="C173" s="4" t="s">
        <v>154</v>
      </c>
      <c r="D173" s="5">
        <v>4</v>
      </c>
      <c r="E173" s="5">
        <v>6</v>
      </c>
      <c r="F173" s="4">
        <f t="shared" si="16"/>
        <v>22.199999999999989</v>
      </c>
      <c r="G173" s="4">
        <f t="shared" si="17"/>
        <v>1.3654879848908994</v>
      </c>
      <c r="H173" s="5">
        <v>1</v>
      </c>
      <c r="I173" s="5">
        <v>7</v>
      </c>
      <c r="J173" s="5">
        <v>1</v>
      </c>
      <c r="K173" s="5"/>
      <c r="L173" s="5">
        <v>3</v>
      </c>
      <c r="M173" s="5">
        <v>289.2</v>
      </c>
      <c r="N173" s="5">
        <v>311.39999999999998</v>
      </c>
      <c r="O173" s="116">
        <v>9.170000000000357</v>
      </c>
      <c r="P173" s="115">
        <v>1.7339999999999804</v>
      </c>
      <c r="Q173" s="115">
        <v>1.8340000000000032</v>
      </c>
      <c r="R173" s="115">
        <v>12.738000000000341</v>
      </c>
      <c r="S173" s="4">
        <f t="shared" si="18"/>
        <v>1.0073209529227598</v>
      </c>
      <c r="T173" s="4">
        <f t="shared" si="19"/>
        <v>0.43679851023180039</v>
      </c>
      <c r="U173" s="4">
        <f t="shared" si="20"/>
        <v>0.45239984591144211</v>
      </c>
      <c r="V173" s="4">
        <f t="shared" si="21"/>
        <v>1.1379235120404256</v>
      </c>
      <c r="W173" s="116">
        <v>62</v>
      </c>
      <c r="X173" s="115">
        <v>16</v>
      </c>
      <c r="Y173" s="115">
        <v>5</v>
      </c>
      <c r="Z173" s="5">
        <f>X173-Y173</f>
        <v>11</v>
      </c>
    </row>
    <row r="174" spans="1:26">
      <c r="A174" s="4">
        <v>15</v>
      </c>
      <c r="B174" s="4" t="s">
        <v>151</v>
      </c>
      <c r="C174" s="4" t="s">
        <v>154</v>
      </c>
      <c r="D174" s="5">
        <v>5</v>
      </c>
      <c r="E174" s="5">
        <v>8</v>
      </c>
      <c r="F174" s="4">
        <f t="shared" si="16"/>
        <v>48.699999999999989</v>
      </c>
      <c r="G174" s="4">
        <f t="shared" si="17"/>
        <v>1.6963563887333319</v>
      </c>
      <c r="H174" s="5">
        <v>1</v>
      </c>
      <c r="I174" s="5">
        <v>7</v>
      </c>
      <c r="J174" s="5">
        <v>1</v>
      </c>
      <c r="K174" s="5"/>
      <c r="L174" s="5">
        <v>9</v>
      </c>
      <c r="M174" s="5">
        <v>415</v>
      </c>
      <c r="N174" s="5">
        <v>463.7</v>
      </c>
      <c r="O174" s="116">
        <v>15.77800000000002</v>
      </c>
      <c r="P174" s="115">
        <v>5.5119999999999436</v>
      </c>
      <c r="Q174" s="115">
        <v>9.8970000000001619</v>
      </c>
      <c r="R174" s="115">
        <v>31.187000000000126</v>
      </c>
      <c r="S174" s="4">
        <f t="shared" si="18"/>
        <v>1.2247401900605446</v>
      </c>
      <c r="T174" s="4">
        <f t="shared" si="19"/>
        <v>0.81371439188114103</v>
      </c>
      <c r="U174" s="4">
        <f t="shared" si="20"/>
        <v>1.0373069508970978</v>
      </c>
      <c r="V174" s="4">
        <f t="shared" si="21"/>
        <v>1.5076805000108198</v>
      </c>
      <c r="W174" s="116">
        <v>132</v>
      </c>
      <c r="X174" s="115">
        <v>20</v>
      </c>
      <c r="Y174" s="115">
        <v>10</v>
      </c>
      <c r="Z174" s="5">
        <f t="shared" ref="Z174:Z200" si="23">X174-Y174</f>
        <v>10</v>
      </c>
    </row>
    <row r="175" spans="1:26">
      <c r="A175" s="4">
        <v>15</v>
      </c>
      <c r="B175" s="4" t="s">
        <v>151</v>
      </c>
      <c r="C175" s="4" t="s">
        <v>149</v>
      </c>
      <c r="D175" s="5">
        <v>6</v>
      </c>
      <c r="E175" s="5">
        <v>2</v>
      </c>
      <c r="F175" s="4">
        <f t="shared" si="16"/>
        <v>11.799999999999997</v>
      </c>
      <c r="G175" s="4">
        <f t="shared" si="17"/>
        <v>1.1072099696478683</v>
      </c>
      <c r="H175" s="5">
        <v>1</v>
      </c>
      <c r="I175" s="5">
        <v>7</v>
      </c>
      <c r="J175" s="5">
        <v>0</v>
      </c>
      <c r="K175" s="5"/>
      <c r="L175" s="5">
        <v>2</v>
      </c>
      <c r="M175" s="5">
        <v>95.9</v>
      </c>
      <c r="N175" s="5">
        <v>107.7</v>
      </c>
      <c r="O175" s="116">
        <v>6.1969999999999885</v>
      </c>
      <c r="P175" s="115">
        <v>0.45000000000000284</v>
      </c>
      <c r="Q175" s="115">
        <v>0.49899999999998101</v>
      </c>
      <c r="R175" s="115">
        <v>7.1459999999999724</v>
      </c>
      <c r="S175" s="4">
        <f t="shared" si="18"/>
        <v>0.85715150268749241</v>
      </c>
      <c r="T175" s="4">
        <f t="shared" si="19"/>
        <v>0.16136800223497574</v>
      </c>
      <c r="U175" s="4">
        <f t="shared" si="20"/>
        <v>0.17580163284827396</v>
      </c>
      <c r="V175" s="4">
        <f t="shared" si="21"/>
        <v>0.91094440574997737</v>
      </c>
      <c r="W175" s="116">
        <v>32</v>
      </c>
      <c r="X175" s="115">
        <v>5</v>
      </c>
      <c r="Y175" s="115">
        <v>4</v>
      </c>
      <c r="Z175" s="5">
        <f t="shared" si="23"/>
        <v>1</v>
      </c>
    </row>
    <row r="176" spans="1:26">
      <c r="A176" s="4">
        <v>15</v>
      </c>
      <c r="B176" s="4" t="s">
        <v>152</v>
      </c>
      <c r="C176" s="4" t="s">
        <v>154</v>
      </c>
      <c r="D176" s="5">
        <v>7</v>
      </c>
      <c r="E176" s="5">
        <v>7</v>
      </c>
      <c r="F176" s="4">
        <f t="shared" si="16"/>
        <v>30</v>
      </c>
      <c r="G176" s="4">
        <f t="shared" si="17"/>
        <v>1.4913616938342726</v>
      </c>
      <c r="H176" s="5">
        <v>1</v>
      </c>
      <c r="I176" s="5">
        <v>7</v>
      </c>
      <c r="J176" s="5">
        <v>1</v>
      </c>
      <c r="K176" s="5"/>
      <c r="L176" s="5">
        <v>3</v>
      </c>
      <c r="M176" s="5">
        <v>335.2</v>
      </c>
      <c r="N176" s="5">
        <v>365.2</v>
      </c>
      <c r="O176" s="116">
        <v>10.998999999999967</v>
      </c>
      <c r="P176" s="115">
        <v>4.3669999999999618</v>
      </c>
      <c r="Q176" s="115">
        <v>5.6859999999998081</v>
      </c>
      <c r="R176" s="115">
        <v>21.051999999999737</v>
      </c>
      <c r="S176" s="4">
        <f t="shared" si="18"/>
        <v>1.0791450533327476</v>
      </c>
      <c r="T176" s="4">
        <f t="shared" si="19"/>
        <v>0.72973159528703235</v>
      </c>
      <c r="U176" s="4">
        <f t="shared" si="20"/>
        <v>0.82516637225653722</v>
      </c>
      <c r="V176" s="4">
        <f t="shared" si="21"/>
        <v>1.3434479838072262</v>
      </c>
      <c r="W176" s="116">
        <v>77</v>
      </c>
      <c r="X176" s="115">
        <v>23</v>
      </c>
      <c r="Y176" s="115">
        <v>8</v>
      </c>
      <c r="Z176" s="5">
        <f t="shared" si="23"/>
        <v>15</v>
      </c>
    </row>
    <row r="177" spans="1:26">
      <c r="A177" s="4">
        <v>15</v>
      </c>
      <c r="B177" s="4" t="s">
        <v>152</v>
      </c>
      <c r="C177" s="4" t="s">
        <v>150</v>
      </c>
      <c r="D177" s="5">
        <v>8</v>
      </c>
      <c r="E177" s="5">
        <v>11</v>
      </c>
      <c r="F177" s="4">
        <f t="shared" si="16"/>
        <v>12.300000000000068</v>
      </c>
      <c r="G177" s="4">
        <f t="shared" si="17"/>
        <v>1.123851640967088</v>
      </c>
      <c r="H177" s="5">
        <v>1</v>
      </c>
      <c r="I177" s="5">
        <v>6</v>
      </c>
      <c r="J177" s="5">
        <v>0</v>
      </c>
      <c r="K177" s="5"/>
      <c r="L177" s="5">
        <v>2</v>
      </c>
      <c r="M177" s="5">
        <v>661.4</v>
      </c>
      <c r="N177" s="5">
        <v>673.7</v>
      </c>
      <c r="O177" s="116">
        <v>5.5490000000002055</v>
      </c>
      <c r="P177" s="115">
        <v>1.4660000000000082</v>
      </c>
      <c r="Q177" s="115">
        <v>0.31699999999989359</v>
      </c>
      <c r="R177" s="115">
        <v>7.3320000000001073</v>
      </c>
      <c r="S177" s="4">
        <f t="shared" si="18"/>
        <v>0.81617499042881525</v>
      </c>
      <c r="T177" s="4">
        <f t="shared" si="19"/>
        <v>0.3919930722597143</v>
      </c>
      <c r="U177" s="4">
        <f t="shared" si="20"/>
        <v>0.11958577496174871</v>
      </c>
      <c r="V177" s="4">
        <f t="shared" si="21"/>
        <v>0.92074926127571388</v>
      </c>
      <c r="W177" s="116">
        <v>36</v>
      </c>
      <c r="X177" s="115">
        <v>6</v>
      </c>
      <c r="Y177" s="115">
        <v>2</v>
      </c>
      <c r="Z177" s="5">
        <f t="shared" si="23"/>
        <v>4</v>
      </c>
    </row>
    <row r="178" spans="1:26">
      <c r="A178" s="4">
        <v>15</v>
      </c>
      <c r="B178" s="4" t="s">
        <v>152</v>
      </c>
      <c r="C178" s="4" t="s">
        <v>149</v>
      </c>
      <c r="D178" s="5">
        <v>9</v>
      </c>
      <c r="E178" s="5">
        <v>3</v>
      </c>
      <c r="F178" s="4">
        <f t="shared" si="16"/>
        <v>15</v>
      </c>
      <c r="G178" s="4">
        <f t="shared" si="17"/>
        <v>1.2041199826559248</v>
      </c>
      <c r="H178" s="5">
        <v>1</v>
      </c>
      <c r="I178" s="5">
        <v>7</v>
      </c>
      <c r="J178" s="5">
        <v>1</v>
      </c>
      <c r="K178" s="5"/>
      <c r="L178" s="5">
        <v>4</v>
      </c>
      <c r="M178" s="5">
        <v>153.6</v>
      </c>
      <c r="N178" s="5">
        <v>168.6</v>
      </c>
      <c r="O178" s="116">
        <v>4.7160000000000366</v>
      </c>
      <c r="P178" s="115">
        <v>1.1510000000000389</v>
      </c>
      <c r="Q178" s="115">
        <v>3.482000000000113</v>
      </c>
      <c r="R178" s="115">
        <v>9.3490000000001885</v>
      </c>
      <c r="S178" s="4">
        <f t="shared" si="18"/>
        <v>0.7570922201189354</v>
      </c>
      <c r="T178" s="4">
        <f t="shared" si="19"/>
        <v>0.33264041038747039</v>
      </c>
      <c r="U178" s="4">
        <f t="shared" si="20"/>
        <v>0.65147185219905335</v>
      </c>
      <c r="V178" s="4">
        <f t="shared" si="21"/>
        <v>1.0148983869462136</v>
      </c>
      <c r="W178" s="116">
        <v>41</v>
      </c>
      <c r="X178" s="115">
        <v>11</v>
      </c>
      <c r="Y178" s="115">
        <v>4</v>
      </c>
      <c r="Z178" s="5">
        <f t="shared" si="23"/>
        <v>7</v>
      </c>
    </row>
    <row r="179" spans="1:26" s="72" customFormat="1">
      <c r="A179" s="4">
        <v>15</v>
      </c>
      <c r="B179" s="4" t="s">
        <v>152</v>
      </c>
      <c r="C179" s="4" t="s">
        <v>154</v>
      </c>
      <c r="D179" s="5">
        <v>10</v>
      </c>
      <c r="E179" s="5">
        <v>5</v>
      </c>
      <c r="F179" s="4">
        <f t="shared" si="16"/>
        <v>23.699999999999989</v>
      </c>
      <c r="G179" s="4">
        <f t="shared" si="17"/>
        <v>1.3926969532596656</v>
      </c>
      <c r="H179" s="5">
        <v>1</v>
      </c>
      <c r="I179" s="5">
        <v>7</v>
      </c>
      <c r="J179" s="5">
        <v>0</v>
      </c>
      <c r="K179" s="5"/>
      <c r="L179" s="5">
        <v>1</v>
      </c>
      <c r="M179" s="5">
        <v>236.3</v>
      </c>
      <c r="N179" s="5">
        <v>260</v>
      </c>
      <c r="O179" s="116">
        <v>7.7860000000001719</v>
      </c>
      <c r="P179" s="115">
        <v>4.7810000000000059</v>
      </c>
      <c r="Q179" s="115">
        <v>1.0670000000000641</v>
      </c>
      <c r="R179" s="115">
        <v>13.634000000000242</v>
      </c>
      <c r="S179" s="4">
        <f t="shared" si="18"/>
        <v>0.94379119892931007</v>
      </c>
      <c r="T179" s="4">
        <f t="shared" si="19"/>
        <v>0.7620029693751158</v>
      </c>
      <c r="U179" s="4">
        <f t="shared" si="20"/>
        <v>0.31534047662730175</v>
      </c>
      <c r="V179" s="4">
        <f t="shared" si="21"/>
        <v>1.1653630506973813</v>
      </c>
      <c r="W179" s="116">
        <v>68</v>
      </c>
      <c r="X179" s="115">
        <v>20</v>
      </c>
      <c r="Y179" s="115">
        <v>4</v>
      </c>
      <c r="Z179" s="5">
        <f t="shared" si="23"/>
        <v>16</v>
      </c>
    </row>
    <row r="180" spans="1:26">
      <c r="A180" s="4">
        <v>15</v>
      </c>
      <c r="B180" s="4" t="s">
        <v>152</v>
      </c>
      <c r="C180" s="4" t="s">
        <v>150</v>
      </c>
      <c r="D180" s="5">
        <v>11</v>
      </c>
      <c r="E180" s="5">
        <v>9</v>
      </c>
      <c r="F180" s="4">
        <f t="shared" si="16"/>
        <v>8.6000000000000227</v>
      </c>
      <c r="G180" s="4">
        <f t="shared" si="17"/>
        <v>0.98227123303956942</v>
      </c>
      <c r="H180" s="5">
        <v>1</v>
      </c>
      <c r="I180" s="5">
        <v>7</v>
      </c>
      <c r="J180" s="5">
        <v>0</v>
      </c>
      <c r="K180" s="5"/>
      <c r="L180" s="5">
        <v>3</v>
      </c>
      <c r="M180" s="5">
        <v>498.9</v>
      </c>
      <c r="N180" s="5">
        <v>507.5</v>
      </c>
      <c r="O180" s="116">
        <v>3.7349999999999</v>
      </c>
      <c r="P180" s="115"/>
      <c r="Q180" s="115">
        <v>2.25</v>
      </c>
      <c r="R180" s="115">
        <v>5.9849999999999</v>
      </c>
      <c r="S180" s="4">
        <f t="shared" si="18"/>
        <v>0.675319983339283</v>
      </c>
      <c r="T180" s="4">
        <f t="shared" si="19"/>
        <v>0</v>
      </c>
      <c r="U180" s="4">
        <f t="shared" si="20"/>
        <v>0.51188336097887432</v>
      </c>
      <c r="V180" s="4">
        <f t="shared" si="21"/>
        <v>0.84416641045019447</v>
      </c>
      <c r="W180" s="116">
        <v>22</v>
      </c>
      <c r="X180" s="115">
        <v>5</v>
      </c>
      <c r="Y180" s="115">
        <v>3</v>
      </c>
      <c r="Z180" s="5">
        <f t="shared" si="23"/>
        <v>2</v>
      </c>
    </row>
    <row r="181" spans="1:26">
      <c r="A181" s="4">
        <v>15</v>
      </c>
      <c r="B181" s="4" t="s">
        <v>152</v>
      </c>
      <c r="C181" s="4" t="s">
        <v>149</v>
      </c>
      <c r="D181" s="5">
        <v>12</v>
      </c>
      <c r="E181" s="5">
        <v>1</v>
      </c>
      <c r="F181" s="4">
        <f t="shared" si="16"/>
        <v>7.6000000000000085</v>
      </c>
      <c r="G181" s="4">
        <f t="shared" si="17"/>
        <v>0.93449845124356812</v>
      </c>
      <c r="H181" s="5">
        <v>1</v>
      </c>
      <c r="I181" s="5">
        <v>7</v>
      </c>
      <c r="J181" s="5">
        <v>0</v>
      </c>
      <c r="K181" s="5"/>
      <c r="L181" s="5">
        <v>3</v>
      </c>
      <c r="M181" s="5">
        <v>62.8</v>
      </c>
      <c r="N181" s="5">
        <v>70.400000000000006</v>
      </c>
      <c r="O181" s="116">
        <v>4.5510000000000161</v>
      </c>
      <c r="P181" s="115">
        <v>0.44999999999998863</v>
      </c>
      <c r="Q181" s="115">
        <v>0.83299999999999841</v>
      </c>
      <c r="R181" s="115">
        <v>5.8340000000000032</v>
      </c>
      <c r="S181" s="4">
        <f t="shared" si="18"/>
        <v>0.7443712273318619</v>
      </c>
      <c r="T181" s="4">
        <f t="shared" si="19"/>
        <v>0.1613680022349715</v>
      </c>
      <c r="U181" s="4">
        <f t="shared" si="20"/>
        <v>0.26316246496221629</v>
      </c>
      <c r="V181" s="4">
        <f t="shared" si="21"/>
        <v>0.83467497446274419</v>
      </c>
      <c r="W181" s="116">
        <v>22</v>
      </c>
      <c r="X181" s="115">
        <v>3</v>
      </c>
      <c r="Y181" s="115">
        <v>3</v>
      </c>
      <c r="Z181" s="5">
        <f t="shared" si="23"/>
        <v>0</v>
      </c>
    </row>
    <row r="182" spans="1:26">
      <c r="A182" s="4">
        <v>16</v>
      </c>
      <c r="B182" s="4" t="s">
        <v>151</v>
      </c>
      <c r="C182" s="4" t="s">
        <v>154</v>
      </c>
      <c r="D182" s="5">
        <v>1</v>
      </c>
      <c r="E182" s="5">
        <v>10</v>
      </c>
      <c r="F182" s="4">
        <f t="shared" si="16"/>
        <v>16.099999999999966</v>
      </c>
      <c r="G182" s="4">
        <f t="shared" si="17"/>
        <v>1.232996110392153</v>
      </c>
      <c r="H182" s="5">
        <v>1</v>
      </c>
      <c r="I182" s="5">
        <v>2</v>
      </c>
      <c r="J182" s="5">
        <v>0</v>
      </c>
      <c r="K182" s="5"/>
      <c r="L182" s="5">
        <v>1</v>
      </c>
      <c r="M182" s="5">
        <v>463.8</v>
      </c>
      <c r="N182" s="5">
        <v>479.9</v>
      </c>
      <c r="O182" s="116">
        <v>1.1489999999999441</v>
      </c>
      <c r="P182" s="115">
        <v>0.50099999999997635</v>
      </c>
      <c r="Q182" s="115">
        <v>0.75</v>
      </c>
      <c r="R182" s="115">
        <v>2.3999999999999204</v>
      </c>
      <c r="S182" s="4">
        <f t="shared" si="18"/>
        <v>0.33223641549143201</v>
      </c>
      <c r="T182" s="4">
        <f t="shared" si="19"/>
        <v>0.17638069224326355</v>
      </c>
      <c r="U182" s="4">
        <f t="shared" si="20"/>
        <v>0.24303804868629444</v>
      </c>
      <c r="V182" s="4">
        <f t="shared" si="21"/>
        <v>0.53147891704224492</v>
      </c>
      <c r="W182" s="116">
        <v>17</v>
      </c>
      <c r="X182" s="115">
        <v>6</v>
      </c>
      <c r="Y182" s="115">
        <v>4</v>
      </c>
      <c r="Z182" s="5">
        <f t="shared" si="23"/>
        <v>2</v>
      </c>
    </row>
    <row r="183" spans="1:26">
      <c r="A183" s="4">
        <v>16</v>
      </c>
      <c r="B183" s="4" t="s">
        <v>151</v>
      </c>
      <c r="C183" s="4" t="s">
        <v>154</v>
      </c>
      <c r="D183" s="5">
        <v>2</v>
      </c>
      <c r="E183" s="5">
        <v>12</v>
      </c>
      <c r="F183" s="4">
        <f t="shared" si="16"/>
        <v>19.700000000000045</v>
      </c>
      <c r="G183" s="4">
        <f t="shared" si="17"/>
        <v>1.3159703454569187</v>
      </c>
      <c r="H183" s="5">
        <v>1</v>
      </c>
      <c r="I183" s="5">
        <v>2</v>
      </c>
      <c r="J183" s="5">
        <v>0</v>
      </c>
      <c r="K183" s="5"/>
      <c r="L183" s="5">
        <v>2</v>
      </c>
      <c r="M183" s="5">
        <v>542.79999999999995</v>
      </c>
      <c r="N183" s="5">
        <v>562.5</v>
      </c>
      <c r="O183" s="116">
        <v>0.56600000000003092</v>
      </c>
      <c r="P183" s="115">
        <v>0.50000000000011369</v>
      </c>
      <c r="Q183" s="115">
        <v>1.2340000000000373</v>
      </c>
      <c r="R183" s="115">
        <v>2.3000000000001819</v>
      </c>
      <c r="S183" s="4">
        <f t="shared" si="18"/>
        <v>0.19479175772193316</v>
      </c>
      <c r="T183" s="4">
        <f t="shared" si="19"/>
        <v>0.17609125905571416</v>
      </c>
      <c r="U183" s="4">
        <f t="shared" si="20"/>
        <v>0.3490831687795975</v>
      </c>
      <c r="V183" s="4">
        <f t="shared" si="21"/>
        <v>0.51851393987791139</v>
      </c>
      <c r="W183" s="116">
        <v>17</v>
      </c>
      <c r="X183" s="115">
        <v>6</v>
      </c>
      <c r="Y183" s="115">
        <v>4</v>
      </c>
      <c r="Z183" s="5">
        <f t="shared" si="23"/>
        <v>2</v>
      </c>
    </row>
    <row r="184" spans="1:26">
      <c r="A184" s="4">
        <v>16</v>
      </c>
      <c r="B184" s="4" t="s">
        <v>151</v>
      </c>
      <c r="C184" s="4" t="s">
        <v>149</v>
      </c>
      <c r="D184" s="5">
        <v>3</v>
      </c>
      <c r="E184" s="5">
        <v>4</v>
      </c>
      <c r="F184" s="4">
        <f t="shared" si="16"/>
        <v>13.599999999999994</v>
      </c>
      <c r="G184" s="4">
        <f t="shared" si="17"/>
        <v>1.1643528557844369</v>
      </c>
      <c r="H184" s="5">
        <v>1</v>
      </c>
      <c r="I184" s="5">
        <v>5</v>
      </c>
      <c r="J184" s="5">
        <v>0</v>
      </c>
      <c r="K184" s="5"/>
      <c r="L184" s="5">
        <v>2</v>
      </c>
      <c r="M184" s="5">
        <v>191.3</v>
      </c>
      <c r="N184" s="5">
        <v>204.9</v>
      </c>
      <c r="O184" s="116">
        <v>1.3499999999999943</v>
      </c>
      <c r="P184" s="115">
        <v>0.632000000000005</v>
      </c>
      <c r="Q184" s="115">
        <v>1.382000000000005</v>
      </c>
      <c r="R184" s="115">
        <v>3.3640000000000043</v>
      </c>
      <c r="S184" s="4">
        <f t="shared" si="18"/>
        <v>0.37106786227173522</v>
      </c>
      <c r="T184" s="4">
        <f t="shared" si="19"/>
        <v>0.21272015441784367</v>
      </c>
      <c r="U184" s="4">
        <f t="shared" si="20"/>
        <v>0.37694175714675959</v>
      </c>
      <c r="V184" s="4">
        <f t="shared" si="21"/>
        <v>0.63988474191630473</v>
      </c>
      <c r="W184" s="116">
        <v>24</v>
      </c>
      <c r="X184" s="115">
        <v>7</v>
      </c>
      <c r="Y184" s="115">
        <v>4</v>
      </c>
      <c r="Z184" s="5">
        <f t="shared" si="23"/>
        <v>3</v>
      </c>
    </row>
    <row r="185" spans="1:26">
      <c r="A185" s="4">
        <v>16</v>
      </c>
      <c r="B185" s="4" t="s">
        <v>151</v>
      </c>
      <c r="C185" s="4" t="s">
        <v>150</v>
      </c>
      <c r="D185" s="5">
        <v>4</v>
      </c>
      <c r="E185" s="5">
        <v>8</v>
      </c>
      <c r="F185" s="4">
        <f t="shared" si="16"/>
        <v>18.699999999999989</v>
      </c>
      <c r="G185" s="4">
        <f t="shared" si="17"/>
        <v>1.2944662261615927</v>
      </c>
      <c r="H185" s="5">
        <v>1</v>
      </c>
      <c r="I185" s="5">
        <v>5</v>
      </c>
      <c r="J185" s="5">
        <v>1</v>
      </c>
      <c r="K185" s="5"/>
      <c r="L185" s="5">
        <v>3</v>
      </c>
      <c r="M185" s="5">
        <v>384.8</v>
      </c>
      <c r="N185" s="5">
        <v>403.5</v>
      </c>
      <c r="O185" s="116">
        <v>0.31600000000003092</v>
      </c>
      <c r="P185" s="115">
        <v>0.25000000000005684</v>
      </c>
      <c r="Q185" s="115">
        <v>0.98399999999998045</v>
      </c>
      <c r="R185" s="115">
        <v>1.5500000000000682</v>
      </c>
      <c r="S185" s="4">
        <f t="shared" si="18"/>
        <v>0.11925588927794689</v>
      </c>
      <c r="T185" s="4">
        <f t="shared" si="19"/>
        <v>9.6910013008076168E-2</v>
      </c>
      <c r="U185" s="4">
        <f t="shared" si="20"/>
        <v>0.29754166781815555</v>
      </c>
      <c r="V185" s="4">
        <f t="shared" si="21"/>
        <v>0.40654018043396678</v>
      </c>
      <c r="W185" s="116">
        <v>13</v>
      </c>
      <c r="X185" s="115">
        <v>4</v>
      </c>
      <c r="Y185" s="115">
        <v>2</v>
      </c>
      <c r="Z185" s="5">
        <f t="shared" si="23"/>
        <v>2</v>
      </c>
    </row>
    <row r="186" spans="1:26">
      <c r="A186" s="4">
        <v>16</v>
      </c>
      <c r="B186" s="4" t="s">
        <v>151</v>
      </c>
      <c r="C186" s="4" t="s">
        <v>149</v>
      </c>
      <c r="D186" s="5">
        <v>5</v>
      </c>
      <c r="E186" s="5">
        <v>2</v>
      </c>
      <c r="F186" s="4">
        <f t="shared" si="16"/>
        <v>21.5</v>
      </c>
      <c r="G186" s="4">
        <f t="shared" si="17"/>
        <v>1.3521825181113625</v>
      </c>
      <c r="H186" s="5">
        <v>1</v>
      </c>
      <c r="I186" s="5">
        <v>6</v>
      </c>
      <c r="J186" s="5">
        <v>0</v>
      </c>
      <c r="K186" s="5"/>
      <c r="L186" s="5">
        <v>2</v>
      </c>
      <c r="M186" s="5">
        <v>106.1</v>
      </c>
      <c r="N186" s="5">
        <v>127.6</v>
      </c>
      <c r="O186" s="116">
        <v>0.96799999999998931</v>
      </c>
      <c r="P186" s="115">
        <v>1.1499999999999915</v>
      </c>
      <c r="Q186" s="115">
        <v>2.4490000000000265</v>
      </c>
      <c r="R186" s="115">
        <v>4.5670000000000073</v>
      </c>
      <c r="S186" s="4">
        <f t="shared" si="18"/>
        <v>0.29402509409532035</v>
      </c>
      <c r="T186" s="4">
        <f t="shared" si="19"/>
        <v>0.33243845991560361</v>
      </c>
      <c r="U186" s="4">
        <f t="shared" si="20"/>
        <v>0.53769319436739405</v>
      </c>
      <c r="V186" s="4">
        <f t="shared" si="21"/>
        <v>0.74562122130693897</v>
      </c>
      <c r="W186" s="116">
        <v>23</v>
      </c>
      <c r="X186" s="115">
        <v>9</v>
      </c>
      <c r="Y186" s="115">
        <v>3</v>
      </c>
      <c r="Z186" s="5">
        <f t="shared" si="23"/>
        <v>6</v>
      </c>
    </row>
    <row r="187" spans="1:26">
      <c r="A187" s="4">
        <v>16</v>
      </c>
      <c r="B187" s="4" t="s">
        <v>151</v>
      </c>
      <c r="C187" s="4" t="s">
        <v>150</v>
      </c>
      <c r="D187" s="5">
        <v>6</v>
      </c>
      <c r="E187" s="5">
        <v>6</v>
      </c>
      <c r="F187" s="4">
        <f t="shared" si="16"/>
        <v>10.399999999999977</v>
      </c>
      <c r="G187" s="4">
        <f t="shared" si="17"/>
        <v>1.0569048513364718</v>
      </c>
      <c r="H187" s="5">
        <v>1</v>
      </c>
      <c r="I187" s="5">
        <v>4</v>
      </c>
      <c r="J187" s="5">
        <v>0</v>
      </c>
      <c r="K187" s="5"/>
      <c r="L187" s="5">
        <v>1</v>
      </c>
      <c r="M187" s="5">
        <v>282.10000000000002</v>
      </c>
      <c r="N187" s="5">
        <v>292.5</v>
      </c>
      <c r="O187" s="116">
        <v>0.18299999999999272</v>
      </c>
      <c r="P187" s="115">
        <v>0.83400000000006003</v>
      </c>
      <c r="Q187" s="115">
        <v>1.0999999999999659</v>
      </c>
      <c r="R187" s="115">
        <v>2.1170000000000186</v>
      </c>
      <c r="S187" s="4">
        <f t="shared" si="18"/>
        <v>7.29847446279277E-2</v>
      </c>
      <c r="T187" s="4">
        <f t="shared" si="19"/>
        <v>0.2633993313340165</v>
      </c>
      <c r="U187" s="4">
        <f t="shared" si="20"/>
        <v>0.3222192947339122</v>
      </c>
      <c r="V187" s="4">
        <f t="shared" si="21"/>
        <v>0.49373680227684247</v>
      </c>
      <c r="W187" s="116">
        <v>14</v>
      </c>
      <c r="X187" s="115">
        <v>3</v>
      </c>
      <c r="Y187" s="115">
        <v>2</v>
      </c>
      <c r="Z187" s="5">
        <f t="shared" si="23"/>
        <v>1</v>
      </c>
    </row>
    <row r="188" spans="1:26">
      <c r="A188" s="4">
        <v>16</v>
      </c>
      <c r="B188" s="4" t="s">
        <v>152</v>
      </c>
      <c r="C188" s="4" t="s">
        <v>154</v>
      </c>
      <c r="D188" s="5">
        <v>7</v>
      </c>
      <c r="E188" s="5">
        <v>9</v>
      </c>
      <c r="F188" s="4">
        <f t="shared" si="16"/>
        <v>10.300000000000011</v>
      </c>
      <c r="G188" s="4">
        <f t="shared" si="17"/>
        <v>1.0530784434834202</v>
      </c>
      <c r="H188" s="5">
        <v>1</v>
      </c>
      <c r="I188" s="5">
        <v>6</v>
      </c>
      <c r="J188" s="5">
        <v>0</v>
      </c>
      <c r="K188" s="5" t="s">
        <v>216</v>
      </c>
      <c r="L188" s="5">
        <v>1</v>
      </c>
      <c r="M188" s="5">
        <v>432.2</v>
      </c>
      <c r="N188" s="5">
        <v>442.5</v>
      </c>
      <c r="O188" s="116">
        <v>0.80000000000006821</v>
      </c>
      <c r="P188" s="115"/>
      <c r="Q188" s="115">
        <v>0.41599999999999682</v>
      </c>
      <c r="R188" s="115">
        <v>1.216000000000065</v>
      </c>
      <c r="S188" s="4">
        <f t="shared" si="18"/>
        <v>0.2552725051033225</v>
      </c>
      <c r="T188" s="4">
        <f t="shared" si="19"/>
        <v>0</v>
      </c>
      <c r="U188" s="4">
        <f t="shared" si="20"/>
        <v>0.15106325335374923</v>
      </c>
      <c r="V188" s="4">
        <f t="shared" si="21"/>
        <v>0.34556975605640489</v>
      </c>
      <c r="W188" s="116">
        <v>8</v>
      </c>
      <c r="X188" s="115">
        <v>8</v>
      </c>
      <c r="Y188" s="115">
        <v>5</v>
      </c>
      <c r="Z188" s="5">
        <f t="shared" si="23"/>
        <v>3</v>
      </c>
    </row>
    <row r="189" spans="1:26">
      <c r="A189" s="4">
        <v>16</v>
      </c>
      <c r="B189" s="4" t="s">
        <v>152</v>
      </c>
      <c r="C189" s="4" t="s">
        <v>149</v>
      </c>
      <c r="D189" s="5">
        <v>8</v>
      </c>
      <c r="E189" s="5">
        <v>3</v>
      </c>
      <c r="F189" s="4">
        <f t="shared" si="16"/>
        <v>6.5999999999999943</v>
      </c>
      <c r="G189" s="4">
        <f t="shared" si="17"/>
        <v>0.88081359228079104</v>
      </c>
      <c r="H189" s="5">
        <v>1</v>
      </c>
      <c r="I189" s="5">
        <v>5</v>
      </c>
      <c r="J189" s="5">
        <v>0</v>
      </c>
      <c r="K189" s="5"/>
      <c r="L189" s="5">
        <v>1</v>
      </c>
      <c r="M189" s="5">
        <v>153.5</v>
      </c>
      <c r="N189" s="5">
        <v>160.1</v>
      </c>
      <c r="O189" s="116"/>
      <c r="P189" s="115"/>
      <c r="Q189" s="115">
        <v>0.3160000000000025</v>
      </c>
      <c r="R189" s="115">
        <v>0.3160000000000025</v>
      </c>
      <c r="S189" s="4">
        <f t="shared" si="18"/>
        <v>0</v>
      </c>
      <c r="T189" s="4">
        <f t="shared" si="19"/>
        <v>0</v>
      </c>
      <c r="U189" s="4">
        <f t="shared" si="20"/>
        <v>0.11925588927793751</v>
      </c>
      <c r="V189" s="4">
        <f t="shared" si="21"/>
        <v>0.11925588927793751</v>
      </c>
      <c r="W189" s="116">
        <v>1</v>
      </c>
      <c r="X189" s="115">
        <v>1</v>
      </c>
      <c r="Y189" s="115">
        <v>1</v>
      </c>
      <c r="Z189" s="5">
        <f t="shared" si="23"/>
        <v>0</v>
      </c>
    </row>
    <row r="190" spans="1:26">
      <c r="A190" s="4">
        <v>16</v>
      </c>
      <c r="B190" s="4" t="s">
        <v>152</v>
      </c>
      <c r="C190" s="4" t="s">
        <v>150</v>
      </c>
      <c r="D190" s="5">
        <v>9</v>
      </c>
      <c r="E190" s="5">
        <v>7</v>
      </c>
      <c r="F190" s="4">
        <f t="shared" si="16"/>
        <v>10.800000000000011</v>
      </c>
      <c r="G190" s="4">
        <f t="shared" si="17"/>
        <v>1.0718820073061257</v>
      </c>
      <c r="H190" s="5">
        <v>1</v>
      </c>
      <c r="I190" s="5">
        <v>2</v>
      </c>
      <c r="J190" s="5">
        <v>0</v>
      </c>
      <c r="K190" s="5"/>
      <c r="L190" s="5">
        <v>2</v>
      </c>
      <c r="M190" s="5">
        <v>332.7</v>
      </c>
      <c r="N190" s="5">
        <v>343.5</v>
      </c>
      <c r="O190" s="116">
        <v>0.21699999999998454</v>
      </c>
      <c r="P190" s="115">
        <v>1.4000000000000909</v>
      </c>
      <c r="Q190" s="115">
        <v>1.5499999999999545</v>
      </c>
      <c r="R190" s="115">
        <v>3.16700000000003</v>
      </c>
      <c r="S190" s="4">
        <f t="shared" si="18"/>
        <v>8.5290578230059477E-2</v>
      </c>
      <c r="T190" s="4">
        <f t="shared" si="19"/>
        <v>0.38021124171162246</v>
      </c>
      <c r="U190" s="4">
        <f t="shared" si="20"/>
        <v>0.40654018043394741</v>
      </c>
      <c r="V190" s="4">
        <f t="shared" si="21"/>
        <v>0.61982350045728118</v>
      </c>
      <c r="W190" s="116">
        <v>19</v>
      </c>
      <c r="X190" s="115">
        <v>4</v>
      </c>
      <c r="Y190" s="115">
        <v>2</v>
      </c>
      <c r="Z190" s="5">
        <f t="shared" si="23"/>
        <v>2</v>
      </c>
    </row>
    <row r="191" spans="1:26">
      <c r="A191" s="4">
        <v>16</v>
      </c>
      <c r="B191" s="4" t="s">
        <v>152</v>
      </c>
      <c r="C191" s="4" t="s">
        <v>154</v>
      </c>
      <c r="D191" s="5">
        <v>10</v>
      </c>
      <c r="E191" s="5">
        <v>11</v>
      </c>
      <c r="F191" s="4">
        <f t="shared" si="16"/>
        <v>4.4000000000000909</v>
      </c>
      <c r="G191" s="4">
        <f t="shared" si="17"/>
        <v>0.73239375982297583</v>
      </c>
      <c r="H191" s="5">
        <v>1</v>
      </c>
      <c r="I191" s="5">
        <v>6</v>
      </c>
      <c r="J191" s="5">
        <v>0</v>
      </c>
      <c r="K191" s="5"/>
      <c r="L191" s="5">
        <v>1</v>
      </c>
      <c r="M191" s="5">
        <v>517.79999999999995</v>
      </c>
      <c r="N191" s="5">
        <v>522.20000000000005</v>
      </c>
      <c r="O191" s="116"/>
      <c r="P191" s="115">
        <v>0.53299999999990177</v>
      </c>
      <c r="Q191" s="115">
        <v>0.63400000000001455</v>
      </c>
      <c r="R191" s="115">
        <v>1.1669999999999163</v>
      </c>
      <c r="S191" s="4">
        <f t="shared" si="18"/>
        <v>0</v>
      </c>
      <c r="T191" s="4">
        <f t="shared" si="19"/>
        <v>0.18554215485434733</v>
      </c>
      <c r="U191" s="4">
        <f t="shared" si="20"/>
        <v>0.21325205219640056</v>
      </c>
      <c r="V191" s="4">
        <f t="shared" si="21"/>
        <v>0.33585891131980122</v>
      </c>
      <c r="W191" s="116">
        <v>7</v>
      </c>
      <c r="X191" s="115">
        <v>2</v>
      </c>
      <c r="Y191" s="115">
        <v>2</v>
      </c>
      <c r="Z191" s="5">
        <f t="shared" si="23"/>
        <v>0</v>
      </c>
    </row>
    <row r="192" spans="1:26">
      <c r="A192" s="4">
        <v>16</v>
      </c>
      <c r="B192" s="4" t="s">
        <v>152</v>
      </c>
      <c r="C192" s="4" t="s">
        <v>149</v>
      </c>
      <c r="D192" s="5">
        <v>11</v>
      </c>
      <c r="E192" s="5">
        <v>1</v>
      </c>
      <c r="F192" s="4">
        <f t="shared" si="16"/>
        <v>13.999999999999993</v>
      </c>
      <c r="G192" s="4">
        <f t="shared" si="17"/>
        <v>1.1760912590556811</v>
      </c>
      <c r="H192" s="5">
        <v>1</v>
      </c>
      <c r="I192" s="5">
        <v>5</v>
      </c>
      <c r="J192" s="5">
        <v>0</v>
      </c>
      <c r="K192" s="5"/>
      <c r="L192" s="5">
        <v>3</v>
      </c>
      <c r="M192" s="5">
        <v>59.1</v>
      </c>
      <c r="N192" s="5">
        <v>73.099999999999994</v>
      </c>
      <c r="O192" s="116">
        <v>2.3480000000000345</v>
      </c>
      <c r="P192" s="115">
        <v>1.4489999999999981</v>
      </c>
      <c r="Q192" s="115">
        <v>2.9649999999999608</v>
      </c>
      <c r="R192" s="115">
        <v>6.7619999999999933</v>
      </c>
      <c r="S192" s="4">
        <f t="shared" si="18"/>
        <v>0.52478544932122684</v>
      </c>
      <c r="T192" s="4">
        <f t="shared" si="19"/>
        <v>0.38898878512471374</v>
      </c>
      <c r="U192" s="4">
        <f t="shared" si="20"/>
        <v>0.59824319165361828</v>
      </c>
      <c r="V192" s="4">
        <f t="shared" si="21"/>
        <v>0.88997363840399568</v>
      </c>
      <c r="W192" s="116">
        <v>39</v>
      </c>
      <c r="X192" s="115">
        <v>12</v>
      </c>
      <c r="Y192" s="115">
        <v>3</v>
      </c>
      <c r="Z192" s="5">
        <f t="shared" si="23"/>
        <v>9</v>
      </c>
    </row>
    <row r="193" spans="1:26">
      <c r="A193" s="4">
        <v>16</v>
      </c>
      <c r="B193" s="4" t="s">
        <v>152</v>
      </c>
      <c r="C193" s="4" t="s">
        <v>150</v>
      </c>
      <c r="D193" s="5">
        <v>12</v>
      </c>
      <c r="E193" s="5">
        <v>5</v>
      </c>
      <c r="F193" s="4">
        <f t="shared" si="16"/>
        <v>12.600000000000023</v>
      </c>
      <c r="G193" s="4">
        <f t="shared" si="17"/>
        <v>1.1335389083702183</v>
      </c>
      <c r="H193" s="5">
        <v>1</v>
      </c>
      <c r="I193" s="5">
        <v>2</v>
      </c>
      <c r="J193" s="5">
        <v>0</v>
      </c>
      <c r="K193" s="5"/>
      <c r="L193" s="5">
        <v>1</v>
      </c>
      <c r="M193" s="5">
        <v>243.5</v>
      </c>
      <c r="N193" s="5">
        <v>256.10000000000002</v>
      </c>
      <c r="O193" s="116">
        <v>0.60000000000005116</v>
      </c>
      <c r="P193" s="115">
        <v>0.54999999999998295</v>
      </c>
      <c r="Q193" s="115">
        <v>0.38199999999997658</v>
      </c>
      <c r="R193" s="115">
        <v>1.5320000000000107</v>
      </c>
      <c r="S193" s="4">
        <f t="shared" si="18"/>
        <v>0.20411998265593867</v>
      </c>
      <c r="T193" s="4">
        <f t="shared" si="19"/>
        <v>0.1903316981702867</v>
      </c>
      <c r="U193" s="4">
        <f t="shared" si="20"/>
        <v>0.14050804303817224</v>
      </c>
      <c r="V193" s="4">
        <f t="shared" si="21"/>
        <v>0.40346370134531934</v>
      </c>
      <c r="W193" s="116">
        <v>12</v>
      </c>
      <c r="X193" s="115">
        <v>6</v>
      </c>
      <c r="Y193" s="115">
        <v>3</v>
      </c>
      <c r="Z193" s="5">
        <f t="shared" si="23"/>
        <v>3</v>
      </c>
    </row>
    <row r="194" spans="1:26">
      <c r="A194" s="4">
        <v>17</v>
      </c>
      <c r="B194" s="4" t="s">
        <v>151</v>
      </c>
      <c r="C194" s="4" t="s">
        <v>154</v>
      </c>
      <c r="D194" s="5">
        <v>1</v>
      </c>
      <c r="E194" s="5">
        <v>8</v>
      </c>
      <c r="F194" s="4">
        <f t="shared" ref="F194:F257" si="24">N194-M194</f>
        <v>14.099999999999909</v>
      </c>
      <c r="G194" s="4">
        <f t="shared" ref="G194:G257" si="25">LOG10(F194+1)</f>
        <v>1.1789769472931668</v>
      </c>
      <c r="H194" s="5">
        <v>1</v>
      </c>
      <c r="I194" s="5">
        <v>4</v>
      </c>
      <c r="J194" s="5">
        <v>0</v>
      </c>
      <c r="K194" s="5"/>
      <c r="L194" s="5">
        <v>1</v>
      </c>
      <c r="M194" s="5">
        <v>560.20000000000005</v>
      </c>
      <c r="N194" s="5">
        <v>574.29999999999995</v>
      </c>
      <c r="O194" s="116">
        <v>2.9639999999999418</v>
      </c>
      <c r="P194" s="115">
        <v>1.1490000000000009</v>
      </c>
      <c r="Q194" s="115">
        <v>3.5339999999998781</v>
      </c>
      <c r="R194" s="115">
        <v>7.6469999999998208</v>
      </c>
      <c r="S194" s="4">
        <f t="shared" ref="S194:S257" si="26">LOG10(O194+1)</f>
        <v>0.59813364581323136</v>
      </c>
      <c r="T194" s="4">
        <f t="shared" ref="T194:T257" si="27">LOG10(P194+1)</f>
        <v>0.3322364154914435</v>
      </c>
      <c r="U194" s="4">
        <f t="shared" ref="U194:U257" si="28">LOG10(Q194+1)</f>
        <v>0.65648151579048686</v>
      </c>
      <c r="V194" s="4">
        <f t="shared" ref="V194:V257" si="29">LOG10(R194+1)</f>
        <v>0.93686545897561357</v>
      </c>
      <c r="W194" s="116">
        <v>29</v>
      </c>
      <c r="X194" s="115">
        <v>5</v>
      </c>
      <c r="Y194" s="115">
        <v>2</v>
      </c>
      <c r="Z194" s="5">
        <f t="shared" si="23"/>
        <v>3</v>
      </c>
    </row>
    <row r="195" spans="1:26">
      <c r="A195" s="4">
        <v>17</v>
      </c>
      <c r="B195" s="4" t="s">
        <v>151</v>
      </c>
      <c r="C195" s="4" t="s">
        <v>149</v>
      </c>
      <c r="D195" s="5">
        <v>2</v>
      </c>
      <c r="E195" s="5">
        <v>12</v>
      </c>
      <c r="F195" s="4">
        <f t="shared" si="24"/>
        <v>12.799999999999955</v>
      </c>
      <c r="G195" s="4">
        <f t="shared" si="25"/>
        <v>1.1398790864012351</v>
      </c>
      <c r="H195" s="5">
        <v>1</v>
      </c>
      <c r="I195" s="5">
        <v>4</v>
      </c>
      <c r="J195" s="5">
        <v>0</v>
      </c>
      <c r="K195" s="5"/>
      <c r="L195" s="5">
        <v>1</v>
      </c>
      <c r="M195" s="5">
        <v>833.6</v>
      </c>
      <c r="N195" s="5">
        <v>846.4</v>
      </c>
      <c r="O195" s="116">
        <v>3.49899999999991</v>
      </c>
      <c r="P195" s="115">
        <v>0.85000000000002274</v>
      </c>
      <c r="Q195" s="115">
        <v>1.7360000000001037</v>
      </c>
      <c r="R195" s="115">
        <v>6.0850000000000364</v>
      </c>
      <c r="S195" s="4">
        <f t="shared" si="26"/>
        <v>0.65311599316555813</v>
      </c>
      <c r="T195" s="4">
        <f t="shared" si="27"/>
        <v>0.26717172840301912</v>
      </c>
      <c r="U195" s="4">
        <f t="shared" si="28"/>
        <v>0.43711609304809507</v>
      </c>
      <c r="V195" s="4">
        <f t="shared" si="29"/>
        <v>0.85033985458348149</v>
      </c>
      <c r="W195" s="116">
        <v>28</v>
      </c>
      <c r="X195" s="115">
        <v>5</v>
      </c>
      <c r="Y195" s="115">
        <v>3</v>
      </c>
      <c r="Z195" s="5">
        <f t="shared" si="23"/>
        <v>2</v>
      </c>
    </row>
    <row r="196" spans="1:26">
      <c r="A196" s="4">
        <v>17</v>
      </c>
      <c r="B196" s="4" t="s">
        <v>151</v>
      </c>
      <c r="C196" s="4" t="s">
        <v>150</v>
      </c>
      <c r="D196" s="5">
        <v>3</v>
      </c>
      <c r="E196" s="5">
        <v>2</v>
      </c>
      <c r="F196" s="4">
        <f t="shared" si="24"/>
        <v>26.599999999999994</v>
      </c>
      <c r="G196" s="4">
        <f t="shared" si="25"/>
        <v>1.4409090820652177</v>
      </c>
      <c r="H196" s="5">
        <v>1</v>
      </c>
      <c r="I196" s="5">
        <v>5</v>
      </c>
      <c r="J196" s="5">
        <v>0</v>
      </c>
      <c r="K196" s="5"/>
      <c r="L196" s="5">
        <v>2</v>
      </c>
      <c r="M196" s="5">
        <v>173.3</v>
      </c>
      <c r="N196" s="5">
        <v>199.9</v>
      </c>
      <c r="O196" s="116">
        <v>1.8009999999999877</v>
      </c>
      <c r="P196" s="115">
        <v>3.1490000000000009</v>
      </c>
      <c r="Q196" s="115">
        <v>11.280999999999921</v>
      </c>
      <c r="R196" s="115">
        <v>16.230999999999909</v>
      </c>
      <c r="S196" s="4">
        <f t="shared" si="26"/>
        <v>0.44731310882356629</v>
      </c>
      <c r="T196" s="4">
        <f t="shared" si="27"/>
        <v>0.61794343482897307</v>
      </c>
      <c r="U196" s="4">
        <f t="shared" si="28"/>
        <v>1.0892337313653955</v>
      </c>
      <c r="V196" s="4">
        <f t="shared" si="29"/>
        <v>1.2363104824323288</v>
      </c>
      <c r="W196" s="116">
        <v>79</v>
      </c>
      <c r="X196" s="115">
        <v>5</v>
      </c>
      <c r="Y196" s="115">
        <v>3</v>
      </c>
      <c r="Z196" s="5">
        <f t="shared" si="23"/>
        <v>2</v>
      </c>
    </row>
    <row r="197" spans="1:26">
      <c r="A197" s="4">
        <v>17</v>
      </c>
      <c r="B197" s="4" t="s">
        <v>151</v>
      </c>
      <c r="C197" s="4" t="s">
        <v>149</v>
      </c>
      <c r="D197" s="5">
        <v>4</v>
      </c>
      <c r="E197" s="5">
        <v>10</v>
      </c>
      <c r="F197" s="4">
        <f t="shared" si="24"/>
        <v>39.100000000000023</v>
      </c>
      <c r="G197" s="4">
        <f t="shared" si="25"/>
        <v>1.6031443726201826</v>
      </c>
      <c r="H197" s="5">
        <v>1</v>
      </c>
      <c r="I197" s="5">
        <v>7</v>
      </c>
      <c r="J197" s="5">
        <v>1</v>
      </c>
      <c r="K197" s="5"/>
      <c r="L197" s="5">
        <v>3</v>
      </c>
      <c r="M197" s="5">
        <v>719.9</v>
      </c>
      <c r="N197" s="5">
        <v>759</v>
      </c>
      <c r="O197" s="116">
        <v>6.5499999999998408</v>
      </c>
      <c r="P197" s="115">
        <v>3.6659999999998263</v>
      </c>
      <c r="Q197" s="115">
        <v>10.19800000000032</v>
      </c>
      <c r="R197" s="115">
        <v>20.413999999999987</v>
      </c>
      <c r="S197" s="4">
        <f t="shared" si="26"/>
        <v>0.87794695162917913</v>
      </c>
      <c r="T197" s="4">
        <f t="shared" si="27"/>
        <v>0.66894473445771763</v>
      </c>
      <c r="U197" s="4">
        <f t="shared" si="28"/>
        <v>1.0491404631589774</v>
      </c>
      <c r="V197" s="4">
        <f t="shared" si="29"/>
        <v>1.3306977983393038</v>
      </c>
      <c r="W197" s="116">
        <v>91</v>
      </c>
      <c r="X197" s="115">
        <v>18</v>
      </c>
      <c r="Y197" s="115">
        <v>3</v>
      </c>
      <c r="Z197" s="5">
        <f t="shared" si="23"/>
        <v>15</v>
      </c>
    </row>
    <row r="198" spans="1:26">
      <c r="A198" s="4">
        <v>17</v>
      </c>
      <c r="B198" s="4" t="s">
        <v>151</v>
      </c>
      <c r="C198" s="4" t="s">
        <v>154</v>
      </c>
      <c r="D198" s="5">
        <v>5</v>
      </c>
      <c r="E198" s="5">
        <v>6</v>
      </c>
      <c r="F198" s="4">
        <f t="shared" si="24"/>
        <v>27.300000000000011</v>
      </c>
      <c r="G198" s="4">
        <f t="shared" si="25"/>
        <v>1.4517864355242904</v>
      </c>
      <c r="H198" s="5">
        <v>1</v>
      </c>
      <c r="I198" s="5">
        <v>4</v>
      </c>
      <c r="J198" s="5">
        <v>0</v>
      </c>
      <c r="K198" s="5"/>
      <c r="L198" s="5">
        <v>2</v>
      </c>
      <c r="M198" s="5">
        <v>421.9</v>
      </c>
      <c r="N198" s="5">
        <v>449.2</v>
      </c>
      <c r="O198" s="116">
        <v>7.5860000000000696</v>
      </c>
      <c r="P198" s="115">
        <v>3.2189999999998804</v>
      </c>
      <c r="Q198" s="115">
        <v>2.0489999999999782</v>
      </c>
      <c r="R198" s="115">
        <v>12.853999999999928</v>
      </c>
      <c r="S198" s="4">
        <f t="shared" si="26"/>
        <v>0.93379088414342348</v>
      </c>
      <c r="T198" s="4">
        <f t="shared" si="27"/>
        <v>0.62520952538186869</v>
      </c>
      <c r="U198" s="4">
        <f t="shared" si="28"/>
        <v>0.48415742436537756</v>
      </c>
      <c r="V198" s="4">
        <f t="shared" si="29"/>
        <v>1.1415751833008176</v>
      </c>
      <c r="W198" s="116">
        <v>61</v>
      </c>
      <c r="X198" s="115">
        <v>12</v>
      </c>
      <c r="Y198" s="115">
        <v>5</v>
      </c>
      <c r="Z198" s="5">
        <f t="shared" si="23"/>
        <v>7</v>
      </c>
    </row>
    <row r="199" spans="1:26">
      <c r="A199" s="4">
        <v>17</v>
      </c>
      <c r="B199" s="4" t="s">
        <v>151</v>
      </c>
      <c r="C199" s="4" t="s">
        <v>150</v>
      </c>
      <c r="D199" s="5">
        <v>6</v>
      </c>
      <c r="E199" s="5">
        <v>4</v>
      </c>
      <c r="F199" s="4">
        <f t="shared" si="24"/>
        <v>4.7999999999999545</v>
      </c>
      <c r="G199" s="4">
        <f t="shared" si="25"/>
        <v>0.76342799356293389</v>
      </c>
      <c r="H199" s="5">
        <v>1</v>
      </c>
      <c r="I199" s="5">
        <v>2</v>
      </c>
      <c r="J199" s="5">
        <v>0</v>
      </c>
      <c r="K199" s="5"/>
      <c r="L199" s="5">
        <v>1</v>
      </c>
      <c r="M199" s="5">
        <v>316.10000000000002</v>
      </c>
      <c r="N199" s="5">
        <v>320.89999999999998</v>
      </c>
      <c r="O199" s="116">
        <v>2.3629999999999995</v>
      </c>
      <c r="P199" s="115">
        <v>0.28299999999995862</v>
      </c>
      <c r="Q199" s="115">
        <v>0.21699999999998454</v>
      </c>
      <c r="R199" s="115">
        <v>2.8629999999999427</v>
      </c>
      <c r="S199" s="4">
        <f t="shared" si="26"/>
        <v>0.52672686731463558</v>
      </c>
      <c r="T199" s="4">
        <f t="shared" si="27"/>
        <v>0.10822665637491449</v>
      </c>
      <c r="U199" s="4">
        <f t="shared" si="28"/>
        <v>8.5290578230059477E-2</v>
      </c>
      <c r="V199" s="4">
        <f t="shared" si="29"/>
        <v>0.5869247081448139</v>
      </c>
      <c r="W199" s="116">
        <v>15</v>
      </c>
      <c r="X199" s="115">
        <v>3</v>
      </c>
      <c r="Y199" s="115">
        <v>2</v>
      </c>
      <c r="Z199" s="5">
        <f t="shared" si="23"/>
        <v>1</v>
      </c>
    </row>
    <row r="200" spans="1:26">
      <c r="A200" s="4">
        <v>17</v>
      </c>
      <c r="B200" s="4" t="s">
        <v>152</v>
      </c>
      <c r="C200" s="4" t="s">
        <v>149</v>
      </c>
      <c r="D200" s="5">
        <v>7</v>
      </c>
      <c r="E200" s="5">
        <v>11</v>
      </c>
      <c r="F200" s="4">
        <f t="shared" si="24"/>
        <v>14.400000000000091</v>
      </c>
      <c r="G200" s="4">
        <f t="shared" si="25"/>
        <v>1.1875207208364655</v>
      </c>
      <c r="H200" s="5">
        <v>1</v>
      </c>
      <c r="I200" s="5">
        <v>3</v>
      </c>
      <c r="J200" s="5">
        <v>0</v>
      </c>
      <c r="K200" s="5"/>
      <c r="L200" s="5">
        <v>2</v>
      </c>
      <c r="M200" s="5">
        <v>781.8</v>
      </c>
      <c r="N200" s="5">
        <v>796.2</v>
      </c>
      <c r="O200" s="116">
        <v>5.3840000000001282</v>
      </c>
      <c r="P200" s="115">
        <v>1.4830000000001746</v>
      </c>
      <c r="Q200" s="115">
        <v>2.2000000000001592</v>
      </c>
      <c r="R200" s="115">
        <v>9.067000000000462</v>
      </c>
      <c r="S200" s="4">
        <f t="shared" si="26"/>
        <v>0.80509287834268173</v>
      </c>
      <c r="T200" s="4">
        <f t="shared" si="27"/>
        <v>0.39497671955459485</v>
      </c>
      <c r="U200" s="4">
        <f t="shared" si="28"/>
        <v>0.50514997831992758</v>
      </c>
      <c r="V200" s="4">
        <f t="shared" si="29"/>
        <v>1.0029000686114073</v>
      </c>
      <c r="W200" s="116">
        <v>33</v>
      </c>
      <c r="X200" s="115">
        <v>7</v>
      </c>
      <c r="Y200" s="115">
        <v>2</v>
      </c>
      <c r="Z200" s="5">
        <f t="shared" si="23"/>
        <v>5</v>
      </c>
    </row>
    <row r="201" spans="1:26">
      <c r="A201" s="4">
        <v>17</v>
      </c>
      <c r="B201" s="4" t="s">
        <v>152</v>
      </c>
      <c r="C201" s="4" t="s">
        <v>149</v>
      </c>
      <c r="D201" s="5">
        <v>8</v>
      </c>
      <c r="E201" s="5">
        <v>9</v>
      </c>
      <c r="F201" s="4">
        <f t="shared" si="24"/>
        <v>25.299999999999955</v>
      </c>
      <c r="G201" s="4">
        <f t="shared" si="25"/>
        <v>1.4199557484897571</v>
      </c>
      <c r="H201" s="5">
        <v>1</v>
      </c>
      <c r="I201" s="5">
        <v>4</v>
      </c>
      <c r="J201" s="5">
        <v>0</v>
      </c>
      <c r="K201" s="5"/>
      <c r="L201" s="5">
        <v>1</v>
      </c>
      <c r="M201" s="5">
        <v>646.5</v>
      </c>
      <c r="N201" s="5">
        <v>671.8</v>
      </c>
      <c r="O201" s="116">
        <v>4.7690000000003465</v>
      </c>
      <c r="P201" s="115">
        <v>1.3170000000000073</v>
      </c>
      <c r="Q201" s="115">
        <v>6.8989999999995462</v>
      </c>
      <c r="R201" s="115">
        <v>12.9849999999999</v>
      </c>
      <c r="S201" s="4">
        <f t="shared" si="26"/>
        <v>0.76110053895816843</v>
      </c>
      <c r="T201" s="4">
        <f t="shared" si="27"/>
        <v>0.36492603378997696</v>
      </c>
      <c r="U201" s="4">
        <f t="shared" si="28"/>
        <v>0.89757211382570568</v>
      </c>
      <c r="V201" s="4">
        <f t="shared" si="29"/>
        <v>1.1456624707075429</v>
      </c>
      <c r="W201" s="116">
        <v>56</v>
      </c>
      <c r="X201" s="115">
        <v>7</v>
      </c>
      <c r="Y201" s="115">
        <v>3</v>
      </c>
      <c r="Z201" s="5">
        <f>X201-Y201</f>
        <v>4</v>
      </c>
    </row>
    <row r="202" spans="1:26">
      <c r="A202" s="4">
        <v>17</v>
      </c>
      <c r="B202" s="4" t="s">
        <v>152</v>
      </c>
      <c r="C202" s="4" t="s">
        <v>150</v>
      </c>
      <c r="D202" s="5">
        <v>9</v>
      </c>
      <c r="E202" s="5">
        <v>1</v>
      </c>
      <c r="F202" s="4">
        <f t="shared" si="24"/>
        <v>16.700000000000003</v>
      </c>
      <c r="G202" s="4">
        <f t="shared" si="25"/>
        <v>1.2479732663618066</v>
      </c>
      <c r="H202" s="5">
        <v>1</v>
      </c>
      <c r="I202" s="5">
        <v>3</v>
      </c>
      <c r="J202" s="5">
        <v>0</v>
      </c>
      <c r="K202" s="5"/>
      <c r="L202" s="5">
        <v>1</v>
      </c>
      <c r="M202" s="5">
        <v>104.8</v>
      </c>
      <c r="N202" s="5">
        <v>121.5</v>
      </c>
      <c r="O202" s="116">
        <v>6.9819999999999851</v>
      </c>
      <c r="P202" s="115">
        <v>1.2660000000000053</v>
      </c>
      <c r="Q202" s="115">
        <v>1.0149999999999864</v>
      </c>
      <c r="R202" s="115">
        <v>9.2629999999999768</v>
      </c>
      <c r="S202" s="4">
        <f t="shared" si="26"/>
        <v>0.90211172344800361</v>
      </c>
      <c r="T202" s="4">
        <f t="shared" si="27"/>
        <v>0.35525990552737946</v>
      </c>
      <c r="U202" s="4">
        <f t="shared" si="28"/>
        <v>0.30427505047712533</v>
      </c>
      <c r="V202" s="4">
        <f t="shared" si="29"/>
        <v>1.0112743289047239</v>
      </c>
      <c r="W202" s="116">
        <v>45</v>
      </c>
      <c r="X202" s="115">
        <v>6</v>
      </c>
      <c r="Y202" s="115">
        <v>2</v>
      </c>
      <c r="Z202" s="5">
        <f t="shared" ref="Z202:Z227" si="30">X202-Y202</f>
        <v>4</v>
      </c>
    </row>
    <row r="203" spans="1:26">
      <c r="A203" s="4">
        <v>17</v>
      </c>
      <c r="B203" s="4" t="s">
        <v>152</v>
      </c>
      <c r="C203" s="4" t="s">
        <v>150</v>
      </c>
      <c r="D203" s="5">
        <v>10</v>
      </c>
      <c r="E203" s="5">
        <v>3</v>
      </c>
      <c r="F203" s="4">
        <f t="shared" si="24"/>
        <v>7.8000000000000114</v>
      </c>
      <c r="G203" s="4">
        <f t="shared" si="25"/>
        <v>0.94448267215016923</v>
      </c>
      <c r="H203" s="5">
        <v>1</v>
      </c>
      <c r="I203" s="5">
        <v>3</v>
      </c>
      <c r="J203" s="5">
        <v>0</v>
      </c>
      <c r="K203" s="5"/>
      <c r="L203" s="5">
        <v>1</v>
      </c>
      <c r="M203" s="5">
        <v>267.2</v>
      </c>
      <c r="N203" s="5">
        <v>275</v>
      </c>
      <c r="O203" s="116">
        <v>0.89900000000005775</v>
      </c>
      <c r="P203" s="115">
        <v>0.10000000000002274</v>
      </c>
      <c r="Q203" s="115">
        <v>0.18299999999999272</v>
      </c>
      <c r="R203" s="115">
        <v>1.1820000000000732</v>
      </c>
      <c r="S203" s="4">
        <f t="shared" si="26"/>
        <v>0.27852496473703076</v>
      </c>
      <c r="T203" s="4">
        <f t="shared" si="27"/>
        <v>4.1392685158234015E-2</v>
      </c>
      <c r="U203" s="4">
        <f t="shared" si="28"/>
        <v>7.29847446279277E-2</v>
      </c>
      <c r="V203" s="4">
        <f t="shared" si="29"/>
        <v>0.33885474625233764</v>
      </c>
      <c r="W203" s="116">
        <v>6</v>
      </c>
      <c r="X203" s="115">
        <v>1</v>
      </c>
      <c r="Y203" s="115">
        <v>1</v>
      </c>
      <c r="Z203" s="5">
        <f t="shared" si="30"/>
        <v>0</v>
      </c>
    </row>
    <row r="204" spans="1:26">
      <c r="A204" s="4">
        <v>17</v>
      </c>
      <c r="B204" s="4" t="s">
        <v>152</v>
      </c>
      <c r="C204" s="4" t="s">
        <v>154</v>
      </c>
      <c r="D204" s="5">
        <v>11</v>
      </c>
      <c r="E204" s="5">
        <v>5</v>
      </c>
      <c r="F204" s="4">
        <f t="shared" si="24"/>
        <v>16.099999999999966</v>
      </c>
      <c r="G204" s="4">
        <f t="shared" si="25"/>
        <v>1.232996110392153</v>
      </c>
      <c r="H204" s="5">
        <v>1</v>
      </c>
      <c r="I204" s="5">
        <v>4</v>
      </c>
      <c r="J204" s="5">
        <v>0</v>
      </c>
      <c r="K204" s="5"/>
      <c r="L204" s="5">
        <v>3</v>
      </c>
      <c r="M204" s="5">
        <v>362.6</v>
      </c>
      <c r="N204" s="5">
        <v>378.7</v>
      </c>
      <c r="O204" s="116">
        <v>5.7640000000000668</v>
      </c>
      <c r="P204" s="115">
        <v>2.1490000000000009</v>
      </c>
      <c r="Q204" s="115">
        <v>0.89499999999998181</v>
      </c>
      <c r="R204" s="115">
        <v>8.8080000000000496</v>
      </c>
      <c r="S204" s="4">
        <f t="shared" si="26"/>
        <v>0.83020359892570839</v>
      </c>
      <c r="T204" s="4">
        <f t="shared" si="27"/>
        <v>0.49817266063654403</v>
      </c>
      <c r="U204" s="4">
        <f t="shared" si="28"/>
        <v>0.27760921430408697</v>
      </c>
      <c r="V204" s="4">
        <f t="shared" si="29"/>
        <v>0.99158045717434207</v>
      </c>
      <c r="W204" s="116">
        <v>42</v>
      </c>
      <c r="X204" s="115">
        <v>10</v>
      </c>
      <c r="Y204" s="115">
        <v>5</v>
      </c>
      <c r="Z204" s="5">
        <f t="shared" si="30"/>
        <v>5</v>
      </c>
    </row>
    <row r="205" spans="1:26">
      <c r="A205" s="4">
        <v>17</v>
      </c>
      <c r="B205" s="4" t="s">
        <v>152</v>
      </c>
      <c r="C205" s="4" t="s">
        <v>154</v>
      </c>
      <c r="D205" s="5">
        <v>12</v>
      </c>
      <c r="E205" s="5">
        <v>7</v>
      </c>
      <c r="F205" s="4">
        <f t="shared" si="24"/>
        <v>14.899999999999977</v>
      </c>
      <c r="G205" s="4">
        <f t="shared" si="25"/>
        <v>1.2013971243204509</v>
      </c>
      <c r="H205" s="5">
        <v>1</v>
      </c>
      <c r="I205" s="5">
        <v>6</v>
      </c>
      <c r="J205" s="5">
        <v>0</v>
      </c>
      <c r="K205" s="5"/>
      <c r="L205" s="5">
        <v>1</v>
      </c>
      <c r="M205" s="5">
        <v>519</v>
      </c>
      <c r="N205" s="5">
        <v>533.9</v>
      </c>
      <c r="O205" s="116">
        <v>4.0660000000001446</v>
      </c>
      <c r="P205" s="115">
        <v>2.1979999999998654</v>
      </c>
      <c r="Q205" s="115">
        <v>1.5339999999999918</v>
      </c>
      <c r="R205" s="115">
        <v>7.7980000000000018</v>
      </c>
      <c r="S205" s="4">
        <f t="shared" si="26"/>
        <v>0.7046651854545416</v>
      </c>
      <c r="T205" s="4">
        <f t="shared" si="27"/>
        <v>0.5048784594101976</v>
      </c>
      <c r="U205" s="4">
        <f t="shared" si="28"/>
        <v>0.40380661054742112</v>
      </c>
      <c r="V205" s="4">
        <f t="shared" si="29"/>
        <v>0.94438395764084426</v>
      </c>
      <c r="W205" s="116">
        <v>33</v>
      </c>
      <c r="X205" s="115">
        <v>11</v>
      </c>
      <c r="Y205" s="115">
        <v>5</v>
      </c>
      <c r="Z205" s="5">
        <f t="shared" si="30"/>
        <v>6</v>
      </c>
    </row>
    <row r="206" spans="1:26">
      <c r="A206" s="4">
        <v>18</v>
      </c>
      <c r="B206" s="4" t="s">
        <v>151</v>
      </c>
      <c r="C206" s="4" t="s">
        <v>149</v>
      </c>
      <c r="D206" s="5">
        <v>1</v>
      </c>
      <c r="E206" s="5">
        <v>6</v>
      </c>
      <c r="F206" s="4">
        <f t="shared" si="24"/>
        <v>7.0999999999999659</v>
      </c>
      <c r="G206" s="4">
        <f t="shared" si="25"/>
        <v>0.90848501887864797</v>
      </c>
      <c r="H206" s="5">
        <v>1</v>
      </c>
      <c r="I206" s="5">
        <v>5</v>
      </c>
      <c r="J206" s="5">
        <v>0</v>
      </c>
      <c r="K206" s="5"/>
      <c r="L206" s="5">
        <v>1</v>
      </c>
      <c r="M206" s="5">
        <v>305.10000000000002</v>
      </c>
      <c r="N206" s="5">
        <v>312.2</v>
      </c>
      <c r="O206" s="116">
        <v>3.5649999999999977</v>
      </c>
      <c r="P206" s="115">
        <v>0.94900000000012597</v>
      </c>
      <c r="Q206" s="115">
        <v>0.13399999999995771</v>
      </c>
      <c r="R206" s="115">
        <v>4.6480000000000814</v>
      </c>
      <c r="S206" s="4">
        <f t="shared" si="26"/>
        <v>0.65944078187031752</v>
      </c>
      <c r="T206" s="4">
        <f t="shared" si="27"/>
        <v>0.28981183911764952</v>
      </c>
      <c r="U206" s="4">
        <f t="shared" si="28"/>
        <v>5.4613054556871578E-2</v>
      </c>
      <c r="V206" s="4">
        <f t="shared" si="29"/>
        <v>0.75189468804375359</v>
      </c>
      <c r="W206" s="116">
        <v>22</v>
      </c>
      <c r="X206" s="115">
        <v>1</v>
      </c>
      <c r="Y206" s="115">
        <v>1</v>
      </c>
      <c r="Z206" s="5">
        <f t="shared" si="30"/>
        <v>0</v>
      </c>
    </row>
    <row r="207" spans="1:26">
      <c r="A207" s="4">
        <v>18</v>
      </c>
      <c r="B207" s="4" t="s">
        <v>151</v>
      </c>
      <c r="C207" s="4" t="s">
        <v>154</v>
      </c>
      <c r="D207" s="5">
        <v>2</v>
      </c>
      <c r="E207" s="5">
        <v>10</v>
      </c>
      <c r="F207" s="4">
        <f t="shared" si="24"/>
        <v>19.300000000000011</v>
      </c>
      <c r="G207" s="4">
        <f t="shared" si="25"/>
        <v>1.3074960379132132</v>
      </c>
      <c r="H207" s="5">
        <v>1</v>
      </c>
      <c r="I207" s="5">
        <v>5</v>
      </c>
      <c r="J207" s="5">
        <v>0</v>
      </c>
      <c r="K207" s="5"/>
      <c r="L207" s="5">
        <v>1</v>
      </c>
      <c r="M207" s="5">
        <v>461.7</v>
      </c>
      <c r="N207" s="5">
        <v>481</v>
      </c>
      <c r="O207" s="116">
        <v>5.2660000000001332</v>
      </c>
      <c r="P207" s="115">
        <v>0.93200000000001637</v>
      </c>
      <c r="Q207" s="115">
        <v>1.9829999999998336</v>
      </c>
      <c r="R207" s="115">
        <v>8.1809999999999832</v>
      </c>
      <c r="S207" s="4">
        <f t="shared" si="26"/>
        <v>0.79699039054569554</v>
      </c>
      <c r="T207" s="4">
        <f t="shared" si="27"/>
        <v>0.2860071220794782</v>
      </c>
      <c r="U207" s="4">
        <f t="shared" si="28"/>
        <v>0.47465325336203845</v>
      </c>
      <c r="V207" s="4">
        <f t="shared" si="29"/>
        <v>0.96288998739179033</v>
      </c>
      <c r="W207" s="116">
        <v>45</v>
      </c>
      <c r="X207" s="115">
        <v>16</v>
      </c>
      <c r="Y207" s="115">
        <v>5</v>
      </c>
      <c r="Z207" s="5">
        <f t="shared" si="30"/>
        <v>11</v>
      </c>
    </row>
    <row r="208" spans="1:26">
      <c r="A208" s="4">
        <v>18</v>
      </c>
      <c r="B208" s="4" t="s">
        <v>151</v>
      </c>
      <c r="C208" s="4" t="s">
        <v>154</v>
      </c>
      <c r="D208" s="5">
        <v>3</v>
      </c>
      <c r="E208" s="5">
        <v>12</v>
      </c>
      <c r="F208" s="4">
        <f t="shared" si="24"/>
        <v>13.800000000000068</v>
      </c>
      <c r="G208" s="4">
        <f t="shared" si="25"/>
        <v>1.1702617153949595</v>
      </c>
      <c r="H208" s="5">
        <v>1</v>
      </c>
      <c r="I208" s="5">
        <v>6</v>
      </c>
      <c r="J208" s="5">
        <v>0</v>
      </c>
      <c r="K208" s="5"/>
      <c r="L208" s="5">
        <v>2</v>
      </c>
      <c r="M208" s="5">
        <v>538.4</v>
      </c>
      <c r="N208" s="5">
        <v>552.20000000000005</v>
      </c>
      <c r="O208" s="116">
        <v>2.0489999999999782</v>
      </c>
      <c r="P208" s="115">
        <v>1.6320000000000618</v>
      </c>
      <c r="Q208" s="115">
        <v>3.5830000000000837</v>
      </c>
      <c r="R208" s="115">
        <v>7.2640000000001237</v>
      </c>
      <c r="S208" s="4">
        <f t="shared" si="26"/>
        <v>0.48415742436537756</v>
      </c>
      <c r="T208" s="4">
        <f t="shared" si="27"/>
        <v>0.42028588494192809</v>
      </c>
      <c r="U208" s="4">
        <f t="shared" si="28"/>
        <v>0.66114985724479458</v>
      </c>
      <c r="V208" s="4">
        <f t="shared" si="29"/>
        <v>0.91719030851157068</v>
      </c>
      <c r="W208" s="116">
        <v>34</v>
      </c>
      <c r="X208" s="115">
        <v>6</v>
      </c>
      <c r="Y208" s="115">
        <v>3</v>
      </c>
      <c r="Z208" s="5">
        <f t="shared" si="30"/>
        <v>3</v>
      </c>
    </row>
    <row r="209" spans="1:26">
      <c r="A209" s="4">
        <v>18</v>
      </c>
      <c r="B209" s="4" t="s">
        <v>151</v>
      </c>
      <c r="C209" s="4" t="s">
        <v>150</v>
      </c>
      <c r="D209" s="5">
        <v>4</v>
      </c>
      <c r="E209" s="5">
        <v>2</v>
      </c>
      <c r="F209" s="4">
        <f t="shared" si="24"/>
        <v>21.599999999999994</v>
      </c>
      <c r="G209" s="4">
        <f t="shared" si="25"/>
        <v>1.3541084391474008</v>
      </c>
      <c r="H209" s="5">
        <v>1</v>
      </c>
      <c r="I209" s="5">
        <v>5</v>
      </c>
      <c r="J209" s="5">
        <v>1</v>
      </c>
      <c r="K209" s="5"/>
      <c r="L209" s="5">
        <v>1</v>
      </c>
      <c r="M209" s="5">
        <v>112.4</v>
      </c>
      <c r="N209" s="5">
        <v>134</v>
      </c>
      <c r="O209" s="116">
        <v>4.614000000000047</v>
      </c>
      <c r="P209" s="115">
        <v>1.4660000000000366</v>
      </c>
      <c r="Q209" s="115">
        <v>4.6349999999999483</v>
      </c>
      <c r="R209" s="115">
        <v>10.715000000000032</v>
      </c>
      <c r="S209" s="4">
        <f t="shared" si="26"/>
        <v>0.74927240829842401</v>
      </c>
      <c r="T209" s="4">
        <f t="shared" si="27"/>
        <v>0.3919930722597193</v>
      </c>
      <c r="U209" s="4">
        <f t="shared" si="28"/>
        <v>0.75089392038212133</v>
      </c>
      <c r="V209" s="4">
        <f t="shared" si="29"/>
        <v>1.0687422929329828</v>
      </c>
      <c r="W209" s="116">
        <v>57</v>
      </c>
      <c r="X209" s="115">
        <v>10</v>
      </c>
      <c r="Y209" s="115">
        <v>2</v>
      </c>
      <c r="Z209" s="5">
        <f t="shared" si="30"/>
        <v>8</v>
      </c>
    </row>
    <row r="210" spans="1:26">
      <c r="A210" s="4">
        <v>18</v>
      </c>
      <c r="B210" s="4" t="s">
        <v>151</v>
      </c>
      <c r="C210" s="4" t="s">
        <v>150</v>
      </c>
      <c r="D210" s="5">
        <v>5</v>
      </c>
      <c r="E210" s="5">
        <v>4</v>
      </c>
      <c r="F210" s="4">
        <f t="shared" si="24"/>
        <v>20.699999999999989</v>
      </c>
      <c r="G210" s="4">
        <f t="shared" si="25"/>
        <v>1.3364597338485293</v>
      </c>
      <c r="H210" s="5">
        <v>1</v>
      </c>
      <c r="I210" s="5">
        <v>4</v>
      </c>
      <c r="J210" s="5">
        <v>1</v>
      </c>
      <c r="K210" s="5"/>
      <c r="L210" s="5">
        <v>2</v>
      </c>
      <c r="M210" s="5">
        <v>225.5</v>
      </c>
      <c r="N210" s="5">
        <v>246.2</v>
      </c>
      <c r="O210" s="116">
        <v>6.2290000000001271</v>
      </c>
      <c r="P210" s="115">
        <v>1.0489999999999782</v>
      </c>
      <c r="Q210" s="115">
        <v>2.6329999999999814</v>
      </c>
      <c r="R210" s="115">
        <v>9.9110000000000866</v>
      </c>
      <c r="S210" s="4">
        <f t="shared" si="26"/>
        <v>0.85907822474697693</v>
      </c>
      <c r="T210" s="4">
        <f t="shared" si="27"/>
        <v>0.31154195840119037</v>
      </c>
      <c r="U210" s="4">
        <f t="shared" si="28"/>
        <v>0.56026539786271246</v>
      </c>
      <c r="V210" s="4">
        <f t="shared" si="29"/>
        <v>1.0378645557743778</v>
      </c>
      <c r="W210" s="116">
        <v>52</v>
      </c>
      <c r="X210" s="115">
        <v>8</v>
      </c>
      <c r="Y210" s="115">
        <v>3</v>
      </c>
      <c r="Z210" s="5">
        <f t="shared" si="30"/>
        <v>5</v>
      </c>
    </row>
    <row r="211" spans="1:26">
      <c r="A211" s="4">
        <v>18</v>
      </c>
      <c r="B211" s="4" t="s">
        <v>151</v>
      </c>
      <c r="C211" s="4" t="s">
        <v>149</v>
      </c>
      <c r="D211" s="5">
        <v>6</v>
      </c>
      <c r="E211" s="5">
        <v>8</v>
      </c>
      <c r="F211" s="4">
        <f t="shared" si="24"/>
        <v>4.6999999999999886</v>
      </c>
      <c r="G211" s="4">
        <f t="shared" si="25"/>
        <v>0.75587485567249058</v>
      </c>
      <c r="H211" s="5">
        <v>1</v>
      </c>
      <c r="I211" s="5">
        <v>6</v>
      </c>
      <c r="J211" s="5">
        <v>0</v>
      </c>
      <c r="K211" s="5"/>
      <c r="L211" s="5">
        <v>1</v>
      </c>
      <c r="M211" s="5">
        <v>400.5</v>
      </c>
      <c r="N211" s="5">
        <v>405.2</v>
      </c>
      <c r="O211" s="116">
        <v>1.6500000000000909</v>
      </c>
      <c r="P211" s="115">
        <v>0.1330000000000382</v>
      </c>
      <c r="Q211" s="115">
        <v>0.54900000000003502</v>
      </c>
      <c r="R211" s="115">
        <v>2.3320000000001642</v>
      </c>
      <c r="S211" s="4">
        <f t="shared" si="26"/>
        <v>0.42324587393682278</v>
      </c>
      <c r="T211" s="4">
        <f t="shared" si="27"/>
        <v>5.422990986341189E-2</v>
      </c>
      <c r="U211" s="4">
        <f t="shared" si="28"/>
        <v>0.19005141775921583</v>
      </c>
      <c r="V211" s="4">
        <f t="shared" si="29"/>
        <v>0.52270499273477133</v>
      </c>
      <c r="W211" s="116">
        <v>14</v>
      </c>
      <c r="X211" s="115">
        <v>1</v>
      </c>
      <c r="Y211" s="115">
        <v>1</v>
      </c>
      <c r="Z211" s="5">
        <f t="shared" si="30"/>
        <v>0</v>
      </c>
    </row>
    <row r="212" spans="1:26">
      <c r="A212" s="4">
        <v>18</v>
      </c>
      <c r="B212" s="4" t="s">
        <v>152</v>
      </c>
      <c r="C212" s="4" t="s">
        <v>149</v>
      </c>
      <c r="D212" s="5">
        <v>7</v>
      </c>
      <c r="E212" s="5">
        <v>5</v>
      </c>
      <c r="F212" s="4">
        <f t="shared" si="24"/>
        <v>9.8000000000000114</v>
      </c>
      <c r="G212" s="4">
        <f t="shared" si="25"/>
        <v>1.0334237554869501</v>
      </c>
      <c r="H212" s="5">
        <v>1</v>
      </c>
      <c r="I212" s="5">
        <v>6</v>
      </c>
      <c r="J212" s="5">
        <v>0</v>
      </c>
      <c r="K212" s="5"/>
      <c r="L212" s="5">
        <v>2</v>
      </c>
      <c r="M212" s="5">
        <v>274.3</v>
      </c>
      <c r="N212" s="5">
        <v>284.10000000000002</v>
      </c>
      <c r="O212" s="116">
        <v>4.6500000000000909</v>
      </c>
      <c r="P212" s="115">
        <v>9.9999999999965894E-2</v>
      </c>
      <c r="Q212" s="115">
        <v>1.0669999999999504</v>
      </c>
      <c r="R212" s="115">
        <v>5.8170000000000073</v>
      </c>
      <c r="S212" s="4">
        <f t="shared" si="26"/>
        <v>0.75204844781944546</v>
      </c>
      <c r="T212" s="4">
        <f t="shared" si="27"/>
        <v>4.1392685158211574E-2</v>
      </c>
      <c r="U212" s="4">
        <f t="shared" si="28"/>
        <v>0.31534047662727782</v>
      </c>
      <c r="V212" s="4">
        <f t="shared" si="29"/>
        <v>0.83359329399845672</v>
      </c>
      <c r="W212" s="116">
        <v>22</v>
      </c>
      <c r="X212" s="115">
        <v>3</v>
      </c>
      <c r="Y212" s="115">
        <v>2</v>
      </c>
      <c r="Z212" s="5">
        <f t="shared" si="30"/>
        <v>1</v>
      </c>
    </row>
    <row r="213" spans="1:26">
      <c r="A213" s="4">
        <v>18</v>
      </c>
      <c r="B213" s="4" t="s">
        <v>152</v>
      </c>
      <c r="C213" s="4" t="s">
        <v>154</v>
      </c>
      <c r="D213" s="5">
        <v>8</v>
      </c>
      <c r="E213" s="5">
        <v>9</v>
      </c>
      <c r="F213" s="4">
        <f t="shared" si="24"/>
        <v>9.1999999999999886</v>
      </c>
      <c r="G213" s="4">
        <f t="shared" si="25"/>
        <v>1.0086001717619171</v>
      </c>
      <c r="H213" s="5">
        <v>1</v>
      </c>
      <c r="I213" s="5">
        <v>7</v>
      </c>
      <c r="J213" s="5">
        <v>0</v>
      </c>
      <c r="K213" s="5"/>
      <c r="L213" s="5">
        <v>1</v>
      </c>
      <c r="M213" s="5">
        <v>431.8</v>
      </c>
      <c r="N213" s="5">
        <v>441</v>
      </c>
      <c r="O213" s="116">
        <v>4.4130000000000109</v>
      </c>
      <c r="P213" s="115">
        <v>0.68400000000002592</v>
      </c>
      <c r="Q213" s="115">
        <v>0.66599999999999682</v>
      </c>
      <c r="R213" s="115">
        <v>5.7630000000000337</v>
      </c>
      <c r="S213" s="4">
        <f t="shared" si="26"/>
        <v>0.73343802709106221</v>
      </c>
      <c r="T213" s="4">
        <f t="shared" si="27"/>
        <v>0.22634208716363738</v>
      </c>
      <c r="U213" s="4">
        <f t="shared" si="28"/>
        <v>0.22167499707076796</v>
      </c>
      <c r="V213" s="4">
        <f t="shared" si="29"/>
        <v>0.83013938742534488</v>
      </c>
      <c r="W213" s="116">
        <v>24</v>
      </c>
      <c r="X213" s="115">
        <v>2</v>
      </c>
      <c r="Y213" s="115">
        <v>2</v>
      </c>
      <c r="Z213" s="5">
        <f t="shared" si="30"/>
        <v>0</v>
      </c>
    </row>
    <row r="214" spans="1:26">
      <c r="A214" s="4">
        <v>18</v>
      </c>
      <c r="B214" s="4" t="s">
        <v>152</v>
      </c>
      <c r="C214" s="4" t="s">
        <v>154</v>
      </c>
      <c r="D214" s="5">
        <v>9</v>
      </c>
      <c r="E214" s="5">
        <v>11</v>
      </c>
      <c r="F214" s="4">
        <f t="shared" si="24"/>
        <v>7.5</v>
      </c>
      <c r="G214" s="4">
        <f t="shared" si="25"/>
        <v>0.92941892571429274</v>
      </c>
      <c r="H214" s="5">
        <v>1</v>
      </c>
      <c r="I214" s="5">
        <v>5</v>
      </c>
      <c r="J214" s="5">
        <v>0</v>
      </c>
      <c r="K214" s="5"/>
      <c r="L214" s="5">
        <v>1</v>
      </c>
      <c r="M214" s="5">
        <v>509.1</v>
      </c>
      <c r="N214" s="5">
        <v>516.6</v>
      </c>
      <c r="O214" s="116">
        <v>3.6480000000001382</v>
      </c>
      <c r="P214" s="115">
        <v>0.13299999999992451</v>
      </c>
      <c r="Q214" s="115"/>
      <c r="R214" s="115">
        <v>3.7810000000000628</v>
      </c>
      <c r="S214" s="4">
        <f t="shared" si="26"/>
        <v>0.66726611938228719</v>
      </c>
      <c r="T214" s="4">
        <f t="shared" si="27"/>
        <v>5.4229909863368307E-2</v>
      </c>
      <c r="U214" s="4">
        <f t="shared" si="28"/>
        <v>0</v>
      </c>
      <c r="V214" s="4">
        <f t="shared" si="29"/>
        <v>0.67951874369579512</v>
      </c>
      <c r="W214" s="116">
        <v>13</v>
      </c>
      <c r="X214" s="115">
        <v>2</v>
      </c>
      <c r="Y214" s="115">
        <v>2</v>
      </c>
      <c r="Z214" s="5">
        <f t="shared" si="30"/>
        <v>0</v>
      </c>
    </row>
    <row r="215" spans="1:26">
      <c r="A215" s="4">
        <v>18</v>
      </c>
      <c r="B215" s="4" t="s">
        <v>152</v>
      </c>
      <c r="C215" s="4" t="s">
        <v>150</v>
      </c>
      <c r="D215" s="5">
        <v>10</v>
      </c>
      <c r="E215" s="5">
        <v>1</v>
      </c>
      <c r="F215" s="4">
        <f t="shared" si="24"/>
        <v>8.7000000000000028</v>
      </c>
      <c r="G215" s="4">
        <f t="shared" si="25"/>
        <v>0.98677173426624498</v>
      </c>
      <c r="H215" s="5">
        <v>1</v>
      </c>
      <c r="I215" s="5">
        <v>5</v>
      </c>
      <c r="J215" s="5">
        <v>0</v>
      </c>
      <c r="K215" s="5"/>
      <c r="L215" s="5">
        <v>1</v>
      </c>
      <c r="M215" s="5">
        <v>65.7</v>
      </c>
      <c r="N215" s="5">
        <v>74.400000000000006</v>
      </c>
      <c r="O215" s="116">
        <v>0.14900000000000091</v>
      </c>
      <c r="P215" s="115"/>
      <c r="Q215" s="115"/>
      <c r="R215" s="115">
        <v>0.14900000000000091</v>
      </c>
      <c r="S215" s="4">
        <f t="shared" si="26"/>
        <v>6.0320028688285524E-2</v>
      </c>
      <c r="T215" s="4">
        <f t="shared" si="27"/>
        <v>0</v>
      </c>
      <c r="U215" s="4">
        <f t="shared" si="28"/>
        <v>0</v>
      </c>
      <c r="V215" s="4">
        <f t="shared" si="29"/>
        <v>6.0320028688285524E-2</v>
      </c>
      <c r="W215" s="116">
        <v>1</v>
      </c>
      <c r="X215" s="115">
        <v>1</v>
      </c>
      <c r="Y215" s="115">
        <v>1</v>
      </c>
      <c r="Z215" s="5">
        <f t="shared" si="30"/>
        <v>0</v>
      </c>
    </row>
    <row r="216" spans="1:26">
      <c r="A216" s="4">
        <v>18</v>
      </c>
      <c r="B216" s="4" t="s">
        <v>152</v>
      </c>
      <c r="C216" s="4" t="s">
        <v>149</v>
      </c>
      <c r="D216" s="5">
        <v>11</v>
      </c>
      <c r="E216" s="5">
        <v>7</v>
      </c>
      <c r="F216" s="4">
        <f t="shared" si="24"/>
        <v>26.399999999999977</v>
      </c>
      <c r="G216" s="4">
        <f t="shared" si="25"/>
        <v>1.4377505628203877</v>
      </c>
      <c r="H216" s="5">
        <v>1</v>
      </c>
      <c r="I216" s="5">
        <v>6</v>
      </c>
      <c r="J216" s="5">
        <v>1</v>
      </c>
      <c r="K216" s="5"/>
      <c r="L216" s="5">
        <v>1</v>
      </c>
      <c r="M216" s="5">
        <v>356</v>
      </c>
      <c r="N216" s="5">
        <v>382.4</v>
      </c>
      <c r="O216" s="116">
        <v>10.248999999999967</v>
      </c>
      <c r="P216" s="115">
        <v>2.116999999999905</v>
      </c>
      <c r="Q216" s="115">
        <v>3.5320000000001528</v>
      </c>
      <c r="R216" s="115">
        <v>15.898000000000025</v>
      </c>
      <c r="S216" s="4">
        <f t="shared" si="26"/>
        <v>1.0511139167776</v>
      </c>
      <c r="T216" s="4">
        <f t="shared" si="27"/>
        <v>0.49373680227682659</v>
      </c>
      <c r="U216" s="4">
        <f t="shared" si="28"/>
        <v>0.65628990119137431</v>
      </c>
      <c r="V216" s="4">
        <f t="shared" si="29"/>
        <v>1.227835305775588</v>
      </c>
      <c r="W216" s="116">
        <v>82</v>
      </c>
      <c r="X216" s="115">
        <v>11</v>
      </c>
      <c r="Y216" s="115">
        <v>3</v>
      </c>
      <c r="Z216" s="5">
        <f t="shared" si="30"/>
        <v>8</v>
      </c>
    </row>
    <row r="217" spans="1:26">
      <c r="A217" s="4">
        <v>18</v>
      </c>
      <c r="B217" s="4" t="s">
        <v>152</v>
      </c>
      <c r="C217" s="4" t="s">
        <v>150</v>
      </c>
      <c r="D217" s="5">
        <v>12</v>
      </c>
      <c r="E217" s="5">
        <v>3</v>
      </c>
      <c r="F217" s="4">
        <f t="shared" si="24"/>
        <v>17.099999999999994</v>
      </c>
      <c r="G217" s="4">
        <f t="shared" si="25"/>
        <v>1.2576785748691843</v>
      </c>
      <c r="H217" s="5">
        <v>1</v>
      </c>
      <c r="I217" s="5">
        <v>6</v>
      </c>
      <c r="J217" s="5">
        <v>0</v>
      </c>
      <c r="K217" s="5"/>
      <c r="L217" s="5">
        <v>1</v>
      </c>
      <c r="M217" s="5">
        <v>182.8</v>
      </c>
      <c r="N217" s="5">
        <v>199.9</v>
      </c>
      <c r="O217" s="116">
        <v>4.5990000000000464</v>
      </c>
      <c r="P217" s="115">
        <v>4.2320000000000277</v>
      </c>
      <c r="Q217" s="115">
        <v>2.2319999999999709</v>
      </c>
      <c r="R217" s="115">
        <v>11.063000000000045</v>
      </c>
      <c r="S217" s="4">
        <f t="shared" si="26"/>
        <v>0.74811046749498733</v>
      </c>
      <c r="T217" s="4">
        <f t="shared" si="27"/>
        <v>0.7186677353162132</v>
      </c>
      <c r="U217" s="4">
        <f t="shared" si="28"/>
        <v>0.50947135210254468</v>
      </c>
      <c r="V217" s="4">
        <f t="shared" si="29"/>
        <v>1.0814553278225751</v>
      </c>
      <c r="W217" s="116">
        <v>38</v>
      </c>
      <c r="X217" s="115">
        <v>7</v>
      </c>
      <c r="Y217" s="115">
        <v>2</v>
      </c>
      <c r="Z217" s="5">
        <f t="shared" si="30"/>
        <v>5</v>
      </c>
    </row>
    <row r="218" spans="1:26">
      <c r="A218" s="4">
        <v>19</v>
      </c>
      <c r="B218" s="4" t="s">
        <v>151</v>
      </c>
      <c r="C218" s="4" t="s">
        <v>154</v>
      </c>
      <c r="D218" s="5">
        <v>1</v>
      </c>
      <c r="E218" s="5">
        <v>2</v>
      </c>
      <c r="F218" s="4">
        <f t="shared" si="24"/>
        <v>6.6999999999999886</v>
      </c>
      <c r="G218" s="4">
        <f t="shared" si="25"/>
        <v>0.88649072517248118</v>
      </c>
      <c r="H218" s="5">
        <v>1</v>
      </c>
      <c r="I218" s="5">
        <v>5</v>
      </c>
      <c r="J218" s="5">
        <v>0</v>
      </c>
      <c r="K218" s="5"/>
      <c r="L218" s="5">
        <v>1</v>
      </c>
      <c r="M218" s="5">
        <v>171.5</v>
      </c>
      <c r="N218" s="5">
        <v>178.2</v>
      </c>
      <c r="O218" s="116">
        <v>1.7489999999999952</v>
      </c>
      <c r="P218" s="115">
        <v>0.81699999999997885</v>
      </c>
      <c r="Q218" s="115">
        <v>1.3160000000000025</v>
      </c>
      <c r="R218" s="115">
        <v>3.8819999999999766</v>
      </c>
      <c r="S218" s="4">
        <f t="shared" si="26"/>
        <v>0.43917473984346772</v>
      </c>
      <c r="T218" s="4">
        <f t="shared" si="27"/>
        <v>0.25935492730802923</v>
      </c>
      <c r="U218" s="4">
        <f t="shared" si="28"/>
        <v>0.36473855505539904</v>
      </c>
      <c r="V218" s="4">
        <f t="shared" si="29"/>
        <v>0.68859777508116771</v>
      </c>
      <c r="W218" s="116">
        <v>19</v>
      </c>
      <c r="X218" s="115">
        <v>4</v>
      </c>
      <c r="Y218" s="115">
        <v>3</v>
      </c>
      <c r="Z218" s="5">
        <f t="shared" si="30"/>
        <v>1</v>
      </c>
    </row>
    <row r="219" spans="1:26">
      <c r="A219" s="4">
        <v>19</v>
      </c>
      <c r="B219" s="4" t="s">
        <v>151</v>
      </c>
      <c r="C219" s="4" t="s">
        <v>149</v>
      </c>
      <c r="D219" s="5">
        <v>2</v>
      </c>
      <c r="E219" s="5">
        <v>6</v>
      </c>
      <c r="F219" s="4">
        <f t="shared" si="24"/>
        <v>13.199999999999989</v>
      </c>
      <c r="G219" s="4">
        <f t="shared" si="25"/>
        <v>1.1522883443830561</v>
      </c>
      <c r="H219" s="5">
        <v>1</v>
      </c>
      <c r="I219" s="5">
        <v>5</v>
      </c>
      <c r="J219" s="5">
        <v>0</v>
      </c>
      <c r="K219" s="5"/>
      <c r="L219" s="5">
        <v>1</v>
      </c>
      <c r="M219" s="5">
        <v>387.6</v>
      </c>
      <c r="N219" s="5">
        <v>400.8</v>
      </c>
      <c r="O219" s="116">
        <v>4.0669999999998367</v>
      </c>
      <c r="P219" s="115">
        <v>2.1509999999998399</v>
      </c>
      <c r="Q219" s="115">
        <v>3.3210000000000264</v>
      </c>
      <c r="R219" s="115">
        <v>9.538999999999703</v>
      </c>
      <c r="S219" s="4">
        <f t="shared" si="26"/>
        <v>0.70475090429065712</v>
      </c>
      <c r="T219" s="4">
        <f t="shared" si="27"/>
        <v>0.49844840317397759</v>
      </c>
      <c r="U219" s="4">
        <f t="shared" si="28"/>
        <v>0.63558426631123277</v>
      </c>
      <c r="V219" s="4">
        <f t="shared" si="29"/>
        <v>1.0227994045116757</v>
      </c>
      <c r="W219" s="116">
        <v>46</v>
      </c>
      <c r="X219" s="115">
        <v>4</v>
      </c>
      <c r="Y219" s="115">
        <v>3</v>
      </c>
      <c r="Z219" s="5">
        <f t="shared" si="30"/>
        <v>1</v>
      </c>
    </row>
    <row r="220" spans="1:26">
      <c r="A220" s="4">
        <v>19</v>
      </c>
      <c r="B220" s="4" t="s">
        <v>151</v>
      </c>
      <c r="C220" s="4" t="s">
        <v>150</v>
      </c>
      <c r="D220" s="5">
        <v>3</v>
      </c>
      <c r="E220" s="5">
        <v>10</v>
      </c>
      <c r="F220" s="4">
        <f t="shared" si="24"/>
        <v>37.5</v>
      </c>
      <c r="G220" s="4">
        <f t="shared" si="25"/>
        <v>1.5854607295085006</v>
      </c>
      <c r="H220" s="5">
        <v>1</v>
      </c>
      <c r="I220" s="5">
        <v>4</v>
      </c>
      <c r="J220" s="5">
        <v>1</v>
      </c>
      <c r="K220" s="5"/>
      <c r="L220" s="5">
        <v>3</v>
      </c>
      <c r="M220" s="5">
        <v>587.20000000000005</v>
      </c>
      <c r="N220" s="5">
        <v>624.70000000000005</v>
      </c>
      <c r="O220" s="116">
        <v>5.6839999999999691</v>
      </c>
      <c r="P220" s="115">
        <v>1.6010000000001128</v>
      </c>
      <c r="Q220" s="115">
        <v>13.428999999999519</v>
      </c>
      <c r="R220" s="115">
        <v>20.713999999999601</v>
      </c>
      <c r="S220" s="4">
        <f t="shared" si="26"/>
        <v>0.82503644122135167</v>
      </c>
      <c r="T220" s="4">
        <f t="shared" si="27"/>
        <v>0.41514035219589157</v>
      </c>
      <c r="U220" s="4">
        <f t="shared" si="28"/>
        <v>1.1592362334128894</v>
      </c>
      <c r="V220" s="4">
        <f t="shared" si="29"/>
        <v>1.336739833491835</v>
      </c>
      <c r="W220" s="116">
        <v>106</v>
      </c>
      <c r="X220" s="115">
        <v>28</v>
      </c>
      <c r="Y220" s="115">
        <v>4</v>
      </c>
      <c r="Z220" s="5">
        <f t="shared" si="30"/>
        <v>24</v>
      </c>
    </row>
    <row r="221" spans="1:26">
      <c r="A221" s="4">
        <v>19</v>
      </c>
      <c r="B221" s="4" t="s">
        <v>151</v>
      </c>
      <c r="C221" s="4" t="s">
        <v>154</v>
      </c>
      <c r="D221" s="5">
        <v>4</v>
      </c>
      <c r="E221" s="5">
        <v>4</v>
      </c>
      <c r="F221" s="4">
        <f t="shared" si="24"/>
        <v>15.800000000000011</v>
      </c>
      <c r="G221" s="4">
        <f t="shared" si="25"/>
        <v>1.2253092817258631</v>
      </c>
      <c r="H221" s="5">
        <v>0</v>
      </c>
      <c r="I221" s="5">
        <v>4</v>
      </c>
      <c r="J221" s="5">
        <v>1</v>
      </c>
      <c r="K221" s="5"/>
      <c r="L221" s="5">
        <v>2</v>
      </c>
      <c r="M221" s="5">
        <v>277.2</v>
      </c>
      <c r="N221" s="5">
        <v>293</v>
      </c>
      <c r="O221" s="116">
        <v>6.4149999999998499</v>
      </c>
      <c r="P221" s="115">
        <v>2.2169999999999845</v>
      </c>
      <c r="Q221" s="115">
        <v>1.5349999999999113</v>
      </c>
      <c r="R221" s="115">
        <v>10.166999999999746</v>
      </c>
      <c r="S221" s="4">
        <f t="shared" si="26"/>
        <v>0.87011115536439199</v>
      </c>
      <c r="T221" s="4">
        <f t="shared" si="27"/>
        <v>0.50745106090196768</v>
      </c>
      <c r="U221" s="4">
        <f t="shared" si="28"/>
        <v>0.40397796366933958</v>
      </c>
      <c r="V221" s="4">
        <f t="shared" si="29"/>
        <v>1.0479365161380692</v>
      </c>
      <c r="W221" s="116">
        <v>49</v>
      </c>
      <c r="X221" s="115">
        <v>11</v>
      </c>
      <c r="Y221" s="115">
        <v>5</v>
      </c>
      <c r="Z221" s="5">
        <f t="shared" si="30"/>
        <v>6</v>
      </c>
    </row>
    <row r="222" spans="1:26">
      <c r="A222" s="4">
        <v>19</v>
      </c>
      <c r="B222" s="4" t="s">
        <v>151</v>
      </c>
      <c r="C222" s="4" t="s">
        <v>150</v>
      </c>
      <c r="D222" s="5">
        <v>5</v>
      </c>
      <c r="E222" s="5">
        <v>12</v>
      </c>
      <c r="F222" s="4">
        <f t="shared" si="24"/>
        <v>15.399999999999977</v>
      </c>
      <c r="G222" s="4">
        <f t="shared" si="25"/>
        <v>1.2148438480476973</v>
      </c>
      <c r="H222" s="5">
        <v>0</v>
      </c>
      <c r="I222" s="5">
        <v>4</v>
      </c>
      <c r="J222" s="5">
        <v>1</v>
      </c>
      <c r="K222" s="5"/>
      <c r="L222" s="5">
        <v>1</v>
      </c>
      <c r="M222" s="5">
        <v>722.5</v>
      </c>
      <c r="N222" s="5">
        <v>737.9</v>
      </c>
      <c r="O222" s="116">
        <v>2.9309999999995853</v>
      </c>
      <c r="P222" s="115">
        <v>3.2659999999999627</v>
      </c>
      <c r="Q222" s="115">
        <v>3.8679999999999382</v>
      </c>
      <c r="R222" s="115">
        <v>10.064999999999486</v>
      </c>
      <c r="S222" s="4">
        <f t="shared" si="26"/>
        <v>0.59450304382004338</v>
      </c>
      <c r="T222" s="4">
        <f t="shared" si="27"/>
        <v>0.63002085111340611</v>
      </c>
      <c r="U222" s="4">
        <f t="shared" si="28"/>
        <v>0.68735056955802187</v>
      </c>
      <c r="V222" s="4">
        <f t="shared" si="29"/>
        <v>1.0439514182632565</v>
      </c>
      <c r="W222" s="116">
        <v>42</v>
      </c>
      <c r="X222" s="115">
        <v>6</v>
      </c>
      <c r="Y222" s="115">
        <v>3</v>
      </c>
      <c r="Z222" s="5">
        <f t="shared" si="30"/>
        <v>3</v>
      </c>
    </row>
    <row r="223" spans="1:26">
      <c r="A223" s="4">
        <v>19</v>
      </c>
      <c r="B223" s="4" t="s">
        <v>151</v>
      </c>
      <c r="C223" s="4" t="s">
        <v>149</v>
      </c>
      <c r="D223" s="5">
        <v>6</v>
      </c>
      <c r="E223" s="5">
        <v>8</v>
      </c>
      <c r="F223" s="4">
        <f t="shared" si="24"/>
        <v>13.700000000000045</v>
      </c>
      <c r="G223" s="4">
        <f t="shared" si="25"/>
        <v>1.1673173347481773</v>
      </c>
      <c r="H223" s="5">
        <v>1</v>
      </c>
      <c r="I223" s="5">
        <v>4</v>
      </c>
      <c r="J223" s="5">
        <v>0</v>
      </c>
      <c r="K223" s="5"/>
      <c r="L223" s="5">
        <v>2</v>
      </c>
      <c r="M223" s="5">
        <v>475.4</v>
      </c>
      <c r="N223" s="5">
        <v>489.1</v>
      </c>
      <c r="O223" s="116">
        <v>3.3999999999999773</v>
      </c>
      <c r="P223" s="115">
        <v>2.9499999999999886</v>
      </c>
      <c r="Q223" s="115">
        <v>2.7989999999999213</v>
      </c>
      <c r="R223" s="115">
        <v>9.1489999999998872</v>
      </c>
      <c r="S223" s="4">
        <f t="shared" si="26"/>
        <v>0.6434526764861852</v>
      </c>
      <c r="T223" s="4">
        <f t="shared" si="27"/>
        <v>0.59659709562645902</v>
      </c>
      <c r="U223" s="4">
        <f t="shared" si="28"/>
        <v>0.57966929355471131</v>
      </c>
      <c r="V223" s="4">
        <f t="shared" si="29"/>
        <v>1.0064232525076382</v>
      </c>
      <c r="W223" s="116">
        <v>40</v>
      </c>
      <c r="X223" s="115">
        <v>4</v>
      </c>
      <c r="Y223" s="115">
        <v>3</v>
      </c>
      <c r="Z223" s="5">
        <f t="shared" si="30"/>
        <v>1</v>
      </c>
    </row>
    <row r="224" spans="1:26">
      <c r="A224" s="4">
        <v>19</v>
      </c>
      <c r="B224" s="4" t="s">
        <v>152</v>
      </c>
      <c r="C224" s="4" t="s">
        <v>154</v>
      </c>
      <c r="D224" s="5">
        <v>7</v>
      </c>
      <c r="E224" s="5">
        <v>3</v>
      </c>
      <c r="F224" s="4">
        <f t="shared" si="24"/>
        <v>13.899999999999977</v>
      </c>
      <c r="G224" s="4">
        <f t="shared" si="25"/>
        <v>1.1731862684122734</v>
      </c>
      <c r="H224" s="5">
        <v>1</v>
      </c>
      <c r="I224" s="5">
        <v>5</v>
      </c>
      <c r="J224" s="5">
        <v>1</v>
      </c>
      <c r="K224" s="5"/>
      <c r="L224" s="5">
        <v>2</v>
      </c>
      <c r="M224" s="5">
        <v>225.8</v>
      </c>
      <c r="N224" s="5">
        <v>239.7</v>
      </c>
      <c r="O224" s="116">
        <v>3.7319999999999141</v>
      </c>
      <c r="P224" s="115">
        <v>4.6330000000000098</v>
      </c>
      <c r="Q224" s="115">
        <v>1.08299999999997</v>
      </c>
      <c r="R224" s="115">
        <v>9.4479999999998938</v>
      </c>
      <c r="S224" s="4">
        <f t="shared" si="26"/>
        <v>0.67504473595588488</v>
      </c>
      <c r="T224" s="4">
        <f t="shared" si="27"/>
        <v>0.75073975123535153</v>
      </c>
      <c r="U224" s="4">
        <f t="shared" si="28"/>
        <v>0.31868926994773961</v>
      </c>
      <c r="V224" s="4">
        <f t="shared" si="29"/>
        <v>1.0190331639309942</v>
      </c>
      <c r="W224" s="116">
        <v>36</v>
      </c>
      <c r="X224" s="115">
        <v>8</v>
      </c>
      <c r="Y224" s="115">
        <v>4</v>
      </c>
      <c r="Z224" s="5">
        <f t="shared" si="30"/>
        <v>4</v>
      </c>
    </row>
    <row r="225" spans="1:26">
      <c r="A225" s="4">
        <v>19</v>
      </c>
      <c r="B225" s="4" t="s">
        <v>152</v>
      </c>
      <c r="C225" s="4" t="s">
        <v>149</v>
      </c>
      <c r="D225" s="5">
        <v>8</v>
      </c>
      <c r="E225" s="5">
        <v>5</v>
      </c>
      <c r="F225" s="4">
        <f t="shared" si="24"/>
        <v>4.2000000000000455</v>
      </c>
      <c r="G225" s="4">
        <f t="shared" si="25"/>
        <v>0.716003343634803</v>
      </c>
      <c r="H225" s="5">
        <v>1</v>
      </c>
      <c r="I225" s="5">
        <v>5</v>
      </c>
      <c r="J225" s="5">
        <v>0</v>
      </c>
      <c r="K225" s="5"/>
      <c r="L225" s="5">
        <v>1</v>
      </c>
      <c r="M225" s="5">
        <v>350.9</v>
      </c>
      <c r="N225" s="5">
        <v>355.1</v>
      </c>
      <c r="O225" s="116">
        <v>2.533999999999935</v>
      </c>
      <c r="P225" s="115">
        <v>0.10000000000002274</v>
      </c>
      <c r="Q225" s="115"/>
      <c r="R225" s="115">
        <v>2.6339999999999577</v>
      </c>
      <c r="S225" s="4">
        <f t="shared" si="26"/>
        <v>0.54826654517073725</v>
      </c>
      <c r="T225" s="4">
        <f t="shared" si="27"/>
        <v>4.1392685158234015E-2</v>
      </c>
      <c r="U225" s="4">
        <f t="shared" si="28"/>
        <v>0</v>
      </c>
      <c r="V225" s="4">
        <f t="shared" si="29"/>
        <v>0.56038492297201048</v>
      </c>
      <c r="W225" s="116">
        <v>10</v>
      </c>
      <c r="X225" s="115">
        <v>1</v>
      </c>
      <c r="Y225" s="115">
        <v>1</v>
      </c>
      <c r="Z225" s="5">
        <f t="shared" si="30"/>
        <v>0</v>
      </c>
    </row>
    <row r="226" spans="1:26">
      <c r="A226" s="4">
        <v>19</v>
      </c>
      <c r="B226" s="4" t="s">
        <v>152</v>
      </c>
      <c r="C226" s="4" t="s">
        <v>149</v>
      </c>
      <c r="D226" s="5">
        <v>9</v>
      </c>
      <c r="E226" s="5">
        <v>7</v>
      </c>
      <c r="F226" s="4">
        <f t="shared" si="24"/>
        <v>10.5</v>
      </c>
      <c r="G226" s="4">
        <f t="shared" si="25"/>
        <v>1.0606978403536116</v>
      </c>
      <c r="H226" s="5">
        <v>1</v>
      </c>
      <c r="I226" s="5">
        <v>5</v>
      </c>
      <c r="J226" s="5">
        <v>0</v>
      </c>
      <c r="K226" s="5"/>
      <c r="L226" s="5">
        <v>1</v>
      </c>
      <c r="M226" s="5">
        <v>438.2</v>
      </c>
      <c r="N226" s="5">
        <v>448.7</v>
      </c>
      <c r="O226" s="116">
        <v>3.1999999999999886</v>
      </c>
      <c r="P226" s="115">
        <v>1.5660000000000309</v>
      </c>
      <c r="Q226" s="115">
        <v>0.75099999999991951</v>
      </c>
      <c r="R226" s="115">
        <v>5.5169999999999391</v>
      </c>
      <c r="S226" s="4">
        <f t="shared" si="26"/>
        <v>0.62324929039789934</v>
      </c>
      <c r="T226" s="4">
        <f t="shared" si="27"/>
        <v>0.40925665203891493</v>
      </c>
      <c r="U226" s="4">
        <f t="shared" si="28"/>
        <v>0.24328614608342616</v>
      </c>
      <c r="V226" s="4">
        <f t="shared" si="29"/>
        <v>0.81404772099559541</v>
      </c>
      <c r="W226" s="116">
        <v>30</v>
      </c>
      <c r="X226" s="115">
        <v>7</v>
      </c>
      <c r="Y226" s="115">
        <v>3</v>
      </c>
      <c r="Z226" s="5">
        <f t="shared" si="30"/>
        <v>4</v>
      </c>
    </row>
    <row r="227" spans="1:26">
      <c r="A227" s="4">
        <v>19</v>
      </c>
      <c r="B227" s="4" t="s">
        <v>152</v>
      </c>
      <c r="C227" s="4" t="s">
        <v>150</v>
      </c>
      <c r="D227" s="5">
        <v>10</v>
      </c>
      <c r="E227" s="5">
        <v>9</v>
      </c>
      <c r="F227" s="4">
        <f t="shared" si="24"/>
        <v>5.8999999999999773</v>
      </c>
      <c r="G227" s="4">
        <f t="shared" si="25"/>
        <v>0.83884909073725389</v>
      </c>
      <c r="H227" s="5">
        <v>1</v>
      </c>
      <c r="I227" s="5">
        <v>3</v>
      </c>
      <c r="J227" s="5">
        <v>0</v>
      </c>
      <c r="K227" s="5"/>
      <c r="L227" s="5">
        <v>1</v>
      </c>
      <c r="M227" s="5">
        <v>543.20000000000005</v>
      </c>
      <c r="N227" s="5">
        <v>549.1</v>
      </c>
      <c r="O227" s="116"/>
      <c r="P227" s="115">
        <v>0.53399999999999181</v>
      </c>
      <c r="Q227" s="115">
        <v>2.6340000000000146</v>
      </c>
      <c r="R227" s="115">
        <v>3.1680000000000064</v>
      </c>
      <c r="S227" s="4">
        <f t="shared" si="26"/>
        <v>0</v>
      </c>
      <c r="T227" s="4">
        <f t="shared" si="27"/>
        <v>0.18582535961295985</v>
      </c>
      <c r="U227" s="4">
        <f t="shared" si="28"/>
        <v>0.56038492297201725</v>
      </c>
      <c r="V227" s="4">
        <f t="shared" si="29"/>
        <v>0.61992771029146876</v>
      </c>
      <c r="W227" s="116">
        <v>13</v>
      </c>
      <c r="X227" s="115">
        <v>2</v>
      </c>
      <c r="Y227" s="115">
        <v>2</v>
      </c>
      <c r="Z227" s="5">
        <f t="shared" si="30"/>
        <v>0</v>
      </c>
    </row>
    <row r="228" spans="1:26">
      <c r="A228" s="4">
        <v>19</v>
      </c>
      <c r="B228" s="4" t="s">
        <v>152</v>
      </c>
      <c r="C228" s="4" t="s">
        <v>150</v>
      </c>
      <c r="D228" s="5">
        <v>11</v>
      </c>
      <c r="E228" s="5">
        <v>11</v>
      </c>
      <c r="F228" s="4">
        <f t="shared" si="24"/>
        <v>10.5</v>
      </c>
      <c r="G228" s="4">
        <f t="shared" si="25"/>
        <v>1.0606978403536116</v>
      </c>
      <c r="H228" s="5">
        <v>1</v>
      </c>
      <c r="I228" s="5">
        <v>4</v>
      </c>
      <c r="J228" s="5">
        <v>1</v>
      </c>
      <c r="K228" s="5"/>
      <c r="L228" s="5">
        <v>3</v>
      </c>
      <c r="M228" s="5">
        <v>656</v>
      </c>
      <c r="N228" s="5">
        <v>666.5</v>
      </c>
      <c r="O228" s="116">
        <v>1.2010000000000218</v>
      </c>
      <c r="P228" s="115">
        <v>0.68300000000010641</v>
      </c>
      <c r="Q228" s="115">
        <v>3.0989999999999327</v>
      </c>
      <c r="R228" s="115">
        <v>4.9830000000000609</v>
      </c>
      <c r="S228" s="4">
        <f t="shared" si="26"/>
        <v>0.34262004255335227</v>
      </c>
      <c r="T228" s="4">
        <f t="shared" si="27"/>
        <v>0.22608411597585129</v>
      </c>
      <c r="U228" s="4">
        <f t="shared" si="28"/>
        <v>0.61267791831649465</v>
      </c>
      <c r="V228" s="4">
        <f t="shared" si="29"/>
        <v>0.77691900284205084</v>
      </c>
      <c r="W228" s="116">
        <v>21</v>
      </c>
      <c r="X228" s="115">
        <v>3</v>
      </c>
      <c r="Y228" s="115">
        <v>3</v>
      </c>
      <c r="Z228" s="5">
        <f>X228-Y228</f>
        <v>0</v>
      </c>
    </row>
    <row r="229" spans="1:26">
      <c r="A229" s="4">
        <v>19</v>
      </c>
      <c r="B229" s="4" t="s">
        <v>152</v>
      </c>
      <c r="C229" s="4" t="s">
        <v>154</v>
      </c>
      <c r="D229" s="5">
        <v>12</v>
      </c>
      <c r="E229" s="5">
        <v>1</v>
      </c>
      <c r="F229" s="4">
        <f t="shared" si="24"/>
        <v>4.7000000000000028</v>
      </c>
      <c r="G229" s="4">
        <f t="shared" si="25"/>
        <v>0.75587485567249157</v>
      </c>
      <c r="H229" s="5">
        <v>1</v>
      </c>
      <c r="I229" s="5">
        <v>5</v>
      </c>
      <c r="J229" s="5">
        <v>0</v>
      </c>
      <c r="K229" s="5"/>
      <c r="L229" s="5">
        <v>1</v>
      </c>
      <c r="M229" s="5">
        <v>92.6</v>
      </c>
      <c r="N229" s="5">
        <v>97.3</v>
      </c>
      <c r="O229" s="116">
        <v>2.5149999999999864</v>
      </c>
      <c r="P229" s="115">
        <v>9.9999999999994316E-2</v>
      </c>
      <c r="Q229" s="115">
        <v>0.74900000000000944</v>
      </c>
      <c r="R229" s="115">
        <v>3.3639999999999901</v>
      </c>
      <c r="S229" s="4">
        <f t="shared" si="26"/>
        <v>0.54592532935584104</v>
      </c>
      <c r="T229" s="4">
        <f t="shared" si="27"/>
        <v>4.1392685158222794E-2</v>
      </c>
      <c r="U229" s="4">
        <f t="shared" si="28"/>
        <v>0.24278980947867887</v>
      </c>
      <c r="V229" s="4">
        <f t="shared" si="29"/>
        <v>0.63988474191630329</v>
      </c>
      <c r="W229" s="116">
        <v>11</v>
      </c>
      <c r="X229" s="115">
        <v>1</v>
      </c>
      <c r="Y229" s="115">
        <v>1</v>
      </c>
      <c r="Z229" s="5">
        <f t="shared" ref="Z229:Z253" si="31">X229-Y229</f>
        <v>0</v>
      </c>
    </row>
    <row r="230" spans="1:26">
      <c r="A230" s="4">
        <v>20</v>
      </c>
      <c r="B230" s="4" t="s">
        <v>151</v>
      </c>
      <c r="C230" s="4" t="s">
        <v>149</v>
      </c>
      <c r="D230" s="5">
        <v>1</v>
      </c>
      <c r="E230" s="5">
        <v>12</v>
      </c>
      <c r="F230" s="4">
        <f t="shared" si="24"/>
        <v>4.2999999999999545</v>
      </c>
      <c r="G230" s="4">
        <f t="shared" si="25"/>
        <v>0.72427586960078527</v>
      </c>
      <c r="H230" s="5">
        <v>0</v>
      </c>
      <c r="I230" s="5">
        <v>6</v>
      </c>
      <c r="J230" s="5">
        <v>0</v>
      </c>
      <c r="K230" s="5"/>
      <c r="L230" s="5">
        <v>1</v>
      </c>
      <c r="M230" s="5">
        <v>603.1</v>
      </c>
      <c r="N230" s="5">
        <v>607.4</v>
      </c>
      <c r="O230" s="116">
        <v>0.16599999999993997</v>
      </c>
      <c r="P230" s="115">
        <v>1.3490000000000464</v>
      </c>
      <c r="Q230" s="115">
        <v>0.14999999999997726</v>
      </c>
      <c r="R230" s="115">
        <v>1.6649999999999636</v>
      </c>
      <c r="S230" s="4">
        <f t="shared" si="26"/>
        <v>6.669855042297293E-2</v>
      </c>
      <c r="T230" s="4">
        <f t="shared" si="27"/>
        <v>0.37088301677761443</v>
      </c>
      <c r="U230" s="4">
        <f t="shared" si="28"/>
        <v>6.0697840353603094E-2</v>
      </c>
      <c r="V230" s="4">
        <f t="shared" si="29"/>
        <v>0.42569721336258515</v>
      </c>
      <c r="W230" s="116">
        <v>10</v>
      </c>
      <c r="X230" s="115">
        <v>1</v>
      </c>
      <c r="Y230" s="115">
        <v>1</v>
      </c>
      <c r="Z230" s="5">
        <f t="shared" si="31"/>
        <v>0</v>
      </c>
    </row>
    <row r="231" spans="1:26">
      <c r="A231" s="4">
        <v>20</v>
      </c>
      <c r="B231" s="4" t="s">
        <v>151</v>
      </c>
      <c r="C231" s="4" t="s">
        <v>154</v>
      </c>
      <c r="D231" s="5">
        <v>2</v>
      </c>
      <c r="E231" s="5">
        <v>2</v>
      </c>
      <c r="F231" s="4">
        <f t="shared" si="24"/>
        <v>9.6999999999999886</v>
      </c>
      <c r="G231" s="4">
        <f t="shared" si="25"/>
        <v>1.0293837776852093</v>
      </c>
      <c r="H231" s="5">
        <v>1</v>
      </c>
      <c r="I231" s="5">
        <v>6</v>
      </c>
      <c r="J231" s="5">
        <v>0</v>
      </c>
      <c r="K231" s="5"/>
      <c r="L231" s="5">
        <v>1</v>
      </c>
      <c r="M231" s="5">
        <v>173</v>
      </c>
      <c r="N231" s="5">
        <v>182.7</v>
      </c>
      <c r="O231" s="116">
        <v>5.3649999999999807</v>
      </c>
      <c r="P231" s="115">
        <v>0.31600000000003092</v>
      </c>
      <c r="Q231" s="115">
        <v>0.3170000000000357</v>
      </c>
      <c r="R231" s="115">
        <v>5.9980000000000473</v>
      </c>
      <c r="S231" s="4">
        <f t="shared" si="26"/>
        <v>0.80379840798967284</v>
      </c>
      <c r="T231" s="4">
        <f t="shared" si="27"/>
        <v>0.11925588927794689</v>
      </c>
      <c r="U231" s="4">
        <f t="shared" si="28"/>
        <v>0.11958577496179558</v>
      </c>
      <c r="V231" s="4">
        <f t="shared" si="29"/>
        <v>0.84497393814689059</v>
      </c>
      <c r="W231" s="116">
        <v>30</v>
      </c>
      <c r="X231" s="115">
        <v>8</v>
      </c>
      <c r="Y231" s="115">
        <v>3</v>
      </c>
      <c r="Z231" s="5">
        <f t="shared" si="31"/>
        <v>5</v>
      </c>
    </row>
    <row r="232" spans="1:26">
      <c r="A232" s="4">
        <v>20</v>
      </c>
      <c r="B232" s="4" t="s">
        <v>151</v>
      </c>
      <c r="C232" s="4" t="s">
        <v>149</v>
      </c>
      <c r="D232" s="5">
        <v>3</v>
      </c>
      <c r="E232" s="5">
        <v>10</v>
      </c>
      <c r="F232" s="4">
        <f t="shared" si="24"/>
        <v>7</v>
      </c>
      <c r="G232" s="4">
        <f t="shared" si="25"/>
        <v>0.90308998699194354</v>
      </c>
      <c r="H232" s="5">
        <v>1</v>
      </c>
      <c r="I232" s="5">
        <v>5</v>
      </c>
      <c r="J232" s="5">
        <v>0</v>
      </c>
      <c r="K232" s="5"/>
      <c r="L232" s="5">
        <v>1</v>
      </c>
      <c r="M232" s="5">
        <v>532.29999999999995</v>
      </c>
      <c r="N232" s="5">
        <v>539.29999999999995</v>
      </c>
      <c r="O232" s="116">
        <v>0.74900000000002365</v>
      </c>
      <c r="P232" s="115">
        <v>1.067000000000121</v>
      </c>
      <c r="Q232" s="115">
        <v>1.6829999999997654</v>
      </c>
      <c r="R232" s="115">
        <v>3.49899999999991</v>
      </c>
      <c r="S232" s="4">
        <f t="shared" si="26"/>
        <v>0.24278980947868239</v>
      </c>
      <c r="T232" s="4">
        <f t="shared" si="27"/>
        <v>0.31534047662731368</v>
      </c>
      <c r="U232" s="4">
        <f t="shared" si="28"/>
        <v>0.42862067267190102</v>
      </c>
      <c r="V232" s="4">
        <f t="shared" si="29"/>
        <v>0.65311599316555813</v>
      </c>
      <c r="W232" s="116">
        <v>14</v>
      </c>
      <c r="X232" s="115">
        <v>5</v>
      </c>
      <c r="Y232" s="115">
        <v>2</v>
      </c>
      <c r="Z232" s="5">
        <f t="shared" si="31"/>
        <v>3</v>
      </c>
    </row>
    <row r="233" spans="1:26">
      <c r="A233" s="4">
        <v>20</v>
      </c>
      <c r="B233" s="4" t="s">
        <v>151</v>
      </c>
      <c r="C233" s="4" t="s">
        <v>150</v>
      </c>
      <c r="D233" s="5">
        <v>4</v>
      </c>
      <c r="E233" s="5">
        <v>6</v>
      </c>
      <c r="F233" s="4">
        <f t="shared" si="24"/>
        <v>8.8000000000000114</v>
      </c>
      <c r="G233" s="4">
        <f t="shared" si="25"/>
        <v>0.99122607569249532</v>
      </c>
      <c r="H233" s="5">
        <v>1</v>
      </c>
      <c r="I233" s="5">
        <v>3</v>
      </c>
      <c r="J233" s="5">
        <v>0</v>
      </c>
      <c r="K233" s="5"/>
      <c r="L233" s="5">
        <v>1</v>
      </c>
      <c r="M233" s="5">
        <v>383.5</v>
      </c>
      <c r="N233" s="5">
        <v>392.3</v>
      </c>
      <c r="O233" s="116">
        <v>3.9309999999999832</v>
      </c>
      <c r="P233" s="115">
        <v>0.20000000000004547</v>
      </c>
      <c r="Q233" s="115">
        <v>0.69900000000001228</v>
      </c>
      <c r="R233" s="115">
        <v>4.8300000000000409</v>
      </c>
      <c r="S233" s="4">
        <f t="shared" si="26"/>
        <v>0.69293500253113627</v>
      </c>
      <c r="T233" s="4">
        <f t="shared" si="27"/>
        <v>7.918124604764129E-2</v>
      </c>
      <c r="U233" s="4">
        <f t="shared" si="28"/>
        <v>0.23019337886904875</v>
      </c>
      <c r="V233" s="4">
        <f t="shared" si="29"/>
        <v>0.76566855475901718</v>
      </c>
      <c r="W233" s="116">
        <v>22</v>
      </c>
      <c r="X233" s="115">
        <v>5</v>
      </c>
      <c r="Y233" s="115">
        <v>3</v>
      </c>
      <c r="Z233" s="5">
        <f t="shared" si="31"/>
        <v>2</v>
      </c>
    </row>
    <row r="234" spans="1:26">
      <c r="A234" s="4">
        <v>20</v>
      </c>
      <c r="B234" s="4" t="s">
        <v>151</v>
      </c>
      <c r="C234" s="4" t="s">
        <v>154</v>
      </c>
      <c r="D234" s="5">
        <v>5</v>
      </c>
      <c r="E234" s="5">
        <v>4</v>
      </c>
      <c r="F234" s="4">
        <f t="shared" si="24"/>
        <v>4.5</v>
      </c>
      <c r="G234" s="4">
        <f t="shared" si="25"/>
        <v>0.74036268949424389</v>
      </c>
      <c r="H234" s="5">
        <v>0</v>
      </c>
      <c r="I234" s="5">
        <v>4</v>
      </c>
      <c r="J234" s="5">
        <v>1</v>
      </c>
      <c r="K234" s="5"/>
      <c r="L234" s="5">
        <v>1</v>
      </c>
      <c r="M234" s="5">
        <v>240.3</v>
      </c>
      <c r="N234" s="5">
        <v>244.8</v>
      </c>
      <c r="O234" s="116">
        <v>0.73300000000000409</v>
      </c>
      <c r="P234" s="115">
        <v>1.5340000000000487</v>
      </c>
      <c r="Q234" s="115">
        <v>0.71599999999997976</v>
      </c>
      <c r="R234" s="115">
        <v>2.9830000000000325</v>
      </c>
      <c r="S234" s="4">
        <f t="shared" si="26"/>
        <v>0.23879856271391803</v>
      </c>
      <c r="T234" s="4">
        <f t="shared" si="27"/>
        <v>0.40380661054743089</v>
      </c>
      <c r="U234" s="4">
        <f t="shared" si="28"/>
        <v>0.23451728351268153</v>
      </c>
      <c r="V234" s="4">
        <f t="shared" si="29"/>
        <v>0.6002103064093316</v>
      </c>
      <c r="W234" s="116">
        <v>13</v>
      </c>
      <c r="X234" s="115">
        <v>1</v>
      </c>
      <c r="Y234" s="115">
        <v>1</v>
      </c>
      <c r="Z234" s="5">
        <f t="shared" si="31"/>
        <v>0</v>
      </c>
    </row>
    <row r="235" spans="1:26">
      <c r="A235" s="4">
        <v>20</v>
      </c>
      <c r="B235" s="4" t="s">
        <v>151</v>
      </c>
      <c r="C235" s="4" t="s">
        <v>150</v>
      </c>
      <c r="D235" s="5">
        <v>6</v>
      </c>
      <c r="E235" s="5">
        <v>8</v>
      </c>
      <c r="F235" s="4">
        <f t="shared" si="24"/>
        <v>9.2999999999999545</v>
      </c>
      <c r="G235" s="4">
        <f t="shared" si="25"/>
        <v>1.0128372247051702</v>
      </c>
      <c r="H235" s="5">
        <v>1</v>
      </c>
      <c r="I235" s="5">
        <v>4</v>
      </c>
      <c r="J235" s="5">
        <v>0</v>
      </c>
      <c r="K235" s="5"/>
      <c r="L235" s="5">
        <v>2</v>
      </c>
      <c r="M235" s="5">
        <v>457.1</v>
      </c>
      <c r="N235" s="5">
        <v>466.4</v>
      </c>
      <c r="O235" s="116">
        <v>3.1629999999998972</v>
      </c>
      <c r="P235" s="115">
        <v>0.51699999999999591</v>
      </c>
      <c r="Q235" s="115">
        <v>0.88400000000001455</v>
      </c>
      <c r="R235" s="115">
        <v>4.5639999999999077</v>
      </c>
      <c r="S235" s="4">
        <f t="shared" si="26"/>
        <v>0.61940641088676662</v>
      </c>
      <c r="T235" s="4">
        <f t="shared" si="27"/>
        <v>0.18098558078672933</v>
      </c>
      <c r="U235" s="4">
        <f t="shared" si="28"/>
        <v>0.2750808984568619</v>
      </c>
      <c r="V235" s="4">
        <f t="shared" si="29"/>
        <v>0.74538712132000162</v>
      </c>
      <c r="W235" s="116">
        <v>25</v>
      </c>
      <c r="X235" s="115">
        <v>3</v>
      </c>
      <c r="Y235" s="115">
        <v>2</v>
      </c>
      <c r="Z235" s="5">
        <f t="shared" si="31"/>
        <v>1</v>
      </c>
    </row>
    <row r="236" spans="1:26">
      <c r="A236" s="4">
        <v>20</v>
      </c>
      <c r="B236" s="4" t="s">
        <v>152</v>
      </c>
      <c r="C236" s="4" t="s">
        <v>149</v>
      </c>
      <c r="D236" s="5">
        <v>7</v>
      </c>
      <c r="E236" s="5">
        <v>11</v>
      </c>
      <c r="F236" s="4">
        <f t="shared" si="24"/>
        <v>4.1000000000000227</v>
      </c>
      <c r="G236" s="4">
        <f t="shared" si="25"/>
        <v>0.70757017609793826</v>
      </c>
      <c r="H236" s="5">
        <v>1</v>
      </c>
      <c r="I236" s="5">
        <v>6</v>
      </c>
      <c r="J236" s="5">
        <v>0</v>
      </c>
      <c r="K236" s="5"/>
      <c r="L236" s="5">
        <v>1</v>
      </c>
      <c r="M236" s="5">
        <v>575.1</v>
      </c>
      <c r="N236" s="5">
        <v>579.20000000000005</v>
      </c>
      <c r="O236" s="116">
        <v>1.2170000000000982</v>
      </c>
      <c r="P236" s="115">
        <v>0.54899999999997817</v>
      </c>
      <c r="Q236" s="115">
        <v>0.88400000000001455</v>
      </c>
      <c r="R236" s="115">
        <v>2.6500000000000909</v>
      </c>
      <c r="S236" s="4">
        <f t="shared" si="26"/>
        <v>0.34576569311450739</v>
      </c>
      <c r="T236" s="4">
        <f t="shared" si="27"/>
        <v>0.19005141775919987</v>
      </c>
      <c r="U236" s="4">
        <f t="shared" si="28"/>
        <v>0.2750808984568619</v>
      </c>
      <c r="V236" s="4">
        <f t="shared" si="29"/>
        <v>0.56229286445648552</v>
      </c>
      <c r="W236" s="116">
        <v>13</v>
      </c>
      <c r="X236" s="115">
        <v>3</v>
      </c>
      <c r="Y236" s="115">
        <v>3</v>
      </c>
      <c r="Z236" s="5">
        <f t="shared" si="31"/>
        <v>0</v>
      </c>
    </row>
    <row r="237" spans="1:26">
      <c r="A237" s="4">
        <v>20</v>
      </c>
      <c r="B237" s="4" t="s">
        <v>152</v>
      </c>
      <c r="C237" s="4" t="s">
        <v>150</v>
      </c>
      <c r="D237" s="5">
        <v>8</v>
      </c>
      <c r="E237" s="5">
        <v>7</v>
      </c>
      <c r="F237" s="4">
        <f t="shared" si="24"/>
        <v>5.1999999999999886</v>
      </c>
      <c r="G237" s="4">
        <f t="shared" si="25"/>
        <v>0.79239168949825312</v>
      </c>
      <c r="H237" s="5">
        <v>1</v>
      </c>
      <c r="I237" s="5">
        <v>4</v>
      </c>
      <c r="J237" s="5">
        <v>0</v>
      </c>
      <c r="K237" s="5"/>
      <c r="L237" s="5">
        <v>1</v>
      </c>
      <c r="M237" s="5">
        <v>427.2</v>
      </c>
      <c r="N237" s="5">
        <v>432.4</v>
      </c>
      <c r="O237" s="116">
        <v>2.5840000000000032</v>
      </c>
      <c r="P237" s="115">
        <v>0.60099999999999909</v>
      </c>
      <c r="Q237" s="115">
        <v>0.14999999999997726</v>
      </c>
      <c r="R237" s="115">
        <v>3.3349999999999795</v>
      </c>
      <c r="S237" s="4">
        <f t="shared" si="26"/>
        <v>0.55436800099008798</v>
      </c>
      <c r="T237" s="4">
        <f t="shared" si="27"/>
        <v>0.20439133191929948</v>
      </c>
      <c r="U237" s="4">
        <f t="shared" si="28"/>
        <v>6.0697840353603094E-2</v>
      </c>
      <c r="V237" s="4">
        <f t="shared" si="29"/>
        <v>0.63698910181222701</v>
      </c>
      <c r="W237" s="116">
        <v>13</v>
      </c>
      <c r="X237" s="115">
        <v>1</v>
      </c>
      <c r="Y237" s="115">
        <v>1</v>
      </c>
      <c r="Z237" s="5">
        <f t="shared" si="31"/>
        <v>0</v>
      </c>
    </row>
    <row r="238" spans="1:26">
      <c r="A238" s="4">
        <v>20</v>
      </c>
      <c r="B238" s="4" t="s">
        <v>152</v>
      </c>
      <c r="C238" s="4" t="s">
        <v>150</v>
      </c>
      <c r="D238" s="5">
        <v>9</v>
      </c>
      <c r="E238" s="5">
        <v>5</v>
      </c>
      <c r="F238" s="4">
        <f t="shared" si="24"/>
        <v>10.300000000000011</v>
      </c>
      <c r="G238" s="4">
        <f t="shared" si="25"/>
        <v>1.0530784434834202</v>
      </c>
      <c r="H238" s="5">
        <v>1</v>
      </c>
      <c r="I238" s="5">
        <v>2</v>
      </c>
      <c r="J238" s="5">
        <v>0</v>
      </c>
      <c r="K238" s="5"/>
      <c r="L238" s="5">
        <v>2</v>
      </c>
      <c r="M238" s="5">
        <v>342.8</v>
      </c>
      <c r="N238" s="5">
        <v>353.1</v>
      </c>
      <c r="O238" s="116">
        <v>2.6169999999999618</v>
      </c>
      <c r="P238" s="115"/>
      <c r="Q238" s="115">
        <v>3.1309999999999718</v>
      </c>
      <c r="R238" s="115">
        <v>5.7479999999999336</v>
      </c>
      <c r="S238" s="4">
        <f t="shared" si="26"/>
        <v>0.55834850876161513</v>
      </c>
      <c r="T238" s="4">
        <f t="shared" si="27"/>
        <v>0</v>
      </c>
      <c r="U238" s="4">
        <f t="shared" si="28"/>
        <v>0.61605519497658312</v>
      </c>
      <c r="V238" s="4">
        <f t="shared" si="29"/>
        <v>0.82917507391708334</v>
      </c>
      <c r="W238" s="116">
        <v>29</v>
      </c>
      <c r="X238" s="115">
        <v>3</v>
      </c>
      <c r="Y238" s="115">
        <v>2</v>
      </c>
      <c r="Z238" s="5">
        <f t="shared" si="31"/>
        <v>1</v>
      </c>
    </row>
    <row r="239" spans="1:26">
      <c r="A239" s="4">
        <v>20</v>
      </c>
      <c r="B239" s="4" t="s">
        <v>152</v>
      </c>
      <c r="C239" s="4" t="s">
        <v>154</v>
      </c>
      <c r="D239" s="5">
        <v>10</v>
      </c>
      <c r="E239" s="5">
        <v>3</v>
      </c>
      <c r="F239" s="4">
        <f t="shared" si="24"/>
        <v>4.7999999999999829</v>
      </c>
      <c r="G239" s="4">
        <f t="shared" si="25"/>
        <v>0.763427993562936</v>
      </c>
      <c r="H239" s="5">
        <v>1</v>
      </c>
      <c r="I239" s="5">
        <v>6</v>
      </c>
      <c r="J239" s="5">
        <v>0</v>
      </c>
      <c r="K239" s="5"/>
      <c r="L239" s="5">
        <v>1</v>
      </c>
      <c r="M239" s="5">
        <v>211.9</v>
      </c>
      <c r="N239" s="5">
        <v>216.7</v>
      </c>
      <c r="O239" s="116">
        <v>1.9500000000000171</v>
      </c>
      <c r="P239" s="115">
        <v>1.0190000000000055</v>
      </c>
      <c r="Q239" s="115">
        <v>0.70000000000001705</v>
      </c>
      <c r="R239" s="115">
        <v>3.6690000000000396</v>
      </c>
      <c r="S239" s="4">
        <f t="shared" si="26"/>
        <v>0.46982201597816553</v>
      </c>
      <c r="T239" s="4">
        <f t="shared" si="27"/>
        <v>0.30513631894364046</v>
      </c>
      <c r="U239" s="4">
        <f t="shared" si="28"/>
        <v>0.2304489213782783</v>
      </c>
      <c r="V239" s="4">
        <f t="shared" si="29"/>
        <v>0.66922387393080951</v>
      </c>
      <c r="W239" s="116">
        <v>13</v>
      </c>
      <c r="X239" s="115">
        <v>4</v>
      </c>
      <c r="Y239" s="115">
        <v>3</v>
      </c>
      <c r="Z239" s="5">
        <f t="shared" si="31"/>
        <v>1</v>
      </c>
    </row>
    <row r="240" spans="1:26">
      <c r="A240" s="4">
        <v>20</v>
      </c>
      <c r="B240" s="4" t="s">
        <v>152</v>
      </c>
      <c r="C240" s="4" t="s">
        <v>154</v>
      </c>
      <c r="D240" s="5">
        <v>11</v>
      </c>
      <c r="E240" s="5">
        <v>1</v>
      </c>
      <c r="F240" s="4">
        <f t="shared" si="24"/>
        <v>10.799999999999983</v>
      </c>
      <c r="G240" s="4">
        <f t="shared" si="25"/>
        <v>1.0718820073061248</v>
      </c>
      <c r="H240" s="5">
        <v>1</v>
      </c>
      <c r="I240" s="5">
        <v>6</v>
      </c>
      <c r="J240" s="5">
        <v>1</v>
      </c>
      <c r="K240" s="5"/>
      <c r="L240" s="5">
        <v>3</v>
      </c>
      <c r="M240" s="5">
        <v>119.9</v>
      </c>
      <c r="N240" s="5">
        <v>130.69999999999999</v>
      </c>
      <c r="O240" s="116">
        <v>2.5829999999999842</v>
      </c>
      <c r="P240" s="115">
        <v>2.6340000000000288</v>
      </c>
      <c r="Q240" s="115">
        <v>1.1850000000000307</v>
      </c>
      <c r="R240" s="115">
        <v>6.4020000000000437</v>
      </c>
      <c r="S240" s="4">
        <f t="shared" si="26"/>
        <v>0.55424680816610872</v>
      </c>
      <c r="T240" s="4">
        <f t="shared" si="27"/>
        <v>0.56038492297201892</v>
      </c>
      <c r="U240" s="4">
        <f t="shared" si="28"/>
        <v>0.33945144130644672</v>
      </c>
      <c r="V240" s="4">
        <f t="shared" si="29"/>
        <v>0.86934908075909556</v>
      </c>
      <c r="W240" s="116">
        <v>25</v>
      </c>
      <c r="X240" s="115">
        <v>8</v>
      </c>
      <c r="Y240" s="115">
        <v>4</v>
      </c>
      <c r="Z240" s="5">
        <f t="shared" si="31"/>
        <v>4</v>
      </c>
    </row>
    <row r="241" spans="1:26">
      <c r="A241" s="4">
        <v>20</v>
      </c>
      <c r="B241" s="4" t="s">
        <v>152</v>
      </c>
      <c r="C241" s="4" t="s">
        <v>149</v>
      </c>
      <c r="D241" s="5">
        <v>12</v>
      </c>
      <c r="E241" s="5">
        <v>9</v>
      </c>
      <c r="F241" s="4">
        <f t="shared" si="24"/>
        <v>2.8000000000000114</v>
      </c>
      <c r="G241" s="4">
        <f t="shared" si="25"/>
        <v>0.57978359661681145</v>
      </c>
      <c r="H241" s="5">
        <v>1</v>
      </c>
      <c r="I241" s="5">
        <v>5</v>
      </c>
      <c r="J241" s="5">
        <v>0</v>
      </c>
      <c r="K241" s="5"/>
      <c r="L241" s="5">
        <v>1</v>
      </c>
      <c r="M241" s="5">
        <v>500.7</v>
      </c>
      <c r="N241" s="5">
        <v>503.5</v>
      </c>
      <c r="O241" s="116">
        <v>0.33299999999996999</v>
      </c>
      <c r="P241" s="115">
        <v>1.5010000000000332</v>
      </c>
      <c r="Q241" s="115">
        <v>0.19999999999998863</v>
      </c>
      <c r="R241" s="115">
        <v>2.0339999999999918</v>
      </c>
      <c r="S241" s="4">
        <f t="shared" si="26"/>
        <v>0.12483014941384943</v>
      </c>
      <c r="T241" s="4">
        <f t="shared" si="27"/>
        <v>0.39811369173050831</v>
      </c>
      <c r="U241" s="4">
        <f t="shared" si="28"/>
        <v>7.918124604762071E-2</v>
      </c>
      <c r="V241" s="4">
        <f t="shared" si="29"/>
        <v>0.48201557645071053</v>
      </c>
      <c r="W241" s="116">
        <v>6</v>
      </c>
      <c r="X241" s="115">
        <v>2</v>
      </c>
      <c r="Y241" s="115">
        <v>2</v>
      </c>
      <c r="Z241" s="5">
        <f t="shared" si="31"/>
        <v>0</v>
      </c>
    </row>
    <row r="242" spans="1:26">
      <c r="A242" s="4">
        <v>21</v>
      </c>
      <c r="B242" s="4" t="s">
        <v>151</v>
      </c>
      <c r="C242" s="4" t="s">
        <v>150</v>
      </c>
      <c r="D242" s="5">
        <v>1</v>
      </c>
      <c r="E242" s="5">
        <v>12</v>
      </c>
      <c r="F242" s="4">
        <f t="shared" si="24"/>
        <v>38.899999999999977</v>
      </c>
      <c r="G242" s="4">
        <f t="shared" si="25"/>
        <v>1.6009728956867479</v>
      </c>
      <c r="H242" s="5">
        <v>1</v>
      </c>
      <c r="I242" s="5">
        <v>5</v>
      </c>
      <c r="J242" s="5">
        <v>1</v>
      </c>
      <c r="K242" s="5"/>
      <c r="L242" s="5">
        <v>1</v>
      </c>
      <c r="M242" s="5">
        <v>946.2</v>
      </c>
      <c r="N242" s="5">
        <v>985.1</v>
      </c>
      <c r="O242" s="116">
        <v>4.8830000000001519</v>
      </c>
      <c r="P242" s="115">
        <v>3.5309999999997217</v>
      </c>
      <c r="Q242" s="115">
        <v>12.152000000000271</v>
      </c>
      <c r="R242" s="115">
        <v>20.566000000000145</v>
      </c>
      <c r="S242" s="4">
        <f t="shared" si="26"/>
        <v>0.76959884838745773</v>
      </c>
      <c r="T242" s="4">
        <f t="shared" si="27"/>
        <v>0.6561940621791591</v>
      </c>
      <c r="U242" s="4">
        <f t="shared" si="28"/>
        <v>1.1189918001959842</v>
      </c>
      <c r="V242" s="4">
        <f t="shared" si="29"/>
        <v>1.3337696008734774</v>
      </c>
      <c r="W242" s="116">
        <v>113</v>
      </c>
      <c r="X242" s="115">
        <v>13</v>
      </c>
      <c r="Y242" s="115">
        <v>5</v>
      </c>
      <c r="Z242" s="5">
        <f t="shared" si="31"/>
        <v>8</v>
      </c>
    </row>
    <row r="243" spans="1:26">
      <c r="A243" s="4">
        <v>21</v>
      </c>
      <c r="B243" s="4" t="s">
        <v>151</v>
      </c>
      <c r="C243" s="4" t="s">
        <v>149</v>
      </c>
      <c r="D243" s="5">
        <v>2</v>
      </c>
      <c r="E243" s="5">
        <v>4</v>
      </c>
      <c r="F243" s="4">
        <f t="shared" si="24"/>
        <v>34.5</v>
      </c>
      <c r="G243" s="4">
        <f t="shared" si="25"/>
        <v>1.550228353055094</v>
      </c>
      <c r="H243" s="5">
        <v>1</v>
      </c>
      <c r="I243" s="5">
        <v>4</v>
      </c>
      <c r="J243" s="5">
        <v>1</v>
      </c>
      <c r="K243" s="5"/>
      <c r="L243" s="5">
        <v>5</v>
      </c>
      <c r="M243" s="5">
        <v>263.5</v>
      </c>
      <c r="N243" s="5">
        <v>298</v>
      </c>
      <c r="O243" s="116">
        <v>6.9540000000000646</v>
      </c>
      <c r="P243" s="115">
        <v>2.7989999999999782</v>
      </c>
      <c r="Q243" s="115">
        <v>5.6000000000001364</v>
      </c>
      <c r="R243" s="115">
        <v>15.353000000000179</v>
      </c>
      <c r="S243" s="4">
        <f t="shared" si="26"/>
        <v>0.90058558664996502</v>
      </c>
      <c r="T243" s="4">
        <f t="shared" si="27"/>
        <v>0.57966929355471786</v>
      </c>
      <c r="U243" s="4">
        <f t="shared" si="28"/>
        <v>0.81954393554187766</v>
      </c>
      <c r="V243" s="4">
        <f t="shared" si="29"/>
        <v>1.2135974367473639</v>
      </c>
      <c r="W243" s="116">
        <v>82</v>
      </c>
      <c r="X243" s="115">
        <v>18</v>
      </c>
      <c r="Y243" s="115">
        <v>6</v>
      </c>
      <c r="Z243" s="5">
        <f t="shared" si="31"/>
        <v>12</v>
      </c>
    </row>
    <row r="244" spans="1:26">
      <c r="A244" s="4">
        <v>21</v>
      </c>
      <c r="B244" s="4" t="s">
        <v>151</v>
      </c>
      <c r="C244" s="4" t="s">
        <v>154</v>
      </c>
      <c r="D244" s="5">
        <v>3</v>
      </c>
      <c r="E244" s="5">
        <v>6</v>
      </c>
      <c r="F244" s="4">
        <f t="shared" si="24"/>
        <v>4.2000000000000455</v>
      </c>
      <c r="G244" s="4">
        <f t="shared" si="25"/>
        <v>0.716003343634803</v>
      </c>
      <c r="H244" s="5">
        <v>1</v>
      </c>
      <c r="I244" s="5">
        <v>4</v>
      </c>
      <c r="J244" s="5">
        <v>0</v>
      </c>
      <c r="K244" s="5"/>
      <c r="L244" s="5">
        <v>2</v>
      </c>
      <c r="M244" s="5">
        <v>432.4</v>
      </c>
      <c r="N244" s="5">
        <v>436.6</v>
      </c>
      <c r="O244" s="116">
        <v>0.41699999999997317</v>
      </c>
      <c r="P244" s="115">
        <v>1.5160000000000196</v>
      </c>
      <c r="Q244" s="115">
        <v>0.70099999999996498</v>
      </c>
      <c r="R244" s="115">
        <v>2.6339999999999577</v>
      </c>
      <c r="S244" s="4">
        <f t="shared" si="26"/>
        <v>0.15136985024745217</v>
      </c>
      <c r="T244" s="4">
        <f t="shared" si="27"/>
        <v>0.40071063677323471</v>
      </c>
      <c r="U244" s="4">
        <f t="shared" si="28"/>
        <v>0.23070431361256008</v>
      </c>
      <c r="V244" s="4">
        <f t="shared" si="29"/>
        <v>0.56038492297201048</v>
      </c>
      <c r="W244" s="116">
        <v>13</v>
      </c>
      <c r="X244" s="115">
        <v>4</v>
      </c>
      <c r="Y244" s="115">
        <v>4</v>
      </c>
      <c r="Z244" s="5">
        <f t="shared" si="31"/>
        <v>0</v>
      </c>
    </row>
    <row r="245" spans="1:26">
      <c r="A245" s="4">
        <v>21</v>
      </c>
      <c r="B245" s="4" t="s">
        <v>151</v>
      </c>
      <c r="C245" s="4" t="s">
        <v>149</v>
      </c>
      <c r="D245" s="5">
        <v>4</v>
      </c>
      <c r="E245" s="5">
        <v>2</v>
      </c>
      <c r="F245" s="4">
        <f t="shared" si="24"/>
        <v>40.300000000000011</v>
      </c>
      <c r="G245" s="4">
        <f t="shared" si="25"/>
        <v>1.6159500516564012</v>
      </c>
      <c r="H245" s="5">
        <v>1</v>
      </c>
      <c r="I245" s="5">
        <v>6</v>
      </c>
      <c r="J245" s="5">
        <v>1</v>
      </c>
      <c r="K245" s="5"/>
      <c r="L245" s="5">
        <v>6</v>
      </c>
      <c r="M245" s="5">
        <v>133.5</v>
      </c>
      <c r="N245" s="5">
        <v>173.8</v>
      </c>
      <c r="O245" s="116">
        <v>7.4019999999999015</v>
      </c>
      <c r="P245" s="115">
        <v>2.2670000000000528</v>
      </c>
      <c r="Q245" s="115">
        <v>8.4820000000000277</v>
      </c>
      <c r="R245" s="115">
        <v>18.150999999999982</v>
      </c>
      <c r="S245" s="4">
        <f t="shared" si="26"/>
        <v>0.92438267720196809</v>
      </c>
      <c r="T245" s="4">
        <f t="shared" si="27"/>
        <v>0.51414913447544441</v>
      </c>
      <c r="U245" s="4">
        <f t="shared" si="28"/>
        <v>0.97689995098293914</v>
      </c>
      <c r="V245" s="4">
        <f t="shared" si="29"/>
        <v>1.2821914562755559</v>
      </c>
      <c r="W245" s="116">
        <v>97</v>
      </c>
      <c r="X245" s="115">
        <v>27</v>
      </c>
      <c r="Y245" s="115">
        <v>6</v>
      </c>
      <c r="Z245" s="5">
        <f t="shared" si="31"/>
        <v>21</v>
      </c>
    </row>
    <row r="246" spans="1:26">
      <c r="A246" s="4">
        <v>21</v>
      </c>
      <c r="B246" s="4" t="s">
        <v>151</v>
      </c>
      <c r="C246" s="4" t="s">
        <v>150</v>
      </c>
      <c r="D246" s="5">
        <v>5</v>
      </c>
      <c r="E246" s="5">
        <v>10</v>
      </c>
      <c r="F246" s="4">
        <f t="shared" si="24"/>
        <v>19.800000000000068</v>
      </c>
      <c r="G246" s="4">
        <f t="shared" si="25"/>
        <v>1.3180633349627631</v>
      </c>
      <c r="H246" s="5">
        <v>1</v>
      </c>
      <c r="I246" s="5">
        <v>3</v>
      </c>
      <c r="J246" s="5">
        <v>0</v>
      </c>
      <c r="K246" s="5"/>
      <c r="L246" s="5">
        <v>2</v>
      </c>
      <c r="M246" s="5">
        <v>790.4</v>
      </c>
      <c r="N246" s="5">
        <v>810.2</v>
      </c>
      <c r="O246" s="116">
        <v>3.2839999999999918</v>
      </c>
      <c r="P246" s="115">
        <v>0.66500000000007731</v>
      </c>
      <c r="Q246" s="115">
        <v>6.4970000000000709</v>
      </c>
      <c r="R246" s="115">
        <v>10.44600000000014</v>
      </c>
      <c r="S246" s="4">
        <f t="shared" si="26"/>
        <v>0.63184946215981719</v>
      </c>
      <c r="T246" s="4">
        <f t="shared" si="27"/>
        <v>0.22141423784235884</v>
      </c>
      <c r="U246" s="4">
        <f t="shared" si="28"/>
        <v>0.8748875108461166</v>
      </c>
      <c r="V246" s="4">
        <f t="shared" si="29"/>
        <v>1.0586537415723756</v>
      </c>
      <c r="W246" s="116">
        <v>60</v>
      </c>
      <c r="X246" s="115">
        <v>9</v>
      </c>
      <c r="Y246" s="115">
        <v>3</v>
      </c>
      <c r="Z246" s="5">
        <f t="shared" si="31"/>
        <v>6</v>
      </c>
    </row>
    <row r="247" spans="1:26">
      <c r="A247" s="4">
        <v>21</v>
      </c>
      <c r="B247" s="4" t="s">
        <v>151</v>
      </c>
      <c r="C247" s="4" t="s">
        <v>154</v>
      </c>
      <c r="D247" s="5">
        <v>6</v>
      </c>
      <c r="E247" s="5">
        <v>8</v>
      </c>
      <c r="F247" s="4">
        <f t="shared" si="24"/>
        <v>21.600000000000023</v>
      </c>
      <c r="G247" s="4">
        <f t="shared" si="25"/>
        <v>1.3541084391474014</v>
      </c>
      <c r="H247" s="5">
        <v>0</v>
      </c>
      <c r="I247" s="5">
        <v>3</v>
      </c>
      <c r="J247" s="5">
        <v>0</v>
      </c>
      <c r="K247" s="5"/>
      <c r="L247" s="5">
        <v>3</v>
      </c>
      <c r="M247" s="5">
        <v>558</v>
      </c>
      <c r="N247" s="5">
        <v>579.6</v>
      </c>
      <c r="O247" s="116">
        <v>4.1650000000003047</v>
      </c>
      <c r="P247" s="115">
        <v>3.0679999999998699</v>
      </c>
      <c r="Q247" s="115">
        <v>2.4490000000001828</v>
      </c>
      <c r="R247" s="115">
        <v>9.6820000000003574</v>
      </c>
      <c r="S247" s="4">
        <f t="shared" si="26"/>
        <v>0.71307032585566499</v>
      </c>
      <c r="T247" s="4">
        <f t="shared" si="27"/>
        <v>0.60938094425069311</v>
      </c>
      <c r="U247" s="4">
        <f t="shared" si="28"/>
        <v>0.5376931943674137</v>
      </c>
      <c r="V247" s="4">
        <f t="shared" si="29"/>
        <v>1.0286525736331331</v>
      </c>
      <c r="W247" s="116">
        <v>57</v>
      </c>
      <c r="X247" s="115">
        <v>18</v>
      </c>
      <c r="Y247" s="115">
        <v>5</v>
      </c>
      <c r="Z247" s="5">
        <f t="shared" si="31"/>
        <v>13</v>
      </c>
    </row>
    <row r="248" spans="1:26">
      <c r="A248" s="4">
        <v>21</v>
      </c>
      <c r="B248" s="4" t="s">
        <v>152</v>
      </c>
      <c r="C248" s="4" t="s">
        <v>150</v>
      </c>
      <c r="D248" s="5">
        <v>7</v>
      </c>
      <c r="E248" s="5">
        <v>9</v>
      </c>
      <c r="F248" s="4">
        <f t="shared" si="24"/>
        <v>33.100000000000023</v>
      </c>
      <c r="G248" s="4">
        <f t="shared" si="25"/>
        <v>1.532754378992498</v>
      </c>
      <c r="H248" s="5">
        <v>1</v>
      </c>
      <c r="I248" s="5">
        <v>1</v>
      </c>
      <c r="J248" s="5">
        <v>1</v>
      </c>
      <c r="K248" s="5"/>
      <c r="L248" s="5">
        <v>2</v>
      </c>
      <c r="M248" s="5">
        <v>688.5</v>
      </c>
      <c r="N248" s="5">
        <v>721.6</v>
      </c>
      <c r="O248" s="116">
        <v>8.1219999999997299</v>
      </c>
      <c r="P248" s="115">
        <v>3.7829999999999018</v>
      </c>
      <c r="Q248" s="115">
        <v>9.0860000000000127</v>
      </c>
      <c r="R248" s="115">
        <v>20.990999999999644</v>
      </c>
      <c r="S248" s="4">
        <f t="shared" si="26"/>
        <v>0.96009006790490659</v>
      </c>
      <c r="T248" s="4">
        <f t="shared" si="27"/>
        <v>0.67970038087195528</v>
      </c>
      <c r="U248" s="4">
        <f t="shared" si="28"/>
        <v>1.0037189638231152</v>
      </c>
      <c r="V248" s="4">
        <f t="shared" si="29"/>
        <v>1.3422449785471129</v>
      </c>
      <c r="W248" s="116">
        <v>105</v>
      </c>
      <c r="X248" s="115">
        <v>23</v>
      </c>
      <c r="Y248" s="115">
        <v>5</v>
      </c>
      <c r="Z248" s="5">
        <f t="shared" si="31"/>
        <v>18</v>
      </c>
    </row>
    <row r="249" spans="1:26">
      <c r="A249" s="4">
        <v>21</v>
      </c>
      <c r="B249" s="4" t="s">
        <v>152</v>
      </c>
      <c r="C249" s="4" t="s">
        <v>154</v>
      </c>
      <c r="D249" s="5">
        <v>8</v>
      </c>
      <c r="E249" s="5">
        <v>5</v>
      </c>
      <c r="F249" s="4">
        <f t="shared" si="24"/>
        <v>20.800000000000011</v>
      </c>
      <c r="G249" s="4">
        <f t="shared" si="25"/>
        <v>1.3384564936046051</v>
      </c>
      <c r="H249" s="5">
        <v>1</v>
      </c>
      <c r="I249" s="5">
        <v>6</v>
      </c>
      <c r="J249" s="5">
        <v>0</v>
      </c>
      <c r="K249" s="5"/>
      <c r="L249" s="5">
        <v>2</v>
      </c>
      <c r="M249" s="5">
        <v>365.3</v>
      </c>
      <c r="N249" s="5">
        <v>386.1</v>
      </c>
      <c r="O249" s="116">
        <v>5.94500000000005</v>
      </c>
      <c r="P249" s="115">
        <v>2.3010000000001583</v>
      </c>
      <c r="Q249" s="115">
        <v>3.5689999999998463</v>
      </c>
      <c r="R249" s="115">
        <v>11.815000000000055</v>
      </c>
      <c r="S249" s="4">
        <f t="shared" si="26"/>
        <v>0.84167225007363755</v>
      </c>
      <c r="T249" s="4">
        <f t="shared" si="27"/>
        <v>0.5186455243303324</v>
      </c>
      <c r="U249" s="4">
        <f t="shared" si="28"/>
        <v>0.65982115805569042</v>
      </c>
      <c r="V249" s="4">
        <f t="shared" si="29"/>
        <v>1.1077186105202648</v>
      </c>
      <c r="W249" s="116">
        <v>59</v>
      </c>
      <c r="X249" s="115">
        <v>16</v>
      </c>
      <c r="Y249" s="115">
        <v>3</v>
      </c>
      <c r="Z249" s="5">
        <f t="shared" si="31"/>
        <v>13</v>
      </c>
    </row>
    <row r="250" spans="1:26">
      <c r="A250" s="4">
        <v>21</v>
      </c>
      <c r="B250" s="4" t="s">
        <v>152</v>
      </c>
      <c r="C250" s="4" t="s">
        <v>154</v>
      </c>
      <c r="D250" s="5">
        <v>9</v>
      </c>
      <c r="E250" s="5">
        <v>7</v>
      </c>
      <c r="F250" s="4">
        <f t="shared" si="24"/>
        <v>11.700000000000045</v>
      </c>
      <c r="G250" s="4">
        <f t="shared" si="25"/>
        <v>1.1038037209559584</v>
      </c>
      <c r="H250" s="5">
        <v>1</v>
      </c>
      <c r="I250" s="5">
        <v>3</v>
      </c>
      <c r="J250" s="5">
        <v>0</v>
      </c>
      <c r="K250" s="5"/>
      <c r="L250" s="5">
        <v>2</v>
      </c>
      <c r="M250" s="5">
        <v>508.9</v>
      </c>
      <c r="N250" s="5">
        <v>520.6</v>
      </c>
      <c r="O250" s="116">
        <v>2.4819999999998572</v>
      </c>
      <c r="P250" s="115">
        <v>0.5340000000001055</v>
      </c>
      <c r="Q250" s="115">
        <v>1.9500000000000455</v>
      </c>
      <c r="R250" s="115">
        <v>4.9660000000000082</v>
      </c>
      <c r="S250" s="4">
        <f t="shared" si="26"/>
        <v>0.54182876678129455</v>
      </c>
      <c r="T250" s="4">
        <f t="shared" si="27"/>
        <v>0.18582535961299201</v>
      </c>
      <c r="U250" s="4">
        <f t="shared" si="28"/>
        <v>0.46982201597816969</v>
      </c>
      <c r="V250" s="4">
        <f t="shared" si="29"/>
        <v>0.77568324902604446</v>
      </c>
      <c r="W250" s="116">
        <v>27</v>
      </c>
      <c r="X250" s="115">
        <v>7</v>
      </c>
      <c r="Y250" s="115">
        <v>3</v>
      </c>
      <c r="Z250" s="5">
        <f t="shared" si="31"/>
        <v>4</v>
      </c>
    </row>
    <row r="251" spans="1:26">
      <c r="A251" s="4">
        <v>21</v>
      </c>
      <c r="B251" s="4" t="s">
        <v>152</v>
      </c>
      <c r="C251" s="4" t="s">
        <v>149</v>
      </c>
      <c r="D251" s="5">
        <v>10</v>
      </c>
      <c r="E251" s="5">
        <v>3</v>
      </c>
      <c r="F251" s="4">
        <f t="shared" si="24"/>
        <v>9.6000000000000227</v>
      </c>
      <c r="G251" s="4">
        <f t="shared" si="25"/>
        <v>1.0253058652647711</v>
      </c>
      <c r="H251" s="5">
        <v>1</v>
      </c>
      <c r="I251" s="5">
        <v>3</v>
      </c>
      <c r="J251" s="5">
        <v>0</v>
      </c>
      <c r="K251" s="5"/>
      <c r="L251" s="5">
        <v>1</v>
      </c>
      <c r="M251" s="5">
        <v>225.7</v>
      </c>
      <c r="N251" s="5">
        <v>235.3</v>
      </c>
      <c r="O251" s="116">
        <v>1.4480000000000928</v>
      </c>
      <c r="P251" s="115">
        <v>1.2829999999999586</v>
      </c>
      <c r="Q251" s="115">
        <v>2</v>
      </c>
      <c r="R251" s="115">
        <v>4.7310000000000514</v>
      </c>
      <c r="S251" s="4">
        <f t="shared" si="26"/>
        <v>0.38881141347354004</v>
      </c>
      <c r="T251" s="4">
        <f t="shared" si="27"/>
        <v>0.35850591149022737</v>
      </c>
      <c r="U251" s="4">
        <f t="shared" si="28"/>
        <v>0.47712125471966244</v>
      </c>
      <c r="V251" s="4">
        <f t="shared" si="29"/>
        <v>0.75823040845775336</v>
      </c>
      <c r="W251" s="116">
        <v>36</v>
      </c>
      <c r="X251" s="115">
        <v>5</v>
      </c>
      <c r="Y251" s="115">
        <v>3</v>
      </c>
      <c r="Z251" s="5">
        <f t="shared" si="31"/>
        <v>2</v>
      </c>
    </row>
    <row r="252" spans="1:26">
      <c r="A252" s="4">
        <v>21</v>
      </c>
      <c r="B252" s="4" t="s">
        <v>152</v>
      </c>
      <c r="C252" s="4" t="s">
        <v>149</v>
      </c>
      <c r="D252" s="5">
        <v>11</v>
      </c>
      <c r="E252" s="5">
        <v>1</v>
      </c>
      <c r="F252" s="4">
        <f t="shared" si="24"/>
        <v>10.5</v>
      </c>
      <c r="G252" s="4">
        <f t="shared" si="25"/>
        <v>1.0606978403536116</v>
      </c>
      <c r="H252" s="5">
        <v>1</v>
      </c>
      <c r="I252" s="5">
        <v>5</v>
      </c>
      <c r="J252" s="5">
        <v>0</v>
      </c>
      <c r="K252" s="5"/>
      <c r="L252" s="5">
        <v>3</v>
      </c>
      <c r="M252" s="5">
        <v>64.7</v>
      </c>
      <c r="N252" s="5">
        <v>75.2</v>
      </c>
      <c r="O252" s="116">
        <v>1.6640000000000015</v>
      </c>
      <c r="P252" s="115">
        <v>1.4670000000000272</v>
      </c>
      <c r="Q252" s="115">
        <v>2.2840000000000202</v>
      </c>
      <c r="R252" s="115">
        <v>5.4150000000000489</v>
      </c>
      <c r="S252" s="4">
        <f t="shared" si="26"/>
        <v>0.42553422049826367</v>
      </c>
      <c r="T252" s="4">
        <f t="shared" si="27"/>
        <v>0.3921691494897408</v>
      </c>
      <c r="U252" s="4">
        <f t="shared" si="28"/>
        <v>0.51640314844740587</v>
      </c>
      <c r="V252" s="4">
        <f t="shared" si="29"/>
        <v>0.80719666071095064</v>
      </c>
      <c r="W252" s="116">
        <v>30</v>
      </c>
      <c r="X252" s="115">
        <v>7</v>
      </c>
      <c r="Y252" s="115">
        <v>3</v>
      </c>
      <c r="Z252" s="5">
        <f t="shared" si="31"/>
        <v>4</v>
      </c>
    </row>
    <row r="253" spans="1:26">
      <c r="A253" s="4">
        <v>21</v>
      </c>
      <c r="B253" s="4" t="s">
        <v>152</v>
      </c>
      <c r="C253" s="4" t="s">
        <v>150</v>
      </c>
      <c r="D253" s="5">
        <v>12</v>
      </c>
      <c r="E253" s="5">
        <v>11</v>
      </c>
      <c r="F253" s="4">
        <f t="shared" si="24"/>
        <v>41.900000000000091</v>
      </c>
      <c r="G253" s="4">
        <f t="shared" si="25"/>
        <v>1.6324572921847251</v>
      </c>
      <c r="H253" s="5">
        <v>1</v>
      </c>
      <c r="I253" s="5">
        <v>3</v>
      </c>
      <c r="J253" s="5">
        <v>1</v>
      </c>
      <c r="K253" s="5"/>
      <c r="L253" s="5">
        <v>4</v>
      </c>
      <c r="M253" s="5">
        <v>839.3</v>
      </c>
      <c r="N253" s="5">
        <v>881.2</v>
      </c>
      <c r="O253" s="116">
        <v>1.8159999999999172</v>
      </c>
      <c r="P253" s="115">
        <v>2.8999999999996362</v>
      </c>
      <c r="Q253" s="115">
        <v>16.130000000000109</v>
      </c>
      <c r="R253" s="115">
        <v>20.845999999999663</v>
      </c>
      <c r="S253" s="4">
        <f t="shared" si="26"/>
        <v>0.44963265047006185</v>
      </c>
      <c r="T253" s="4">
        <f t="shared" si="27"/>
        <v>0.59106460702645869</v>
      </c>
      <c r="U253" s="4">
        <f t="shared" si="28"/>
        <v>1.2337573629655132</v>
      </c>
      <c r="V253" s="4">
        <f t="shared" si="29"/>
        <v>1.3393719293175808</v>
      </c>
      <c r="W253" s="116">
        <v>104</v>
      </c>
      <c r="X253" s="115">
        <v>14</v>
      </c>
      <c r="Y253" s="115">
        <v>4</v>
      </c>
      <c r="Z253" s="5">
        <f t="shared" si="31"/>
        <v>10</v>
      </c>
    </row>
    <row r="254" spans="1:26">
      <c r="A254" s="4">
        <v>22</v>
      </c>
      <c r="B254" s="4" t="s">
        <v>151</v>
      </c>
      <c r="C254" s="4" t="s">
        <v>154</v>
      </c>
      <c r="D254" s="5">
        <v>1</v>
      </c>
      <c r="E254" s="5">
        <v>12</v>
      </c>
      <c r="F254" s="4">
        <f t="shared" si="24"/>
        <v>11.5</v>
      </c>
      <c r="G254" s="4">
        <f t="shared" si="25"/>
        <v>1.0969100130080565</v>
      </c>
      <c r="H254" s="5">
        <v>1</v>
      </c>
      <c r="I254" s="5">
        <v>5</v>
      </c>
      <c r="J254" s="5">
        <v>0</v>
      </c>
      <c r="K254" s="5"/>
      <c r="L254" s="5">
        <v>1</v>
      </c>
      <c r="M254" s="5">
        <v>593.5</v>
      </c>
      <c r="N254" s="5">
        <v>605</v>
      </c>
      <c r="O254" s="116">
        <v>2.1670000000001437</v>
      </c>
      <c r="P254" s="115">
        <v>0.79899999999997817</v>
      </c>
      <c r="Q254" s="115">
        <v>0.28300000000001546</v>
      </c>
      <c r="R254" s="115">
        <v>3.2490000000001373</v>
      </c>
      <c r="S254" s="4">
        <f t="shared" si="26"/>
        <v>0.50064806337193168</v>
      </c>
      <c r="T254" s="4">
        <f t="shared" si="27"/>
        <v>0.2550311633455461</v>
      </c>
      <c r="U254" s="4">
        <f t="shared" si="28"/>
        <v>0.10822665637493374</v>
      </c>
      <c r="V254" s="4">
        <f t="shared" si="29"/>
        <v>0.62828673108952848</v>
      </c>
      <c r="W254" s="116">
        <v>23</v>
      </c>
      <c r="X254" s="115">
        <v>5</v>
      </c>
      <c r="Y254" s="115">
        <v>3</v>
      </c>
      <c r="Z254" s="5">
        <f>X254-Y254</f>
        <v>2</v>
      </c>
    </row>
    <row r="255" spans="1:26">
      <c r="A255" s="4">
        <v>22</v>
      </c>
      <c r="B255" s="4" t="s">
        <v>151</v>
      </c>
      <c r="C255" s="4" t="s">
        <v>150</v>
      </c>
      <c r="D255" s="5">
        <v>2</v>
      </c>
      <c r="E255" s="5">
        <v>8</v>
      </c>
      <c r="F255" s="4">
        <f t="shared" si="24"/>
        <v>23.300000000000011</v>
      </c>
      <c r="G255" s="4">
        <f t="shared" si="25"/>
        <v>1.3856062735983123</v>
      </c>
      <c r="H255" s="5">
        <v>1</v>
      </c>
      <c r="I255" s="5">
        <v>5</v>
      </c>
      <c r="J255" s="5">
        <v>1</v>
      </c>
      <c r="K255" s="5"/>
      <c r="L255" s="5">
        <v>5</v>
      </c>
      <c r="M255" s="5">
        <v>392.7</v>
      </c>
      <c r="N255" s="5">
        <v>416</v>
      </c>
      <c r="O255" s="116">
        <v>1.5170000000001664</v>
      </c>
      <c r="P255" s="115">
        <v>0.617999999999995</v>
      </c>
      <c r="Q255" s="115">
        <v>6.2680000000001996</v>
      </c>
      <c r="R255" s="115">
        <v>8.4030000000003611</v>
      </c>
      <c r="S255" s="4">
        <f t="shared" si="26"/>
        <v>0.4008832155483914</v>
      </c>
      <c r="T255" s="4">
        <f t="shared" si="27"/>
        <v>0.20897851727625216</v>
      </c>
      <c r="U255" s="4">
        <f t="shared" si="28"/>
        <v>0.86141491863600861</v>
      </c>
      <c r="V255" s="4">
        <f t="shared" si="29"/>
        <v>0.97326643610854535</v>
      </c>
      <c r="W255" s="116">
        <v>48</v>
      </c>
      <c r="X255" s="115">
        <v>14</v>
      </c>
      <c r="Y255" s="115">
        <v>4</v>
      </c>
      <c r="Z255" s="5">
        <f t="shared" ref="Z255:Z279" si="32">X255-Y255</f>
        <v>10</v>
      </c>
    </row>
    <row r="256" spans="1:26">
      <c r="A256" s="4">
        <v>22</v>
      </c>
      <c r="B256" s="4" t="s">
        <v>151</v>
      </c>
      <c r="C256" s="4" t="s">
        <v>149</v>
      </c>
      <c r="D256" s="5">
        <v>3</v>
      </c>
      <c r="E256" s="5">
        <v>4</v>
      </c>
      <c r="F256" s="4">
        <f t="shared" si="24"/>
        <v>6.5</v>
      </c>
      <c r="G256" s="4">
        <f t="shared" si="25"/>
        <v>0.87506126339170009</v>
      </c>
      <c r="H256" s="5">
        <v>1</v>
      </c>
      <c r="I256" s="5">
        <v>6</v>
      </c>
      <c r="J256" s="5">
        <v>0</v>
      </c>
      <c r="K256" s="5"/>
      <c r="L256" s="5">
        <v>2</v>
      </c>
      <c r="M256" s="5">
        <v>225.1</v>
      </c>
      <c r="N256" s="5">
        <v>231.6</v>
      </c>
      <c r="O256" s="116">
        <v>0.76699999999999591</v>
      </c>
      <c r="P256" s="115">
        <v>0.89900000000000091</v>
      </c>
      <c r="Q256" s="115">
        <v>0.84999999999996589</v>
      </c>
      <c r="R256" s="115">
        <v>2.5159999999999627</v>
      </c>
      <c r="S256" s="4">
        <f t="shared" si="26"/>
        <v>0.24723654950676308</v>
      </c>
      <c r="T256" s="4">
        <f t="shared" si="27"/>
        <v>0.27852496473701777</v>
      </c>
      <c r="U256" s="4">
        <f t="shared" si="28"/>
        <v>0.26717172840300579</v>
      </c>
      <c r="V256" s="4">
        <f t="shared" si="29"/>
        <v>0.54604886640172967</v>
      </c>
      <c r="W256" s="116">
        <v>17</v>
      </c>
      <c r="X256" s="115">
        <v>2</v>
      </c>
      <c r="Y256" s="115">
        <v>2</v>
      </c>
      <c r="Z256" s="5">
        <f t="shared" si="32"/>
        <v>0</v>
      </c>
    </row>
    <row r="257" spans="1:26">
      <c r="A257" s="4">
        <v>22</v>
      </c>
      <c r="B257" s="4" t="s">
        <v>151</v>
      </c>
      <c r="C257" s="4" t="s">
        <v>154</v>
      </c>
      <c r="D257" s="5">
        <v>4</v>
      </c>
      <c r="E257" s="5">
        <v>10</v>
      </c>
      <c r="F257" s="4">
        <f t="shared" si="24"/>
        <v>25.300000000000011</v>
      </c>
      <c r="G257" s="4">
        <f t="shared" si="25"/>
        <v>1.419955748489758</v>
      </c>
      <c r="H257" s="5">
        <v>0</v>
      </c>
      <c r="I257" s="5">
        <v>3</v>
      </c>
      <c r="J257" s="5">
        <v>0</v>
      </c>
      <c r="K257" s="5"/>
      <c r="L257" s="5">
        <v>4</v>
      </c>
      <c r="M257" s="5">
        <v>472.8</v>
      </c>
      <c r="N257" s="5">
        <v>498.1</v>
      </c>
      <c r="O257" s="116">
        <v>9.2599999999999909</v>
      </c>
      <c r="P257" s="115">
        <v>1.6490000000000009</v>
      </c>
      <c r="Q257" s="115">
        <v>1.7320000000000277</v>
      </c>
      <c r="R257" s="115">
        <v>12.64100000000002</v>
      </c>
      <c r="S257" s="4">
        <f t="shared" si="26"/>
        <v>1.011147360775797</v>
      </c>
      <c r="T257" s="4">
        <f t="shared" si="27"/>
        <v>0.42308195829723116</v>
      </c>
      <c r="U257" s="4">
        <f t="shared" si="28"/>
        <v>0.43648069500949938</v>
      </c>
      <c r="V257" s="4">
        <f t="shared" si="29"/>
        <v>1.1348462089247713</v>
      </c>
      <c r="W257" s="116">
        <v>58</v>
      </c>
      <c r="X257" s="115">
        <v>21</v>
      </c>
      <c r="Y257" s="115">
        <v>4</v>
      </c>
      <c r="Z257" s="5">
        <f t="shared" si="32"/>
        <v>17</v>
      </c>
    </row>
    <row r="258" spans="1:26">
      <c r="A258" s="4">
        <v>22</v>
      </c>
      <c r="B258" s="4" t="s">
        <v>151</v>
      </c>
      <c r="C258" s="4" t="s">
        <v>149</v>
      </c>
      <c r="D258" s="5">
        <v>5</v>
      </c>
      <c r="E258" s="5">
        <v>2</v>
      </c>
      <c r="F258" s="4">
        <f t="shared" ref="F258:F289" si="33">N258-M258</f>
        <v>27.700000000000003</v>
      </c>
      <c r="G258" s="4">
        <f t="shared" ref="G258:G321" si="34">LOG10(F258+1)</f>
        <v>1.4578818967339924</v>
      </c>
      <c r="H258" s="5">
        <v>0</v>
      </c>
      <c r="I258" s="5">
        <v>5</v>
      </c>
      <c r="J258" s="5">
        <v>1</v>
      </c>
      <c r="K258" s="5"/>
      <c r="L258" s="5">
        <v>4</v>
      </c>
      <c r="M258" s="5">
        <v>94.8</v>
      </c>
      <c r="N258" s="5">
        <v>122.5</v>
      </c>
      <c r="O258" s="116">
        <v>5.5840000000000174</v>
      </c>
      <c r="P258" s="115">
        <v>1.8509999999999991</v>
      </c>
      <c r="Q258" s="115">
        <v>3.2159999999999798</v>
      </c>
      <c r="R258" s="115">
        <v>10.650999999999996</v>
      </c>
      <c r="S258" s="4">
        <f t="shared" ref="S258:S289" si="35">LOG10(O258+1)</f>
        <v>0.81848982220421462</v>
      </c>
      <c r="T258" s="4">
        <f t="shared" ref="T258:T289" si="36">LOG10(P258+1)</f>
        <v>0.45499721730945986</v>
      </c>
      <c r="U258" s="4">
        <f t="shared" ref="U258:U289" si="37">LOG10(Q258+1)</f>
        <v>0.62490060220448806</v>
      </c>
      <c r="V258" s="4">
        <f t="shared" ref="V258:V289" si="38">LOG10(R258+1)</f>
        <v>1.0663632022584943</v>
      </c>
      <c r="W258" s="116">
        <v>72</v>
      </c>
      <c r="X258" s="115">
        <v>17</v>
      </c>
      <c r="Y258" s="115">
        <v>5</v>
      </c>
      <c r="Z258" s="5">
        <f t="shared" si="32"/>
        <v>12</v>
      </c>
    </row>
    <row r="259" spans="1:26">
      <c r="A259" s="4">
        <v>22</v>
      </c>
      <c r="B259" s="4" t="s">
        <v>151</v>
      </c>
      <c r="C259" s="4" t="s">
        <v>150</v>
      </c>
      <c r="D259" s="5">
        <v>6</v>
      </c>
      <c r="E259" s="5">
        <v>6</v>
      </c>
      <c r="F259" s="4">
        <f t="shared" si="33"/>
        <v>14.900000000000034</v>
      </c>
      <c r="G259" s="4">
        <f t="shared" si="34"/>
        <v>1.2013971243204524</v>
      </c>
      <c r="H259" s="5">
        <v>1</v>
      </c>
      <c r="I259" s="5">
        <v>4</v>
      </c>
      <c r="J259" s="5">
        <v>1</v>
      </c>
      <c r="K259" s="5"/>
      <c r="L259" s="5">
        <v>2</v>
      </c>
      <c r="M259" s="5">
        <v>311.7</v>
      </c>
      <c r="N259" s="5">
        <v>326.60000000000002</v>
      </c>
      <c r="O259" s="116">
        <v>1.0320000000000391</v>
      </c>
      <c r="P259" s="115">
        <v>0.21600000000000819</v>
      </c>
      <c r="Q259" s="115">
        <v>3.9150000000000205</v>
      </c>
      <c r="R259" s="115">
        <v>5.1630000000000678</v>
      </c>
      <c r="S259" s="4">
        <f t="shared" si="35"/>
        <v>0.30792370361188998</v>
      </c>
      <c r="T259" s="4">
        <f t="shared" si="36"/>
        <v>8.4933574936719061E-2</v>
      </c>
      <c r="U259" s="4">
        <f t="shared" si="37"/>
        <v>0.69152352216815627</v>
      </c>
      <c r="V259" s="4">
        <f t="shared" si="38"/>
        <v>0.78979216773068017</v>
      </c>
      <c r="W259" s="116">
        <v>31</v>
      </c>
      <c r="X259" s="115">
        <v>5</v>
      </c>
      <c r="Y259" s="115">
        <v>3</v>
      </c>
      <c r="Z259" s="5">
        <f t="shared" si="32"/>
        <v>2</v>
      </c>
    </row>
    <row r="260" spans="1:26">
      <c r="A260" s="4">
        <v>22</v>
      </c>
      <c r="B260" s="4" t="s">
        <v>152</v>
      </c>
      <c r="C260" s="4" t="s">
        <v>150</v>
      </c>
      <c r="D260" s="5">
        <v>7</v>
      </c>
      <c r="E260" s="5">
        <v>7</v>
      </c>
      <c r="F260" s="4">
        <f t="shared" si="33"/>
        <v>16.699999999999989</v>
      </c>
      <c r="G260" s="4">
        <f t="shared" si="34"/>
        <v>1.2479732663618064</v>
      </c>
      <c r="H260" s="5">
        <v>1</v>
      </c>
      <c r="I260" s="5">
        <v>5</v>
      </c>
      <c r="J260" s="5">
        <v>1</v>
      </c>
      <c r="K260" s="5"/>
      <c r="L260" s="5">
        <v>2</v>
      </c>
      <c r="M260" s="5">
        <v>349.7</v>
      </c>
      <c r="N260" s="5">
        <v>366.4</v>
      </c>
      <c r="O260" s="116">
        <v>1.3340000000000032</v>
      </c>
      <c r="P260" s="115">
        <v>1.0010000000000332</v>
      </c>
      <c r="Q260" s="115">
        <v>3.0349999999997976</v>
      </c>
      <c r="R260" s="115">
        <v>5.369999999999834</v>
      </c>
      <c r="S260" s="4">
        <f t="shared" si="35"/>
        <v>0.36810085170935197</v>
      </c>
      <c r="T260" s="4">
        <f t="shared" si="36"/>
        <v>0.30124708863621863</v>
      </c>
      <c r="U260" s="4">
        <f t="shared" si="37"/>
        <v>0.60584353905806743</v>
      </c>
      <c r="V260" s="4">
        <f t="shared" si="38"/>
        <v>0.80413943233533913</v>
      </c>
      <c r="W260" s="116">
        <v>34</v>
      </c>
      <c r="X260" s="115">
        <v>13</v>
      </c>
      <c r="Y260" s="115">
        <v>4</v>
      </c>
      <c r="Z260" s="5">
        <f t="shared" si="32"/>
        <v>9</v>
      </c>
    </row>
    <row r="261" spans="1:26">
      <c r="A261" s="4">
        <v>22</v>
      </c>
      <c r="B261" s="4" t="s">
        <v>152</v>
      </c>
      <c r="C261" s="4" t="s">
        <v>149</v>
      </c>
      <c r="D261" s="5">
        <v>8</v>
      </c>
      <c r="E261" s="5">
        <v>3</v>
      </c>
      <c r="F261" s="4">
        <f t="shared" si="33"/>
        <v>17.699999999999989</v>
      </c>
      <c r="G261" s="4">
        <f t="shared" si="34"/>
        <v>1.2718416065364988</v>
      </c>
      <c r="H261" s="5">
        <v>1</v>
      </c>
      <c r="I261" s="5">
        <v>5</v>
      </c>
      <c r="J261" s="5">
        <v>0</v>
      </c>
      <c r="K261" s="5"/>
      <c r="L261" s="5">
        <v>1</v>
      </c>
      <c r="M261" s="5">
        <v>187</v>
      </c>
      <c r="N261" s="5">
        <v>204.7</v>
      </c>
      <c r="O261" s="116">
        <v>3.2669999999999959</v>
      </c>
      <c r="P261" s="115">
        <v>0.96600000000000819</v>
      </c>
      <c r="Q261" s="115">
        <v>1.4169999999999732</v>
      </c>
      <c r="R261" s="115">
        <v>5.6499999999999773</v>
      </c>
      <c r="S261" s="4">
        <f t="shared" si="35"/>
        <v>0.63012264285931163</v>
      </c>
      <c r="T261" s="4">
        <f t="shared" si="36"/>
        <v>0.29358351349611861</v>
      </c>
      <c r="U261" s="4">
        <f t="shared" si="37"/>
        <v>0.38327665040764552</v>
      </c>
      <c r="V261" s="4">
        <f t="shared" si="38"/>
        <v>0.82282164530310309</v>
      </c>
      <c r="W261" s="116">
        <v>26</v>
      </c>
      <c r="X261" s="115">
        <v>3</v>
      </c>
      <c r="Y261" s="115">
        <v>2</v>
      </c>
      <c r="Z261" s="5">
        <f t="shared" si="32"/>
        <v>1</v>
      </c>
    </row>
    <row r="262" spans="1:26">
      <c r="A262" s="4">
        <v>22</v>
      </c>
      <c r="B262" s="4" t="s">
        <v>152</v>
      </c>
      <c r="C262" s="4" t="s">
        <v>154</v>
      </c>
      <c r="D262" s="5">
        <v>9</v>
      </c>
      <c r="E262" s="5">
        <v>9</v>
      </c>
      <c r="F262" s="4">
        <f t="shared" si="33"/>
        <v>5.6999999999999886</v>
      </c>
      <c r="G262" s="4">
        <f t="shared" si="34"/>
        <v>0.82607480270082567</v>
      </c>
      <c r="H262" s="5">
        <v>1</v>
      </c>
      <c r="I262" s="5">
        <v>6</v>
      </c>
      <c r="J262" s="5">
        <v>0</v>
      </c>
      <c r="K262" s="5"/>
      <c r="L262" s="5">
        <v>1</v>
      </c>
      <c r="M262" s="5">
        <v>439.7</v>
      </c>
      <c r="N262" s="5">
        <v>445.4</v>
      </c>
      <c r="O262" s="116">
        <v>1.0009999999999764</v>
      </c>
      <c r="P262" s="115"/>
      <c r="Q262" s="115">
        <v>0.10000000000002274</v>
      </c>
      <c r="R262" s="115">
        <v>1.1009999999999991</v>
      </c>
      <c r="S262" s="4">
        <f t="shared" si="35"/>
        <v>0.30124708863620625</v>
      </c>
      <c r="T262" s="4">
        <f t="shared" si="36"/>
        <v>0</v>
      </c>
      <c r="U262" s="4">
        <f t="shared" si="37"/>
        <v>4.1392685158234015E-2</v>
      </c>
      <c r="V262" s="4">
        <f t="shared" si="38"/>
        <v>0.3224260524059524</v>
      </c>
      <c r="W262" s="116">
        <v>5</v>
      </c>
      <c r="X262" s="115">
        <v>1</v>
      </c>
      <c r="Y262" s="115">
        <v>1</v>
      </c>
      <c r="Z262" s="5">
        <f t="shared" si="32"/>
        <v>0</v>
      </c>
    </row>
    <row r="263" spans="1:26">
      <c r="A263" s="4">
        <v>22</v>
      </c>
      <c r="B263" s="4" t="s">
        <v>152</v>
      </c>
      <c r="C263" s="4" t="s">
        <v>149</v>
      </c>
      <c r="D263" s="5">
        <v>10</v>
      </c>
      <c r="E263" s="5">
        <v>1</v>
      </c>
      <c r="F263" s="4">
        <f t="shared" si="33"/>
        <v>10.199999999999996</v>
      </c>
      <c r="G263" s="4">
        <f t="shared" si="34"/>
        <v>1.0492180226701815</v>
      </c>
      <c r="H263" s="5">
        <v>1</v>
      </c>
      <c r="I263" s="5">
        <v>2</v>
      </c>
      <c r="J263" s="5">
        <v>0</v>
      </c>
      <c r="K263" s="5"/>
      <c r="L263" s="5">
        <v>1</v>
      </c>
      <c r="M263" s="5">
        <v>61.1</v>
      </c>
      <c r="N263" s="5">
        <v>71.3</v>
      </c>
      <c r="O263" s="116">
        <v>2.3999999999999915</v>
      </c>
      <c r="P263" s="115">
        <v>1.1499999999999844</v>
      </c>
      <c r="Q263" s="115">
        <v>0.98299999999999699</v>
      </c>
      <c r="R263" s="115">
        <v>4.5329999999999728</v>
      </c>
      <c r="S263" s="4">
        <f t="shared" si="35"/>
        <v>0.53147891704225403</v>
      </c>
      <c r="T263" s="4">
        <f t="shared" si="36"/>
        <v>0.33243845991560217</v>
      </c>
      <c r="U263" s="4">
        <f t="shared" si="37"/>
        <v>0.29732271420530204</v>
      </c>
      <c r="V263" s="4">
        <f t="shared" si="38"/>
        <v>0.74296067021415035</v>
      </c>
      <c r="W263" s="116">
        <v>24</v>
      </c>
      <c r="X263" s="115">
        <v>2</v>
      </c>
      <c r="Y263" s="115">
        <v>2</v>
      </c>
      <c r="Z263" s="5">
        <f t="shared" si="32"/>
        <v>0</v>
      </c>
    </row>
    <row r="264" spans="1:26">
      <c r="A264" s="4">
        <v>22</v>
      </c>
      <c r="B264" s="4" t="s">
        <v>152</v>
      </c>
      <c r="C264" s="4" t="s">
        <v>150</v>
      </c>
      <c r="D264" s="5">
        <v>11</v>
      </c>
      <c r="E264" s="5">
        <v>5</v>
      </c>
      <c r="F264" s="4">
        <f t="shared" si="33"/>
        <v>20.300000000000011</v>
      </c>
      <c r="G264" s="4">
        <f t="shared" si="34"/>
        <v>1.3283796034387381</v>
      </c>
      <c r="H264" s="5">
        <v>1</v>
      </c>
      <c r="I264" s="5">
        <v>2</v>
      </c>
      <c r="J264" s="5">
        <v>1</v>
      </c>
      <c r="K264" s="5"/>
      <c r="L264" s="5">
        <v>1</v>
      </c>
      <c r="M264" s="5">
        <v>268.2</v>
      </c>
      <c r="N264" s="5">
        <v>288.5</v>
      </c>
      <c r="O264" s="116">
        <v>0.76700000000005275</v>
      </c>
      <c r="P264" s="115">
        <v>0.21699999999998454</v>
      </c>
      <c r="Q264" s="115">
        <v>3.3479999999999563</v>
      </c>
      <c r="R264" s="115">
        <v>4.3319999999999936</v>
      </c>
      <c r="S264" s="4">
        <f t="shared" si="35"/>
        <v>0.24723654950677704</v>
      </c>
      <c r="T264" s="4">
        <f t="shared" si="36"/>
        <v>8.5290578230059477E-2</v>
      </c>
      <c r="U264" s="4">
        <f t="shared" si="37"/>
        <v>0.6382895354142526</v>
      </c>
      <c r="V264" s="4">
        <f t="shared" si="38"/>
        <v>0.72689014074182112</v>
      </c>
      <c r="W264" s="116">
        <v>21</v>
      </c>
      <c r="X264" s="115">
        <v>3</v>
      </c>
      <c r="Y264" s="115">
        <v>2</v>
      </c>
      <c r="Z264" s="5">
        <f t="shared" si="32"/>
        <v>1</v>
      </c>
    </row>
    <row r="265" spans="1:26">
      <c r="A265" s="4">
        <v>22</v>
      </c>
      <c r="B265" s="4" t="s">
        <v>152</v>
      </c>
      <c r="C265" s="4" t="s">
        <v>154</v>
      </c>
      <c r="D265" s="5">
        <v>12</v>
      </c>
      <c r="E265" s="5">
        <v>11</v>
      </c>
      <c r="F265" s="4">
        <f t="shared" si="33"/>
        <v>7.7999999999999545</v>
      </c>
      <c r="G265" s="4">
        <f t="shared" si="34"/>
        <v>0.94448267215016635</v>
      </c>
      <c r="H265" s="5">
        <v>1</v>
      </c>
      <c r="I265" s="5">
        <v>6</v>
      </c>
      <c r="J265" s="5">
        <v>0</v>
      </c>
      <c r="K265" s="5"/>
      <c r="L265" s="5">
        <v>1</v>
      </c>
      <c r="M265" s="5">
        <v>554.20000000000005</v>
      </c>
      <c r="N265" s="5">
        <v>562</v>
      </c>
      <c r="O265" s="116">
        <v>2.2009999999999081</v>
      </c>
      <c r="P265" s="115">
        <v>0.8489999999999327</v>
      </c>
      <c r="Q265" s="115">
        <v>0.61599999999998545</v>
      </c>
      <c r="R265" s="115">
        <v>3.6659999999998263</v>
      </c>
      <c r="S265" s="4">
        <f t="shared" si="35"/>
        <v>0.50528567414411985</v>
      </c>
      <c r="T265" s="4">
        <f t="shared" si="36"/>
        <v>0.26693691115915724</v>
      </c>
      <c r="U265" s="4">
        <f t="shared" si="37"/>
        <v>0.20844135643856346</v>
      </c>
      <c r="V265" s="4">
        <f t="shared" si="38"/>
        <v>0.66894473445771763</v>
      </c>
      <c r="W265" s="116">
        <v>16</v>
      </c>
      <c r="X265" s="115">
        <v>3</v>
      </c>
      <c r="Y265" s="115">
        <v>3</v>
      </c>
      <c r="Z265" s="5">
        <f t="shared" si="32"/>
        <v>0</v>
      </c>
    </row>
    <row r="266" spans="1:26">
      <c r="A266" s="4">
        <v>23</v>
      </c>
      <c r="B266" s="4" t="s">
        <v>151</v>
      </c>
      <c r="C266" s="4" t="s">
        <v>149</v>
      </c>
      <c r="D266" s="5">
        <v>1</v>
      </c>
      <c r="E266" s="5">
        <v>10</v>
      </c>
      <c r="F266" s="4">
        <f t="shared" si="33"/>
        <v>23.399999999999977</v>
      </c>
      <c r="G266" s="4">
        <f t="shared" si="34"/>
        <v>1.387389826338729</v>
      </c>
      <c r="H266" s="5">
        <v>1</v>
      </c>
      <c r="I266" s="5">
        <v>6</v>
      </c>
      <c r="J266" s="5">
        <v>0</v>
      </c>
      <c r="K266" s="5"/>
      <c r="L266" s="5">
        <v>1</v>
      </c>
      <c r="M266" s="5">
        <v>719</v>
      </c>
      <c r="N266" s="5">
        <v>742.4</v>
      </c>
      <c r="O266" s="116">
        <v>10.380999999999858</v>
      </c>
      <c r="P266" s="115">
        <v>1.9859999999998763</v>
      </c>
      <c r="Q266" s="115">
        <v>1.4490000000000691</v>
      </c>
      <c r="R266" s="115">
        <v>13.815999999999804</v>
      </c>
      <c r="S266" s="4">
        <f t="shared" si="35"/>
        <v>1.056180423342135</v>
      </c>
      <c r="T266" s="4">
        <f t="shared" si="36"/>
        <v>0.4750898033889886</v>
      </c>
      <c r="U266" s="4">
        <f t="shared" si="37"/>
        <v>0.38898878512472634</v>
      </c>
      <c r="V266" s="4">
        <f t="shared" si="38"/>
        <v>1.1707309693378534</v>
      </c>
      <c r="W266" s="116">
        <v>62</v>
      </c>
      <c r="X266" s="115">
        <v>9</v>
      </c>
      <c r="Y266" s="115">
        <v>4</v>
      </c>
      <c r="Z266" s="5">
        <f t="shared" si="32"/>
        <v>5</v>
      </c>
    </row>
    <row r="267" spans="1:26">
      <c r="A267" s="4">
        <v>23</v>
      </c>
      <c r="B267" s="4" t="s">
        <v>151</v>
      </c>
      <c r="C267" s="4" t="s">
        <v>150</v>
      </c>
      <c r="D267" s="5">
        <v>2</v>
      </c>
      <c r="E267" s="5">
        <v>2</v>
      </c>
      <c r="F267" s="4">
        <f t="shared" si="33"/>
        <v>32.299999999999983</v>
      </c>
      <c r="G267" s="4">
        <f t="shared" si="34"/>
        <v>1.5224442335063197</v>
      </c>
      <c r="H267" s="5">
        <v>1</v>
      </c>
      <c r="I267" s="5">
        <v>5</v>
      </c>
      <c r="J267" s="5">
        <v>0</v>
      </c>
      <c r="K267" s="5"/>
      <c r="L267" s="5">
        <v>1</v>
      </c>
      <c r="M267" s="5">
        <v>147.80000000000001</v>
      </c>
      <c r="N267" s="5">
        <v>180.1</v>
      </c>
      <c r="O267" s="116">
        <v>9.3659999999999286</v>
      </c>
      <c r="P267" s="115">
        <v>2.9629999999999654</v>
      </c>
      <c r="Q267" s="115">
        <v>6.6280000000000712</v>
      </c>
      <c r="R267" s="115">
        <v>18.956999999999965</v>
      </c>
      <c r="S267" s="4">
        <f t="shared" si="35"/>
        <v>1.0156112045035095</v>
      </c>
      <c r="T267" s="4">
        <f t="shared" si="36"/>
        <v>0.59802407233418586</v>
      </c>
      <c r="U267" s="4">
        <f t="shared" si="37"/>
        <v>0.88241068437397208</v>
      </c>
      <c r="V267" s="4">
        <f t="shared" si="38"/>
        <v>1.3000952573237161</v>
      </c>
      <c r="W267" s="116">
        <v>90</v>
      </c>
      <c r="X267" s="115">
        <v>12</v>
      </c>
      <c r="Y267" s="115">
        <v>3</v>
      </c>
      <c r="Z267" s="5">
        <f t="shared" si="32"/>
        <v>9</v>
      </c>
    </row>
    <row r="268" spans="1:26">
      <c r="A268" s="4">
        <v>23</v>
      </c>
      <c r="B268" s="4" t="s">
        <v>151</v>
      </c>
      <c r="C268" s="4" t="s">
        <v>154</v>
      </c>
      <c r="D268" s="5">
        <v>3</v>
      </c>
      <c r="E268" s="5">
        <v>8</v>
      </c>
      <c r="F268" s="4">
        <f t="shared" si="33"/>
        <v>7.3999999999999773</v>
      </c>
      <c r="G268" s="4">
        <f t="shared" si="34"/>
        <v>0.92427928606188048</v>
      </c>
      <c r="H268" s="5">
        <v>1</v>
      </c>
      <c r="I268" s="5">
        <v>6</v>
      </c>
      <c r="J268" s="5">
        <v>0</v>
      </c>
      <c r="K268" s="5"/>
      <c r="L268" s="5">
        <v>2</v>
      </c>
      <c r="M268" s="5">
        <v>627.70000000000005</v>
      </c>
      <c r="N268" s="5">
        <v>635.1</v>
      </c>
      <c r="O268" s="116">
        <v>1.4990000000000236</v>
      </c>
      <c r="P268" s="115">
        <v>2.1670000000001437</v>
      </c>
      <c r="Q268" s="115">
        <v>0.88400000000012824</v>
      </c>
      <c r="R268" s="115">
        <v>4.5500000000002956</v>
      </c>
      <c r="S268" s="4">
        <f t="shared" si="35"/>
        <v>0.39776625612645411</v>
      </c>
      <c r="T268" s="4">
        <f t="shared" si="36"/>
        <v>0.50064806337193168</v>
      </c>
      <c r="U268" s="4">
        <f t="shared" si="37"/>
        <v>0.2750808984568881</v>
      </c>
      <c r="V268" s="4">
        <f t="shared" si="38"/>
        <v>0.74429298312269931</v>
      </c>
      <c r="W268" s="116">
        <v>19</v>
      </c>
      <c r="X268" s="115">
        <v>4</v>
      </c>
      <c r="Y268" s="115">
        <v>2</v>
      </c>
      <c r="Z268" s="5">
        <f t="shared" si="32"/>
        <v>2</v>
      </c>
    </row>
    <row r="269" spans="1:26">
      <c r="A269" s="4">
        <v>23</v>
      </c>
      <c r="B269" s="4" t="s">
        <v>151</v>
      </c>
      <c r="C269" s="4" t="s">
        <v>150</v>
      </c>
      <c r="D269" s="5">
        <v>4</v>
      </c>
      <c r="E269" s="5">
        <v>4</v>
      </c>
      <c r="F269" s="4">
        <f t="shared" si="33"/>
        <v>30.700000000000045</v>
      </c>
      <c r="G269" s="4">
        <f t="shared" si="34"/>
        <v>1.5010592622177521</v>
      </c>
      <c r="H269" s="5">
        <v>0</v>
      </c>
      <c r="I269" s="5">
        <v>3</v>
      </c>
      <c r="J269" s="5">
        <v>0</v>
      </c>
      <c r="K269" s="5"/>
      <c r="L269" s="5">
        <v>2</v>
      </c>
      <c r="M269" s="5">
        <v>284.39999999999998</v>
      </c>
      <c r="N269" s="5">
        <v>315.10000000000002</v>
      </c>
      <c r="O269" s="116">
        <v>7.4880000000000564</v>
      </c>
      <c r="P269" s="115">
        <v>4.6990000000000123</v>
      </c>
      <c r="Q269" s="115">
        <v>6.2669999999998822</v>
      </c>
      <c r="R269" s="115">
        <v>18.453999999999951</v>
      </c>
      <c r="S269" s="4">
        <f t="shared" si="35"/>
        <v>0.92880537089328719</v>
      </c>
      <c r="T269" s="4">
        <f t="shared" si="36"/>
        <v>0.75579865697383153</v>
      </c>
      <c r="U269" s="4">
        <f t="shared" si="37"/>
        <v>0.86135516019325298</v>
      </c>
      <c r="V269" s="4">
        <f t="shared" si="38"/>
        <v>1.2890089115394621</v>
      </c>
      <c r="W269" s="116">
        <v>88</v>
      </c>
      <c r="X269" s="115">
        <v>8</v>
      </c>
      <c r="Y269" s="115">
        <v>3</v>
      </c>
      <c r="Z269" s="5">
        <f t="shared" si="32"/>
        <v>5</v>
      </c>
    </row>
    <row r="270" spans="1:26">
      <c r="A270" s="4">
        <v>23</v>
      </c>
      <c r="B270" s="4" t="s">
        <v>151</v>
      </c>
      <c r="C270" s="4" t="s">
        <v>149</v>
      </c>
      <c r="D270" s="5">
        <v>5</v>
      </c>
      <c r="E270" s="5">
        <v>12</v>
      </c>
      <c r="F270" s="4">
        <f t="shared" si="33"/>
        <v>13.100000000000023</v>
      </c>
      <c r="G270" s="4">
        <f t="shared" si="34"/>
        <v>1.1492191126553806</v>
      </c>
      <c r="H270" s="5">
        <v>1</v>
      </c>
      <c r="I270" s="5">
        <v>6</v>
      </c>
      <c r="J270" s="5">
        <v>0</v>
      </c>
      <c r="K270" s="5"/>
      <c r="L270" s="5">
        <v>2</v>
      </c>
      <c r="M270" s="5">
        <v>837.8</v>
      </c>
      <c r="N270" s="5">
        <v>850.9</v>
      </c>
      <c r="O270" s="116">
        <v>5.4519999999997708</v>
      </c>
      <c r="P270" s="115">
        <v>0.56800000000009732</v>
      </c>
      <c r="Q270" s="115">
        <v>0.93399999999996908</v>
      </c>
      <c r="R270" s="115">
        <v>6.9539999999998372</v>
      </c>
      <c r="S270" s="4">
        <f t="shared" si="35"/>
        <v>0.80969435871690854</v>
      </c>
      <c r="T270" s="4">
        <f t="shared" si="36"/>
        <v>0.19534605834844659</v>
      </c>
      <c r="U270" s="4">
        <f t="shared" si="37"/>
        <v>0.28645646974697592</v>
      </c>
      <c r="V270" s="4">
        <f t="shared" si="38"/>
        <v>0.9005855866499527</v>
      </c>
      <c r="W270" s="116">
        <v>35</v>
      </c>
      <c r="X270" s="115">
        <v>4</v>
      </c>
      <c r="Y270" s="115">
        <v>3</v>
      </c>
      <c r="Z270" s="5">
        <f t="shared" si="32"/>
        <v>1</v>
      </c>
    </row>
    <row r="271" spans="1:26">
      <c r="A271" s="4">
        <v>23</v>
      </c>
      <c r="B271" s="4" t="s">
        <v>151</v>
      </c>
      <c r="C271" s="4" t="s">
        <v>154</v>
      </c>
      <c r="D271" s="5">
        <v>6</v>
      </c>
      <c r="E271" s="5">
        <v>6</v>
      </c>
      <c r="F271" s="4">
        <f t="shared" si="33"/>
        <v>8.3999999999999773</v>
      </c>
      <c r="G271" s="4">
        <f t="shared" si="34"/>
        <v>0.97312785359969756</v>
      </c>
      <c r="H271" s="5">
        <v>1</v>
      </c>
      <c r="I271" s="5">
        <v>5</v>
      </c>
      <c r="J271" s="5">
        <v>0</v>
      </c>
      <c r="K271" s="5"/>
      <c r="L271" s="5">
        <v>1</v>
      </c>
      <c r="M271" s="5">
        <v>446.8</v>
      </c>
      <c r="N271" s="5">
        <v>455.2</v>
      </c>
      <c r="O271" s="116">
        <v>2.2989999999999213</v>
      </c>
      <c r="P271" s="115">
        <v>0.55000000000006821</v>
      </c>
      <c r="Q271" s="115">
        <v>1.5469999999999686</v>
      </c>
      <c r="R271" s="115">
        <v>4.3959999999999582</v>
      </c>
      <c r="S271" s="4">
        <f t="shared" si="35"/>
        <v>0.51838231554533354</v>
      </c>
      <c r="T271" s="4">
        <f t="shared" si="36"/>
        <v>0.19033169817031059</v>
      </c>
      <c r="U271" s="4">
        <f t="shared" si="37"/>
        <v>0.40602894496360975</v>
      </c>
      <c r="V271" s="4">
        <f t="shared" si="38"/>
        <v>0.73207194099986328</v>
      </c>
      <c r="W271" s="116">
        <v>23</v>
      </c>
      <c r="X271" s="115">
        <v>5</v>
      </c>
      <c r="Y271" s="115">
        <v>2</v>
      </c>
      <c r="Z271" s="5">
        <f t="shared" si="32"/>
        <v>3</v>
      </c>
    </row>
    <row r="272" spans="1:26">
      <c r="A272" s="4">
        <v>23</v>
      </c>
      <c r="B272" s="4" t="s">
        <v>152</v>
      </c>
      <c r="C272" s="4" t="s">
        <v>149</v>
      </c>
      <c r="D272" s="5">
        <v>7</v>
      </c>
      <c r="E272" s="5">
        <v>9</v>
      </c>
      <c r="F272" s="4">
        <f t="shared" si="33"/>
        <v>15.899999999999977</v>
      </c>
      <c r="G272" s="4">
        <f t="shared" si="34"/>
        <v>1.227886704613673</v>
      </c>
      <c r="H272" s="5">
        <v>1</v>
      </c>
      <c r="I272" s="5">
        <v>6</v>
      </c>
      <c r="J272" s="5">
        <v>0</v>
      </c>
      <c r="K272" s="5"/>
      <c r="L272" s="5">
        <v>2</v>
      </c>
      <c r="M272" s="5">
        <v>676.2</v>
      </c>
      <c r="N272" s="5">
        <v>692.1</v>
      </c>
      <c r="O272" s="116">
        <v>5.5320000000000391</v>
      </c>
      <c r="P272" s="115">
        <v>0.76599999999996271</v>
      </c>
      <c r="Q272" s="115">
        <v>2.2150000000000318</v>
      </c>
      <c r="R272" s="115">
        <v>8.5130000000000337</v>
      </c>
      <c r="S272" s="4">
        <f t="shared" si="35"/>
        <v>0.81504617606463314</v>
      </c>
      <c r="T272" s="4">
        <f t="shared" si="36"/>
        <v>0.2469906992415406</v>
      </c>
      <c r="U272" s="4">
        <f t="shared" si="37"/>
        <v>0.50718097726024514</v>
      </c>
      <c r="V272" s="4">
        <f t="shared" si="38"/>
        <v>0.97831749674675272</v>
      </c>
      <c r="W272" s="116">
        <v>36</v>
      </c>
      <c r="X272" s="115">
        <v>6</v>
      </c>
      <c r="Y272" s="115">
        <v>3</v>
      </c>
      <c r="Z272" s="5">
        <f t="shared" si="32"/>
        <v>3</v>
      </c>
    </row>
    <row r="273" spans="1:26">
      <c r="A273" s="4">
        <v>23</v>
      </c>
      <c r="B273" s="4" t="s">
        <v>152</v>
      </c>
      <c r="C273" s="4" t="s">
        <v>154</v>
      </c>
      <c r="D273" s="5">
        <v>8</v>
      </c>
      <c r="E273" s="5">
        <v>7</v>
      </c>
      <c r="F273" s="4">
        <f t="shared" si="33"/>
        <v>9.1000000000000227</v>
      </c>
      <c r="G273" s="4">
        <f t="shared" si="34"/>
        <v>1.0043213737826435</v>
      </c>
      <c r="H273" s="5">
        <v>1</v>
      </c>
      <c r="I273" s="5">
        <v>6</v>
      </c>
      <c r="J273" s="5">
        <v>0</v>
      </c>
      <c r="K273" s="5"/>
      <c r="L273" s="5">
        <v>2</v>
      </c>
      <c r="M273" s="5">
        <v>502.5</v>
      </c>
      <c r="N273" s="5">
        <v>511.6</v>
      </c>
      <c r="O273" s="116">
        <v>2.8829999999999814</v>
      </c>
      <c r="P273" s="115">
        <v>0.20000000000004547</v>
      </c>
      <c r="Q273" s="115">
        <v>2.4509999999999081</v>
      </c>
      <c r="R273" s="115">
        <v>5.533999999999935</v>
      </c>
      <c r="S273" s="4">
        <f t="shared" si="35"/>
        <v>0.5891673905460455</v>
      </c>
      <c r="T273" s="4">
        <f t="shared" si="36"/>
        <v>7.918124604764129E-2</v>
      </c>
      <c r="U273" s="4">
        <f t="shared" si="37"/>
        <v>0.53794495929147523</v>
      </c>
      <c r="V273" s="4">
        <f t="shared" si="38"/>
        <v>0.81517913013941423</v>
      </c>
      <c r="W273" s="116">
        <v>23</v>
      </c>
      <c r="X273" s="115">
        <v>1</v>
      </c>
      <c r="Y273" s="115">
        <v>1</v>
      </c>
      <c r="Z273" s="5">
        <f t="shared" si="32"/>
        <v>0</v>
      </c>
    </row>
    <row r="274" spans="1:26">
      <c r="A274" s="4">
        <v>23</v>
      </c>
      <c r="B274" s="4" t="s">
        <v>152</v>
      </c>
      <c r="C274" s="4" t="s">
        <v>150</v>
      </c>
      <c r="D274" s="5">
        <v>9</v>
      </c>
      <c r="E274" s="5">
        <v>3</v>
      </c>
      <c r="F274" s="4">
        <f t="shared" si="33"/>
        <v>23.900000000000006</v>
      </c>
      <c r="G274" s="4">
        <f t="shared" si="34"/>
        <v>1.3961993470957363</v>
      </c>
      <c r="H274" s="5">
        <v>1</v>
      </c>
      <c r="I274" s="5">
        <v>5</v>
      </c>
      <c r="J274" s="5">
        <v>0</v>
      </c>
      <c r="K274" s="5"/>
      <c r="L274" s="5">
        <v>1</v>
      </c>
      <c r="M274" s="5">
        <v>225.7</v>
      </c>
      <c r="N274" s="5">
        <v>249.6</v>
      </c>
      <c r="O274" s="116">
        <v>9.5320000000000391</v>
      </c>
      <c r="P274" s="115">
        <v>3.2320000000000277</v>
      </c>
      <c r="Q274" s="115">
        <v>2.0169999999999391</v>
      </c>
      <c r="R274" s="115">
        <v>14.781000000000006</v>
      </c>
      <c r="S274" s="4">
        <f t="shared" si="35"/>
        <v>1.0225108504340321</v>
      </c>
      <c r="T274" s="4">
        <f t="shared" si="36"/>
        <v>0.62654565902713222</v>
      </c>
      <c r="U274" s="4">
        <f t="shared" si="37"/>
        <v>0.47957531017497967</v>
      </c>
      <c r="V274" s="4">
        <f t="shared" si="38"/>
        <v>1.198134519831676</v>
      </c>
      <c r="W274" s="116">
        <v>70</v>
      </c>
      <c r="X274" s="115">
        <v>9</v>
      </c>
      <c r="Y274" s="115">
        <v>3</v>
      </c>
      <c r="Z274" s="5">
        <f t="shared" si="32"/>
        <v>6</v>
      </c>
    </row>
    <row r="275" spans="1:26">
      <c r="A275" s="4">
        <v>23</v>
      </c>
      <c r="B275" s="4" t="s">
        <v>152</v>
      </c>
      <c r="C275" s="4" t="s">
        <v>154</v>
      </c>
      <c r="D275" s="5">
        <v>10</v>
      </c>
      <c r="E275" s="5">
        <v>5</v>
      </c>
      <c r="F275" s="4">
        <f t="shared" si="33"/>
        <v>7.6000000000000227</v>
      </c>
      <c r="G275" s="4">
        <f t="shared" si="34"/>
        <v>0.9344984512435689</v>
      </c>
      <c r="H275" s="5">
        <v>1</v>
      </c>
      <c r="I275" s="5">
        <v>6</v>
      </c>
      <c r="J275" s="5">
        <v>0</v>
      </c>
      <c r="K275" s="5"/>
      <c r="L275" s="5">
        <v>1</v>
      </c>
      <c r="M275" s="5">
        <v>405.9</v>
      </c>
      <c r="N275" s="5">
        <v>413.5</v>
      </c>
      <c r="O275" s="116">
        <v>3.8150000000001683</v>
      </c>
      <c r="P275" s="115">
        <v>0.43400000000008276</v>
      </c>
      <c r="Q275" s="115">
        <v>0.96800000000007458</v>
      </c>
      <c r="R275" s="115">
        <v>5.2170000000003256</v>
      </c>
      <c r="S275" s="4">
        <f t="shared" si="35"/>
        <v>0.68259629146056855</v>
      </c>
      <c r="T275" s="4">
        <f t="shared" si="36"/>
        <v>0.15654915133180639</v>
      </c>
      <c r="U275" s="4">
        <f t="shared" si="37"/>
        <v>0.29402509409533917</v>
      </c>
      <c r="V275" s="4">
        <f t="shared" si="38"/>
        <v>0.79358086736817857</v>
      </c>
      <c r="W275" s="116">
        <v>18</v>
      </c>
      <c r="X275" s="115">
        <v>2</v>
      </c>
      <c r="Y275" s="115">
        <v>2</v>
      </c>
      <c r="Z275" s="5">
        <f t="shared" si="32"/>
        <v>0</v>
      </c>
    </row>
    <row r="276" spans="1:26">
      <c r="A276" s="4">
        <v>23</v>
      </c>
      <c r="B276" s="4" t="s">
        <v>152</v>
      </c>
      <c r="C276" s="4" t="s">
        <v>149</v>
      </c>
      <c r="D276" s="5">
        <v>11</v>
      </c>
      <c r="E276" s="5">
        <v>11</v>
      </c>
      <c r="F276" s="4">
        <f t="shared" si="33"/>
        <v>14.600000000000023</v>
      </c>
      <c r="G276" s="4">
        <f t="shared" si="34"/>
        <v>1.1931245983544623</v>
      </c>
      <c r="H276" s="5">
        <v>1</v>
      </c>
      <c r="I276" s="5">
        <v>6</v>
      </c>
      <c r="J276" s="5">
        <v>0</v>
      </c>
      <c r="K276" s="5"/>
      <c r="L276" s="5">
        <v>1</v>
      </c>
      <c r="M276" s="5">
        <v>793.8</v>
      </c>
      <c r="N276" s="5">
        <v>808.4</v>
      </c>
      <c r="O276" s="116">
        <v>8.0349999999999682</v>
      </c>
      <c r="P276" s="115">
        <v>0.75099999999997635</v>
      </c>
      <c r="Q276" s="115">
        <v>1.1499999999998636</v>
      </c>
      <c r="R276" s="115">
        <v>9.9359999999998081</v>
      </c>
      <c r="S276" s="4">
        <f t="shared" si="35"/>
        <v>0.9559281568969491</v>
      </c>
      <c r="T276" s="4">
        <f t="shared" si="36"/>
        <v>0.24328614608344026</v>
      </c>
      <c r="U276" s="4">
        <f t="shared" si="37"/>
        <v>0.3324384599155778</v>
      </c>
      <c r="V276" s="4">
        <f t="shared" si="38"/>
        <v>1.0388585015597582</v>
      </c>
      <c r="W276" s="116">
        <v>41</v>
      </c>
      <c r="X276" s="115">
        <v>1</v>
      </c>
      <c r="Y276" s="115">
        <v>1</v>
      </c>
      <c r="Z276" s="5">
        <f t="shared" si="32"/>
        <v>0</v>
      </c>
    </row>
    <row r="277" spans="1:26">
      <c r="A277" s="4">
        <v>23</v>
      </c>
      <c r="B277" s="4" t="s">
        <v>152</v>
      </c>
      <c r="C277" s="4" t="s">
        <v>150</v>
      </c>
      <c r="D277" s="5">
        <v>12</v>
      </c>
      <c r="E277" s="5">
        <v>1</v>
      </c>
      <c r="F277" s="4">
        <f t="shared" si="33"/>
        <v>12.900000000000006</v>
      </c>
      <c r="G277" s="4">
        <f t="shared" si="34"/>
        <v>1.1430148002540952</v>
      </c>
      <c r="H277" s="5">
        <v>1</v>
      </c>
      <c r="I277" s="5">
        <v>5</v>
      </c>
      <c r="J277" s="5">
        <v>0</v>
      </c>
      <c r="K277" s="5"/>
      <c r="L277" s="5">
        <v>3</v>
      </c>
      <c r="M277" s="5">
        <v>87.5</v>
      </c>
      <c r="N277" s="5">
        <v>100.4</v>
      </c>
      <c r="O277" s="116">
        <v>4.0840000000000174</v>
      </c>
      <c r="P277" s="115">
        <v>1.7660000000000053</v>
      </c>
      <c r="Q277" s="115">
        <v>0.91599999999998261</v>
      </c>
      <c r="R277" s="115">
        <v>6.7660000000000053</v>
      </c>
      <c r="S277" s="4">
        <f t="shared" si="35"/>
        <v>0.70620554188197204</v>
      </c>
      <c r="T277" s="4">
        <f t="shared" si="36"/>
        <v>0.44185217577329261</v>
      </c>
      <c r="U277" s="4">
        <f t="shared" si="37"/>
        <v>0.28239550474252167</v>
      </c>
      <c r="V277" s="4">
        <f t="shared" si="38"/>
        <v>0.89019738621002908</v>
      </c>
      <c r="W277" s="116">
        <v>36</v>
      </c>
      <c r="X277" s="115">
        <v>7</v>
      </c>
      <c r="Y277" s="115">
        <v>3</v>
      </c>
      <c r="Z277" s="5">
        <f t="shared" si="32"/>
        <v>4</v>
      </c>
    </row>
    <row r="278" spans="1:26">
      <c r="A278" s="4">
        <v>24</v>
      </c>
      <c r="B278" s="4" t="s">
        <v>151</v>
      </c>
      <c r="C278" s="4" t="s">
        <v>150</v>
      </c>
      <c r="D278" s="5">
        <v>1</v>
      </c>
      <c r="E278" s="5">
        <v>2</v>
      </c>
      <c r="F278" s="4">
        <f t="shared" si="33"/>
        <v>12.099999999999994</v>
      </c>
      <c r="G278" s="4">
        <f t="shared" si="34"/>
        <v>1.117271295655764</v>
      </c>
      <c r="H278" s="5">
        <v>1</v>
      </c>
      <c r="I278" s="5">
        <v>6</v>
      </c>
      <c r="J278" s="5">
        <v>0</v>
      </c>
      <c r="K278" s="5"/>
      <c r="L278" s="5">
        <v>1</v>
      </c>
      <c r="M278" s="5">
        <v>110.2</v>
      </c>
      <c r="N278" s="5">
        <v>122.3</v>
      </c>
      <c r="O278" s="116">
        <v>3.1820000000000306</v>
      </c>
      <c r="P278" s="115">
        <v>0.61599999999999966</v>
      </c>
      <c r="Q278" s="115">
        <v>2.5819999999999652</v>
      </c>
      <c r="R278" s="115">
        <v>6.3799999999999955</v>
      </c>
      <c r="S278" s="4">
        <f t="shared" si="35"/>
        <v>0.62138402848165619</v>
      </c>
      <c r="T278" s="4">
        <f t="shared" si="36"/>
        <v>0.20844135643856726</v>
      </c>
      <c r="U278" s="4">
        <f t="shared" si="37"/>
        <v>0.5541255815130085</v>
      </c>
      <c r="V278" s="4">
        <f t="shared" si="38"/>
        <v>0.86805636182304124</v>
      </c>
      <c r="W278" s="116">
        <v>28</v>
      </c>
      <c r="X278" s="115">
        <v>5</v>
      </c>
      <c r="Y278" s="115">
        <v>2</v>
      </c>
      <c r="Z278" s="5">
        <f t="shared" si="32"/>
        <v>3</v>
      </c>
    </row>
    <row r="279" spans="1:26">
      <c r="A279" s="4">
        <v>24</v>
      </c>
      <c r="B279" s="4" t="s">
        <v>151</v>
      </c>
      <c r="C279" s="4" t="s">
        <v>154</v>
      </c>
      <c r="D279" s="5">
        <v>2</v>
      </c>
      <c r="E279" s="5">
        <v>12</v>
      </c>
      <c r="F279" s="4">
        <f t="shared" si="33"/>
        <v>12.099999999999909</v>
      </c>
      <c r="G279" s="4">
        <f t="shared" si="34"/>
        <v>1.1172712956557613</v>
      </c>
      <c r="H279" s="5">
        <v>1</v>
      </c>
      <c r="I279" s="5">
        <v>3</v>
      </c>
      <c r="J279" s="5">
        <v>1</v>
      </c>
      <c r="K279" s="5"/>
      <c r="L279" s="5">
        <v>5</v>
      </c>
      <c r="M279" s="5">
        <v>550.20000000000005</v>
      </c>
      <c r="N279" s="5">
        <v>562.29999999999995</v>
      </c>
      <c r="O279" s="116">
        <v>0.98300000000006094</v>
      </c>
      <c r="P279" s="115">
        <v>0.68399999999996908</v>
      </c>
      <c r="Q279" s="115">
        <v>0.24999999999988631</v>
      </c>
      <c r="R279" s="115">
        <v>1.9169999999999163</v>
      </c>
      <c r="S279" s="4">
        <f t="shared" si="35"/>
        <v>0.29732271420531603</v>
      </c>
      <c r="T279" s="4">
        <f t="shared" si="36"/>
        <v>0.22634208716362272</v>
      </c>
      <c r="U279" s="4">
        <f t="shared" si="37"/>
        <v>9.691001300801691E-2</v>
      </c>
      <c r="V279" s="4">
        <f t="shared" si="38"/>
        <v>0.46493642912172023</v>
      </c>
      <c r="W279" s="116">
        <v>13</v>
      </c>
      <c r="X279" s="115">
        <v>3</v>
      </c>
      <c r="Y279" s="115">
        <v>3</v>
      </c>
      <c r="Z279" s="5">
        <f t="shared" si="32"/>
        <v>0</v>
      </c>
    </row>
    <row r="280" spans="1:26">
      <c r="A280" s="4">
        <v>24</v>
      </c>
      <c r="B280" s="4" t="s">
        <v>151</v>
      </c>
      <c r="C280" s="4" t="s">
        <v>150</v>
      </c>
      <c r="D280" s="5">
        <v>3</v>
      </c>
      <c r="E280" s="5">
        <v>4</v>
      </c>
      <c r="F280" s="4">
        <f t="shared" si="33"/>
        <v>13.099999999999994</v>
      </c>
      <c r="G280" s="4">
        <f t="shared" si="34"/>
        <v>1.1492191126553797</v>
      </c>
      <c r="H280" s="5">
        <v>1</v>
      </c>
      <c r="I280" s="5">
        <v>5</v>
      </c>
      <c r="J280" s="5">
        <v>0</v>
      </c>
      <c r="K280" s="5"/>
      <c r="L280" s="5">
        <v>2</v>
      </c>
      <c r="M280" s="5">
        <v>193.8</v>
      </c>
      <c r="N280" s="5">
        <v>206.9</v>
      </c>
      <c r="O280" s="116">
        <v>2.8159999999999741</v>
      </c>
      <c r="P280" s="115">
        <v>1.0180000000000007</v>
      </c>
      <c r="Q280" s="115">
        <v>1.9160000000000537</v>
      </c>
      <c r="R280" s="115">
        <v>5.7500000000000284</v>
      </c>
      <c r="S280" s="4">
        <f t="shared" si="35"/>
        <v>0.58160836603205457</v>
      </c>
      <c r="T280" s="4">
        <f t="shared" si="36"/>
        <v>0.30492116190089186</v>
      </c>
      <c r="U280" s="4">
        <f t="shared" si="37"/>
        <v>0.464787519645945</v>
      </c>
      <c r="V280" s="4">
        <f t="shared" si="38"/>
        <v>0.82930377283102674</v>
      </c>
      <c r="W280" s="116">
        <v>31</v>
      </c>
      <c r="X280" s="115">
        <v>5</v>
      </c>
      <c r="Y280" s="115">
        <v>2</v>
      </c>
      <c r="Z280" s="5">
        <f>X280-Y280</f>
        <v>3</v>
      </c>
    </row>
    <row r="281" spans="1:26">
      <c r="A281" s="4">
        <v>24</v>
      </c>
      <c r="B281" s="4" t="s">
        <v>151</v>
      </c>
      <c r="C281" s="4" t="s">
        <v>149</v>
      </c>
      <c r="D281" s="5">
        <v>4</v>
      </c>
      <c r="E281" s="5">
        <v>8</v>
      </c>
      <c r="F281" s="4">
        <f t="shared" si="33"/>
        <v>11.599999999999966</v>
      </c>
      <c r="G281" s="4">
        <f t="shared" si="34"/>
        <v>1.1003705451175618</v>
      </c>
      <c r="H281" s="5">
        <v>1</v>
      </c>
      <c r="I281" s="5">
        <v>6</v>
      </c>
      <c r="J281" s="5">
        <v>0</v>
      </c>
      <c r="K281" s="5"/>
      <c r="L281" s="5">
        <v>3</v>
      </c>
      <c r="M281" s="5">
        <v>390.6</v>
      </c>
      <c r="N281" s="5">
        <v>402.2</v>
      </c>
      <c r="O281" s="116">
        <v>2.5</v>
      </c>
      <c r="P281" s="115">
        <v>0.10000000000002274</v>
      </c>
      <c r="Q281" s="115">
        <v>0.48400000000003729</v>
      </c>
      <c r="R281" s="115">
        <v>3.08400000000006</v>
      </c>
      <c r="S281" s="4">
        <f t="shared" si="35"/>
        <v>0.54406804435027567</v>
      </c>
      <c r="T281" s="4">
        <f t="shared" si="36"/>
        <v>4.1392685158234015E-2</v>
      </c>
      <c r="U281" s="4">
        <f t="shared" si="37"/>
        <v>0.17143390094301919</v>
      </c>
      <c r="V281" s="4">
        <f t="shared" si="38"/>
        <v>0.61108573341487904</v>
      </c>
      <c r="W281" s="116">
        <v>16</v>
      </c>
      <c r="X281" s="115">
        <v>3</v>
      </c>
      <c r="Y281" s="115">
        <v>3</v>
      </c>
      <c r="Z281" s="5">
        <f t="shared" ref="Z281:Z289" si="39">X281-Y281</f>
        <v>0</v>
      </c>
    </row>
    <row r="282" spans="1:26">
      <c r="A282" s="4">
        <v>24</v>
      </c>
      <c r="B282" s="4" t="s">
        <v>151</v>
      </c>
      <c r="C282" s="4" t="s">
        <v>154</v>
      </c>
      <c r="D282" s="5">
        <v>5</v>
      </c>
      <c r="E282" s="5">
        <v>10</v>
      </c>
      <c r="F282" s="4">
        <f t="shared" si="33"/>
        <v>22.5</v>
      </c>
      <c r="G282" s="4">
        <f t="shared" si="34"/>
        <v>1.3710678622717363</v>
      </c>
      <c r="H282" s="5">
        <v>1</v>
      </c>
      <c r="I282" s="5">
        <v>3</v>
      </c>
      <c r="J282" s="5">
        <v>1</v>
      </c>
      <c r="K282" s="5"/>
      <c r="L282" s="5">
        <v>2</v>
      </c>
      <c r="M282" s="5">
        <v>476.3</v>
      </c>
      <c r="N282" s="5">
        <v>498.8</v>
      </c>
      <c r="O282" s="116">
        <v>2.7669999999998822</v>
      </c>
      <c r="P282" s="115">
        <v>1.5660000000000878</v>
      </c>
      <c r="Q282" s="115">
        <v>0.33299999999996999</v>
      </c>
      <c r="R282" s="115">
        <v>4.66599999999994</v>
      </c>
      <c r="S282" s="4">
        <f t="shared" si="35"/>
        <v>0.57599562020325401</v>
      </c>
      <c r="T282" s="4">
        <f t="shared" si="36"/>
        <v>0.40925665203892453</v>
      </c>
      <c r="U282" s="4">
        <f t="shared" si="37"/>
        <v>0.12483014941384943</v>
      </c>
      <c r="V282" s="4">
        <f t="shared" si="38"/>
        <v>0.75327657018441374</v>
      </c>
      <c r="W282" s="116">
        <v>25</v>
      </c>
      <c r="X282" s="115">
        <v>6</v>
      </c>
      <c r="Y282" s="115">
        <v>2</v>
      </c>
      <c r="Z282" s="5">
        <f t="shared" si="39"/>
        <v>4</v>
      </c>
    </row>
    <row r="283" spans="1:26">
      <c r="A283" s="4">
        <v>24</v>
      </c>
      <c r="B283" s="4" t="s">
        <v>151</v>
      </c>
      <c r="C283" s="4" t="s">
        <v>149</v>
      </c>
      <c r="D283" s="5">
        <v>6</v>
      </c>
      <c r="E283" s="5">
        <v>6</v>
      </c>
      <c r="F283" s="4">
        <f t="shared" si="33"/>
        <v>12.600000000000023</v>
      </c>
      <c r="G283" s="4">
        <f t="shared" si="34"/>
        <v>1.1335389083702183</v>
      </c>
      <c r="H283" s="5">
        <v>1</v>
      </c>
      <c r="I283" s="5">
        <v>5</v>
      </c>
      <c r="J283" s="5">
        <v>0</v>
      </c>
      <c r="K283" s="5"/>
      <c r="L283" s="5">
        <v>1</v>
      </c>
      <c r="M283" s="5">
        <v>273</v>
      </c>
      <c r="N283" s="5">
        <v>285.60000000000002</v>
      </c>
      <c r="O283" s="116">
        <v>4.5990000000003306</v>
      </c>
      <c r="P283" s="115">
        <v>0.45099999999996498</v>
      </c>
      <c r="Q283" s="115">
        <v>1.0509999999999877</v>
      </c>
      <c r="R283" s="115">
        <v>6.1010000000002833</v>
      </c>
      <c r="S283" s="4">
        <f t="shared" si="35"/>
        <v>0.74811046749500942</v>
      </c>
      <c r="T283" s="4">
        <f t="shared" si="36"/>
        <v>0.16166741243772539</v>
      </c>
      <c r="U283" s="4">
        <f t="shared" si="37"/>
        <v>0.31196566036836371</v>
      </c>
      <c r="V283" s="4">
        <f t="shared" si="38"/>
        <v>0.85131951264876249</v>
      </c>
      <c r="W283" s="116">
        <v>34</v>
      </c>
      <c r="X283" s="115">
        <v>10</v>
      </c>
      <c r="Y283" s="115">
        <v>3</v>
      </c>
      <c r="Z283" s="5">
        <f t="shared" si="39"/>
        <v>7</v>
      </c>
    </row>
    <row r="284" spans="1:26">
      <c r="A284" s="4">
        <v>24</v>
      </c>
      <c r="B284" s="4" t="s">
        <v>152</v>
      </c>
      <c r="C284" s="4" t="s">
        <v>154</v>
      </c>
      <c r="D284" s="5">
        <v>7</v>
      </c>
      <c r="E284" s="5">
        <v>9</v>
      </c>
      <c r="F284" s="4">
        <f t="shared" si="33"/>
        <v>39.800000000000011</v>
      </c>
      <c r="G284" s="4">
        <f t="shared" si="34"/>
        <v>1.61066016308988</v>
      </c>
      <c r="H284" s="5">
        <v>1</v>
      </c>
      <c r="I284" s="5">
        <v>3</v>
      </c>
      <c r="J284" s="5">
        <v>1</v>
      </c>
      <c r="K284" s="5"/>
      <c r="L284" s="5">
        <v>2</v>
      </c>
      <c r="M284" s="5">
        <v>419</v>
      </c>
      <c r="N284" s="5">
        <v>458.8</v>
      </c>
      <c r="O284" s="116">
        <v>6.6170000000000755</v>
      </c>
      <c r="P284" s="115">
        <v>4.4300000000000068</v>
      </c>
      <c r="Q284" s="115">
        <v>3.7330000000000609</v>
      </c>
      <c r="R284" s="115">
        <v>14.780000000000143</v>
      </c>
      <c r="S284" s="4">
        <f t="shared" si="35"/>
        <v>0.88178395559338896</v>
      </c>
      <c r="T284" s="4">
        <f t="shared" si="36"/>
        <v>0.73479982958884749</v>
      </c>
      <c r="U284" s="4">
        <f t="shared" si="37"/>
        <v>0.67513650446799955</v>
      </c>
      <c r="V284" s="4">
        <f t="shared" si="38"/>
        <v>1.1981069988734054</v>
      </c>
      <c r="W284" s="116">
        <v>66</v>
      </c>
      <c r="X284" s="115">
        <v>25</v>
      </c>
      <c r="Y284" s="115">
        <v>8</v>
      </c>
      <c r="Z284" s="5">
        <f t="shared" si="39"/>
        <v>17</v>
      </c>
    </row>
    <row r="285" spans="1:26">
      <c r="A285" s="4">
        <v>24</v>
      </c>
      <c r="B285" s="4" t="s">
        <v>152</v>
      </c>
      <c r="C285" s="4" t="s">
        <v>150</v>
      </c>
      <c r="D285" s="5">
        <v>8</v>
      </c>
      <c r="E285" s="5">
        <v>1</v>
      </c>
      <c r="F285" s="4">
        <f t="shared" si="33"/>
        <v>6.6000000000000085</v>
      </c>
      <c r="G285" s="4">
        <f t="shared" si="34"/>
        <v>0.88081359228079181</v>
      </c>
      <c r="H285" s="5">
        <v>1</v>
      </c>
      <c r="I285" s="5">
        <v>7</v>
      </c>
      <c r="J285" s="5">
        <v>0</v>
      </c>
      <c r="K285" s="5"/>
      <c r="L285" s="5">
        <v>1</v>
      </c>
      <c r="M285" s="5">
        <v>77.099999999999994</v>
      </c>
      <c r="N285" s="5">
        <v>83.7</v>
      </c>
      <c r="O285" s="116">
        <v>2.2369999999999948</v>
      </c>
      <c r="P285" s="115"/>
      <c r="Q285" s="115">
        <v>0.6839999999999975</v>
      </c>
      <c r="R285" s="115">
        <v>2.9209999999999923</v>
      </c>
      <c r="S285" s="4">
        <f t="shared" si="35"/>
        <v>0.5101426994025724</v>
      </c>
      <c r="T285" s="4">
        <f t="shared" si="36"/>
        <v>0</v>
      </c>
      <c r="U285" s="4">
        <f t="shared" si="37"/>
        <v>0.22634208716363005</v>
      </c>
      <c r="V285" s="4">
        <f t="shared" si="38"/>
        <v>0.59339684230020584</v>
      </c>
      <c r="W285" s="116">
        <v>14</v>
      </c>
      <c r="X285" s="115">
        <v>1</v>
      </c>
      <c r="Y285" s="115">
        <v>1</v>
      </c>
      <c r="Z285" s="5">
        <f t="shared" si="39"/>
        <v>0</v>
      </c>
    </row>
    <row r="286" spans="1:26">
      <c r="A286" s="4">
        <v>24</v>
      </c>
      <c r="B286" s="4" t="s">
        <v>152</v>
      </c>
      <c r="C286" s="4" t="s">
        <v>149</v>
      </c>
      <c r="D286" s="5">
        <v>9</v>
      </c>
      <c r="E286" s="5">
        <v>5</v>
      </c>
      <c r="F286" s="4">
        <f t="shared" si="33"/>
        <v>7.3000000000000114</v>
      </c>
      <c r="G286" s="4">
        <f t="shared" si="34"/>
        <v>0.91907809237607452</v>
      </c>
      <c r="H286" s="5">
        <v>1</v>
      </c>
      <c r="I286" s="5">
        <v>6</v>
      </c>
      <c r="J286" s="5">
        <v>0</v>
      </c>
      <c r="K286" s="5"/>
      <c r="L286" s="5">
        <v>2</v>
      </c>
      <c r="M286" s="5">
        <v>236.7</v>
      </c>
      <c r="N286" s="5">
        <v>244</v>
      </c>
      <c r="O286" s="116">
        <v>2.3659999999999854</v>
      </c>
      <c r="P286" s="115">
        <v>0.58200000000002206</v>
      </c>
      <c r="Q286" s="115">
        <v>0.8860000000000241</v>
      </c>
      <c r="R286" s="115">
        <v>3.8340000000000316</v>
      </c>
      <c r="S286" s="4">
        <f t="shared" si="35"/>
        <v>0.52711411163980315</v>
      </c>
      <c r="T286" s="4">
        <f t="shared" si="36"/>
        <v>0.19920647916166381</v>
      </c>
      <c r="U286" s="4">
        <f t="shared" si="37"/>
        <v>0.2755416884013151</v>
      </c>
      <c r="V286" s="4">
        <f t="shared" si="38"/>
        <v>0.68430664607163438</v>
      </c>
      <c r="W286" s="116">
        <v>17</v>
      </c>
      <c r="X286" s="115">
        <v>2</v>
      </c>
      <c r="Y286" s="115">
        <v>2</v>
      </c>
      <c r="Z286" s="5">
        <f t="shared" si="39"/>
        <v>0</v>
      </c>
    </row>
    <row r="287" spans="1:26">
      <c r="A287" s="4">
        <v>24</v>
      </c>
      <c r="B287" s="4" t="s">
        <v>152</v>
      </c>
      <c r="C287" s="4" t="s">
        <v>150</v>
      </c>
      <c r="D287" s="5">
        <v>10</v>
      </c>
      <c r="E287" s="5">
        <v>3</v>
      </c>
      <c r="F287" s="4">
        <f t="shared" si="33"/>
        <v>5.5</v>
      </c>
      <c r="G287" s="4">
        <f t="shared" si="34"/>
        <v>0.81291335664285558</v>
      </c>
      <c r="H287" s="5">
        <v>1</v>
      </c>
      <c r="I287" s="5">
        <v>7</v>
      </c>
      <c r="J287" s="5">
        <v>0</v>
      </c>
      <c r="K287" s="5"/>
      <c r="L287" s="5">
        <v>1</v>
      </c>
      <c r="M287" s="5">
        <v>153.9</v>
      </c>
      <c r="N287" s="5">
        <v>159.4</v>
      </c>
      <c r="O287" s="116">
        <v>1.785000000000025</v>
      </c>
      <c r="P287" s="115">
        <v>0.34999999999999432</v>
      </c>
      <c r="Q287" s="115">
        <v>0.58299999999999841</v>
      </c>
      <c r="R287" s="115">
        <v>2.7180000000000177</v>
      </c>
      <c r="S287" s="4">
        <f t="shared" si="35"/>
        <v>0.44482519950975158</v>
      </c>
      <c r="T287" s="4">
        <f t="shared" si="36"/>
        <v>0.13033376849500428</v>
      </c>
      <c r="U287" s="4">
        <f t="shared" si="37"/>
        <v>0.19948091486235547</v>
      </c>
      <c r="V287" s="4">
        <f t="shared" si="38"/>
        <v>0.57030938543588183</v>
      </c>
      <c r="W287" s="116">
        <v>12</v>
      </c>
      <c r="X287" s="115">
        <v>1</v>
      </c>
      <c r="Y287" s="115">
        <v>1</v>
      </c>
      <c r="Z287" s="5">
        <f t="shared" si="39"/>
        <v>0</v>
      </c>
    </row>
    <row r="288" spans="1:26">
      <c r="A288" s="4">
        <v>24</v>
      </c>
      <c r="B288" s="4" t="s">
        <v>152</v>
      </c>
      <c r="C288" s="4" t="s">
        <v>154</v>
      </c>
      <c r="D288" s="5">
        <v>11</v>
      </c>
      <c r="E288" s="5">
        <v>11</v>
      </c>
      <c r="F288" s="4">
        <f t="shared" si="33"/>
        <v>12.5</v>
      </c>
      <c r="G288" s="4">
        <f t="shared" si="34"/>
        <v>1.1303337684950061</v>
      </c>
      <c r="H288" s="5">
        <v>1</v>
      </c>
      <c r="I288" s="5">
        <v>3</v>
      </c>
      <c r="J288" s="5">
        <v>0</v>
      </c>
      <c r="K288" s="5"/>
      <c r="L288" s="5">
        <v>1</v>
      </c>
      <c r="M288" s="5">
        <v>518.9</v>
      </c>
      <c r="N288" s="5">
        <v>531.4</v>
      </c>
      <c r="O288" s="116">
        <v>2.3820000000000618</v>
      </c>
      <c r="P288" s="115">
        <v>0.5180000000000291</v>
      </c>
      <c r="Q288" s="115">
        <v>0.79900000000009186</v>
      </c>
      <c r="R288" s="115">
        <v>3.6990000000001828</v>
      </c>
      <c r="S288" s="4">
        <f t="shared" si="35"/>
        <v>0.52917360326173091</v>
      </c>
      <c r="T288" s="4">
        <f t="shared" si="36"/>
        <v>0.18127177155946989</v>
      </c>
      <c r="U288" s="4">
        <f t="shared" si="37"/>
        <v>0.25503116334557352</v>
      </c>
      <c r="V288" s="4">
        <f t="shared" si="38"/>
        <v>0.67200544502296877</v>
      </c>
      <c r="W288" s="116">
        <v>22</v>
      </c>
      <c r="X288" s="115">
        <v>6</v>
      </c>
      <c r="Y288" s="115">
        <v>3</v>
      </c>
      <c r="Z288" s="5">
        <f t="shared" si="39"/>
        <v>3</v>
      </c>
    </row>
    <row r="289" spans="1:26">
      <c r="A289" s="4">
        <v>24</v>
      </c>
      <c r="B289" s="4" t="s">
        <v>152</v>
      </c>
      <c r="C289" s="4" t="s">
        <v>149</v>
      </c>
      <c r="D289" s="5">
        <v>12</v>
      </c>
      <c r="E289" s="5">
        <v>7</v>
      </c>
      <c r="F289" s="4">
        <f t="shared" si="33"/>
        <v>9.8000000000000114</v>
      </c>
      <c r="G289" s="4">
        <f t="shared" si="34"/>
        <v>1.0334237554869501</v>
      </c>
      <c r="H289" s="5">
        <v>1</v>
      </c>
      <c r="I289" s="5">
        <v>5</v>
      </c>
      <c r="J289" s="5">
        <v>0</v>
      </c>
      <c r="K289" s="5"/>
      <c r="L289" s="5">
        <v>1</v>
      </c>
      <c r="M289" s="5">
        <v>346.7</v>
      </c>
      <c r="N289" s="5">
        <v>356.5</v>
      </c>
      <c r="O289" s="116">
        <v>2.8349999999999795</v>
      </c>
      <c r="P289" s="115">
        <v>0.90000000000009095</v>
      </c>
      <c r="Q289" s="115">
        <v>0.71600000000000819</v>
      </c>
      <c r="R289" s="115">
        <v>4.4510000000000787</v>
      </c>
      <c r="S289" s="4">
        <f t="shared" si="35"/>
        <v>0.58376536828499748</v>
      </c>
      <c r="T289" s="4">
        <f t="shared" si="36"/>
        <v>0.27875360095284973</v>
      </c>
      <c r="U289" s="4">
        <f t="shared" si="37"/>
        <v>0.23451728351268872</v>
      </c>
      <c r="V289" s="4">
        <f t="shared" si="38"/>
        <v>0.73647618202770304</v>
      </c>
      <c r="W289" s="116">
        <v>19</v>
      </c>
      <c r="X289" s="115">
        <v>3</v>
      </c>
      <c r="Y289" s="115">
        <v>2</v>
      </c>
      <c r="Z289" s="5">
        <f t="shared" si="39"/>
        <v>1</v>
      </c>
    </row>
    <row r="290" spans="1:26">
      <c r="A290" s="3" t="s">
        <v>141</v>
      </c>
      <c r="F290" s="81">
        <f>SUM(F2:F73)/72</f>
        <v>15.365277777777786</v>
      </c>
      <c r="G290" s="81">
        <f t="shared" ref="G290:Y290" si="40">SUM(G2:G73)/72</f>
        <v>1.1502089257941832</v>
      </c>
      <c r="H290" s="89">
        <f t="shared" si="40"/>
        <v>0.95833333333333337</v>
      </c>
      <c r="I290" s="89">
        <f t="shared" si="40"/>
        <v>4.8472222222222223</v>
      </c>
      <c r="J290" s="89"/>
      <c r="K290" s="89"/>
      <c r="L290" s="89"/>
      <c r="M290" s="89"/>
      <c r="N290" s="89"/>
      <c r="O290" s="89"/>
      <c r="P290" s="81"/>
      <c r="Q290" s="81"/>
      <c r="R290" s="81"/>
      <c r="S290" s="81"/>
      <c r="T290" s="81"/>
      <c r="U290" s="81"/>
      <c r="V290" s="81"/>
      <c r="W290" s="89"/>
      <c r="X290" s="81">
        <f t="shared" si="40"/>
        <v>7.0972222222222223</v>
      </c>
      <c r="Y290" s="81">
        <f t="shared" si="40"/>
        <v>3.5</v>
      </c>
    </row>
    <row r="291" spans="1:26">
      <c r="A291" s="3" t="s">
        <v>142</v>
      </c>
      <c r="F291" s="81">
        <f>SUM(F74:F145)/72</f>
        <v>18.395833333333339</v>
      </c>
      <c r="G291" s="81">
        <f t="shared" ref="G291:Y291" si="41">SUM(G74:G145)/72</f>
        <v>1.2214426708647104</v>
      </c>
      <c r="H291" s="89">
        <f t="shared" si="41"/>
        <v>0.94444444444444442</v>
      </c>
      <c r="I291" s="89">
        <f t="shared" si="41"/>
        <v>5.1527777777777777</v>
      </c>
      <c r="J291" s="89"/>
      <c r="K291" s="89"/>
      <c r="L291" s="89"/>
      <c r="M291" s="89"/>
      <c r="N291" s="89"/>
      <c r="O291" s="89"/>
      <c r="P291" s="81"/>
      <c r="Q291" s="81"/>
      <c r="R291" s="81"/>
      <c r="S291" s="81"/>
      <c r="T291" s="81"/>
      <c r="U291" s="81"/>
      <c r="V291" s="81"/>
      <c r="W291" s="89"/>
      <c r="X291" s="81">
        <f t="shared" si="41"/>
        <v>8.4722222222222214</v>
      </c>
      <c r="Y291" s="81">
        <f t="shared" si="41"/>
        <v>3.4583333333333335</v>
      </c>
    </row>
    <row r="292" spans="1:26">
      <c r="A292" s="3" t="s">
        <v>143</v>
      </c>
      <c r="F292" s="81">
        <f>SUM(F146:F217)/72</f>
        <v>16.290277777777774</v>
      </c>
      <c r="G292" s="81">
        <f t="shared" ref="G292:Y292" si="42">SUM(G146:G217)/72</f>
        <v>1.1682868815450971</v>
      </c>
      <c r="H292" s="89">
        <f t="shared" si="42"/>
        <v>0.95833333333333337</v>
      </c>
      <c r="I292" s="89">
        <f t="shared" si="42"/>
        <v>4.8055555555555554</v>
      </c>
      <c r="J292" s="89"/>
      <c r="K292" s="89"/>
      <c r="L292" s="89"/>
      <c r="M292" s="89"/>
      <c r="N292" s="89"/>
      <c r="O292" s="89"/>
      <c r="P292" s="81"/>
      <c r="Q292" s="81"/>
      <c r="R292" s="81"/>
      <c r="S292" s="81"/>
      <c r="T292" s="81"/>
      <c r="U292" s="81"/>
      <c r="V292" s="81"/>
      <c r="W292" s="89"/>
      <c r="X292" s="81">
        <f t="shared" si="42"/>
        <v>7.5972222222222223</v>
      </c>
      <c r="Y292" s="81">
        <f t="shared" si="42"/>
        <v>3.2777777777777777</v>
      </c>
    </row>
    <row r="293" spans="1:26">
      <c r="A293" s="3" t="s">
        <v>144</v>
      </c>
      <c r="F293" s="81">
        <f>SUM(F218:F289)/72</f>
        <v>14.90138888888889</v>
      </c>
      <c r="G293" s="81">
        <f t="shared" ref="G293:Y293" si="43">SUM(G218:G289)/72</f>
        <v>1.1235061101973178</v>
      </c>
      <c r="H293" s="89">
        <f t="shared" si="43"/>
        <v>0.88888888888888884</v>
      </c>
      <c r="I293" s="89">
        <f t="shared" si="43"/>
        <v>4.6388888888888893</v>
      </c>
      <c r="J293" s="89"/>
      <c r="K293" s="89"/>
      <c r="L293" s="89"/>
      <c r="M293" s="89"/>
      <c r="N293" s="89"/>
      <c r="O293" s="89"/>
      <c r="P293" s="81"/>
      <c r="Q293" s="81"/>
      <c r="R293" s="81"/>
      <c r="S293" s="81"/>
      <c r="T293" s="81"/>
      <c r="U293" s="81"/>
      <c r="V293" s="81"/>
      <c r="W293" s="89"/>
      <c r="X293" s="81">
        <f t="shared" si="43"/>
        <v>7.0972222222222223</v>
      </c>
      <c r="Y293" s="81">
        <f t="shared" si="43"/>
        <v>2.9027777777777777</v>
      </c>
    </row>
    <row r="294" spans="1:26">
      <c r="X294" s="81"/>
    </row>
    <row r="295" spans="1:26">
      <c r="X295" s="81"/>
    </row>
    <row r="296" spans="1:26">
      <c r="X296" s="81"/>
    </row>
    <row r="297" spans="1:26">
      <c r="F297" s="81" t="e">
        <f>#REF!-Main!F290</f>
        <v>#REF!</v>
      </c>
      <c r="X297" s="81"/>
    </row>
    <row r="298" spans="1:26">
      <c r="F298" s="81" t="e">
        <f>#REF!-Main!F291</f>
        <v>#REF!</v>
      </c>
      <c r="X298" s="81"/>
    </row>
    <row r="299" spans="1:26">
      <c r="F299" s="81" t="e">
        <f>#REF!-Main!F292</f>
        <v>#REF!</v>
      </c>
      <c r="X299" s="81"/>
    </row>
    <row r="300" spans="1:26">
      <c r="F300" s="81" t="e">
        <f>#REF!-Main!F293</f>
        <v>#REF!</v>
      </c>
      <c r="X300" s="81" t="e">
        <f>SUM(X2:X73)/SUM(#REF!)</f>
        <v>#REF!</v>
      </c>
      <c r="Y300" s="3" t="e">
        <f>SUM(#REF!)</f>
        <v>#REF!</v>
      </c>
    </row>
    <row r="301" spans="1:26">
      <c r="X301" s="3" t="e">
        <f>SUM(X74:X145)/SUM(#REF!)</f>
        <v>#REF!</v>
      </c>
      <c r="Y301" s="3" t="e">
        <f>SUM(#REF!)</f>
        <v>#REF!</v>
      </c>
    </row>
    <row r="302" spans="1:26">
      <c r="X302" s="83">
        <f>SUM(X2:X145)/103</f>
        <v>10.883495145631068</v>
      </c>
      <c r="Y302" s="3" t="e">
        <f>SUM(#REF!)</f>
        <v>#REF!</v>
      </c>
    </row>
    <row r="303" spans="1:26">
      <c r="X303" s="83"/>
    </row>
    <row r="304" spans="1:26">
      <c r="X304" s="83"/>
    </row>
    <row r="305" spans="24:25">
      <c r="X305" s="83"/>
    </row>
    <row r="306" spans="24:25">
      <c r="X306" s="3" t="e">
        <f>SUM(X146:X217)/SUM(#REF!)</f>
        <v>#REF!</v>
      </c>
    </row>
    <row r="307" spans="24:25">
      <c r="X307" s="3" t="e">
        <f>SUM(X218:X289)/SUM(#REF!)</f>
        <v>#REF!</v>
      </c>
    </row>
    <row r="308" spans="24:25">
      <c r="X308" s="83">
        <f>SUM(X146:X289)/113</f>
        <v>9.3628318584070804</v>
      </c>
      <c r="Y308" s="3">
        <f>SUM(COUNT(X146:X289))</f>
        <v>144</v>
      </c>
    </row>
  </sheetData>
  <sortState ref="A2:Y289">
    <sortCondition ref="A2:A289"/>
    <sortCondition ref="D2:D289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O2881"/>
  <sheetViews>
    <sheetView tabSelected="1" topLeftCell="B1" zoomScale="90" zoomScaleNormal="90" workbookViewId="0">
      <pane ySplit="1" topLeftCell="A2854" activePane="bottomLeft" state="frozen"/>
      <selection pane="bottomLeft" activeCell="L2642" sqref="L2642:O2881"/>
    </sheetView>
  </sheetViews>
  <sheetFormatPr defaultColWidth="10.69921875" defaultRowHeight="13.2"/>
  <cols>
    <col min="1" max="1" width="10.69921875" style="3"/>
    <col min="2" max="2" width="3.796875" style="3" customWidth="1"/>
    <col min="3" max="3" width="4.59765625" style="3" customWidth="1"/>
    <col min="4" max="4" width="6.59765625" style="3" customWidth="1"/>
    <col min="5" max="5" width="3.296875" style="3" customWidth="1"/>
    <col min="6" max="6" width="3.796875" style="3" customWidth="1"/>
    <col min="7" max="7" width="3.69921875" style="3" customWidth="1"/>
    <col min="8" max="8" width="4.796875" style="3" customWidth="1"/>
    <col min="9" max="9" width="4.19921875" style="3" customWidth="1"/>
    <col min="10" max="10" width="5.69921875" style="3" customWidth="1"/>
    <col min="11" max="14" width="7.8984375" style="3" customWidth="1"/>
    <col min="15" max="15" width="13.09765625" style="3" bestFit="1" customWidth="1"/>
    <col min="16" max="16384" width="10.69921875" style="3"/>
  </cols>
  <sheetData>
    <row r="1" spans="2:15" ht="13.8" thickBot="1">
      <c r="B1" s="92" t="s">
        <v>4</v>
      </c>
      <c r="C1" s="92" t="s">
        <v>146</v>
      </c>
      <c r="D1" s="92" t="s">
        <v>148</v>
      </c>
      <c r="E1" s="92" t="s">
        <v>147</v>
      </c>
      <c r="F1" s="92" t="s">
        <v>153</v>
      </c>
      <c r="G1" s="2" t="s">
        <v>8</v>
      </c>
      <c r="H1" s="2" t="s">
        <v>209</v>
      </c>
      <c r="I1" s="2" t="s">
        <v>210</v>
      </c>
      <c r="J1" s="2" t="s">
        <v>211</v>
      </c>
      <c r="K1" s="2" t="s">
        <v>221</v>
      </c>
      <c r="L1" s="2" t="s">
        <v>217</v>
      </c>
      <c r="M1" s="2" t="s">
        <v>218</v>
      </c>
      <c r="N1" s="2" t="s">
        <v>219</v>
      </c>
      <c r="O1" s="2" t="s">
        <v>220</v>
      </c>
    </row>
    <row r="2" spans="2:15">
      <c r="B2" s="9">
        <v>1</v>
      </c>
      <c r="C2" s="10" t="s">
        <v>151</v>
      </c>
      <c r="D2" s="10" t="s">
        <v>150</v>
      </c>
      <c r="E2" s="93">
        <v>1</v>
      </c>
      <c r="F2" s="93">
        <v>11</v>
      </c>
      <c r="G2" s="10">
        <v>1</v>
      </c>
      <c r="H2" s="120">
        <v>2.5670000000000073</v>
      </c>
      <c r="I2" s="120">
        <v>0.41599999999993997</v>
      </c>
      <c r="J2" s="120">
        <v>3.4750000000001364</v>
      </c>
      <c r="K2" s="122">
        <v>6.4580000000000837</v>
      </c>
      <c r="L2" s="9">
        <f t="shared" ref="L2" si="0">LOG10(H2+1)</f>
        <v>0.55230310933835491</v>
      </c>
      <c r="M2" s="10">
        <f t="shared" ref="M2" si="1">LOG10(I2+1)</f>
        <v>0.1510632533537318</v>
      </c>
      <c r="N2" s="10">
        <f t="shared" ref="N2" si="2">LOG10(J2+1)</f>
        <v>0.65079303965194402</v>
      </c>
      <c r="O2" s="11">
        <f t="shared" ref="O2" si="3">LOG10(K2+1)</f>
        <v>0.87262237902529327</v>
      </c>
    </row>
    <row r="3" spans="2:15">
      <c r="B3" s="12">
        <v>1</v>
      </c>
      <c r="C3" s="4" t="s">
        <v>151</v>
      </c>
      <c r="D3" s="4" t="s">
        <v>150</v>
      </c>
      <c r="E3" s="4">
        <v>1</v>
      </c>
      <c r="F3" s="4">
        <v>11</v>
      </c>
      <c r="G3" s="4">
        <v>2</v>
      </c>
      <c r="H3" s="115">
        <v>0.80000000000006821</v>
      </c>
      <c r="I3" s="115"/>
      <c r="J3" s="115"/>
      <c r="K3" s="123">
        <v>0.80000000000006821</v>
      </c>
      <c r="L3" s="12">
        <f t="shared" ref="L3:L12" si="4">LOG10(H3+1)</f>
        <v>0.2552725051033225</v>
      </c>
      <c r="M3" s="4">
        <f t="shared" ref="M3:M12" si="5">LOG10(I3+1)</f>
        <v>0</v>
      </c>
      <c r="N3" s="4">
        <f t="shared" ref="N3:N12" si="6">LOG10(J3+1)</f>
        <v>0</v>
      </c>
      <c r="O3" s="13">
        <f t="shared" ref="O3:O12" si="7">LOG10(K3+1)</f>
        <v>0.2552725051033225</v>
      </c>
    </row>
    <row r="4" spans="2:15">
      <c r="B4" s="12">
        <v>1</v>
      </c>
      <c r="C4" s="4" t="s">
        <v>151</v>
      </c>
      <c r="D4" s="4" t="s">
        <v>150</v>
      </c>
      <c r="E4" s="4">
        <v>1</v>
      </c>
      <c r="F4" s="4">
        <v>11</v>
      </c>
      <c r="G4" s="4">
        <v>3</v>
      </c>
      <c r="H4" s="115"/>
      <c r="I4" s="115"/>
      <c r="J4" s="115"/>
      <c r="K4" s="123">
        <v>0</v>
      </c>
      <c r="L4" s="12">
        <f t="shared" si="4"/>
        <v>0</v>
      </c>
      <c r="M4" s="4">
        <f t="shared" si="5"/>
        <v>0</v>
      </c>
      <c r="N4" s="4">
        <f t="shared" si="6"/>
        <v>0</v>
      </c>
      <c r="O4" s="13">
        <f t="shared" si="7"/>
        <v>0</v>
      </c>
    </row>
    <row r="5" spans="2:15">
      <c r="B5" s="12">
        <v>1</v>
      </c>
      <c r="C5" s="4" t="s">
        <v>151</v>
      </c>
      <c r="D5" s="4" t="s">
        <v>150</v>
      </c>
      <c r="E5" s="4">
        <v>1</v>
      </c>
      <c r="F5" s="4">
        <v>11</v>
      </c>
      <c r="G5" s="4">
        <v>4</v>
      </c>
      <c r="H5" s="115"/>
      <c r="I5" s="115"/>
      <c r="J5" s="115"/>
      <c r="K5" s="123">
        <v>0</v>
      </c>
      <c r="L5" s="12">
        <f t="shared" si="4"/>
        <v>0</v>
      </c>
      <c r="M5" s="4">
        <f t="shared" si="5"/>
        <v>0</v>
      </c>
      <c r="N5" s="4">
        <f t="shared" si="6"/>
        <v>0</v>
      </c>
      <c r="O5" s="13">
        <f t="shared" si="7"/>
        <v>0</v>
      </c>
    </row>
    <row r="6" spans="2:15">
      <c r="B6" s="12">
        <v>1</v>
      </c>
      <c r="C6" s="4" t="s">
        <v>151</v>
      </c>
      <c r="D6" s="4" t="s">
        <v>150</v>
      </c>
      <c r="E6" s="4">
        <v>1</v>
      </c>
      <c r="F6" s="4">
        <v>11</v>
      </c>
      <c r="G6" s="4">
        <v>5</v>
      </c>
      <c r="H6" s="115"/>
      <c r="I6" s="115"/>
      <c r="J6" s="115"/>
      <c r="K6" s="123">
        <v>0</v>
      </c>
      <c r="L6" s="12">
        <f t="shared" si="4"/>
        <v>0</v>
      </c>
      <c r="M6" s="4">
        <f t="shared" si="5"/>
        <v>0</v>
      </c>
      <c r="N6" s="4">
        <f t="shared" si="6"/>
        <v>0</v>
      </c>
      <c r="O6" s="13">
        <f t="shared" si="7"/>
        <v>0</v>
      </c>
    </row>
    <row r="7" spans="2:15">
      <c r="B7" s="12">
        <v>1</v>
      </c>
      <c r="C7" s="4" t="s">
        <v>151</v>
      </c>
      <c r="D7" s="4" t="s">
        <v>150</v>
      </c>
      <c r="E7" s="4">
        <v>1</v>
      </c>
      <c r="F7" s="4">
        <v>11</v>
      </c>
      <c r="G7" s="4">
        <v>6</v>
      </c>
      <c r="H7" s="115"/>
      <c r="I7" s="115"/>
      <c r="J7" s="115"/>
      <c r="K7" s="123">
        <v>0</v>
      </c>
      <c r="L7" s="12">
        <f t="shared" si="4"/>
        <v>0</v>
      </c>
      <c r="M7" s="4">
        <f t="shared" si="5"/>
        <v>0</v>
      </c>
      <c r="N7" s="4">
        <f t="shared" si="6"/>
        <v>0</v>
      </c>
      <c r="O7" s="13">
        <f t="shared" si="7"/>
        <v>0</v>
      </c>
    </row>
    <row r="8" spans="2:15">
      <c r="B8" s="12">
        <v>1</v>
      </c>
      <c r="C8" s="4" t="s">
        <v>151</v>
      </c>
      <c r="D8" s="4" t="s">
        <v>150</v>
      </c>
      <c r="E8" s="4">
        <v>1</v>
      </c>
      <c r="F8" s="4">
        <v>11</v>
      </c>
      <c r="G8" s="4">
        <v>7</v>
      </c>
      <c r="H8" s="115"/>
      <c r="I8" s="115"/>
      <c r="J8" s="115"/>
      <c r="K8" s="123">
        <v>0</v>
      </c>
      <c r="L8" s="12">
        <f t="shared" si="4"/>
        <v>0</v>
      </c>
      <c r="M8" s="4">
        <f t="shared" si="5"/>
        <v>0</v>
      </c>
      <c r="N8" s="4">
        <f t="shared" si="6"/>
        <v>0</v>
      </c>
      <c r="O8" s="13">
        <f t="shared" si="7"/>
        <v>0</v>
      </c>
    </row>
    <row r="9" spans="2:15">
      <c r="B9" s="12">
        <v>1</v>
      </c>
      <c r="C9" s="4" t="s">
        <v>151</v>
      </c>
      <c r="D9" s="4" t="s">
        <v>150</v>
      </c>
      <c r="E9" s="4">
        <v>1</v>
      </c>
      <c r="F9" s="4">
        <v>11</v>
      </c>
      <c r="G9" s="4">
        <v>8</v>
      </c>
      <c r="H9" s="115"/>
      <c r="I9" s="115"/>
      <c r="J9" s="115"/>
      <c r="K9" s="123">
        <v>0</v>
      </c>
      <c r="L9" s="12">
        <f t="shared" si="4"/>
        <v>0</v>
      </c>
      <c r="M9" s="4">
        <f t="shared" si="5"/>
        <v>0</v>
      </c>
      <c r="N9" s="4">
        <f t="shared" si="6"/>
        <v>0</v>
      </c>
      <c r="O9" s="13">
        <f t="shared" si="7"/>
        <v>0</v>
      </c>
    </row>
    <row r="10" spans="2:15">
      <c r="B10" s="12">
        <v>1</v>
      </c>
      <c r="C10" s="4" t="s">
        <v>151</v>
      </c>
      <c r="D10" s="4" t="s">
        <v>150</v>
      </c>
      <c r="E10" s="4">
        <v>1</v>
      </c>
      <c r="F10" s="4">
        <v>11</v>
      </c>
      <c r="G10" s="4">
        <v>9</v>
      </c>
      <c r="H10" s="115"/>
      <c r="I10" s="115"/>
      <c r="J10" s="115"/>
      <c r="K10" s="123">
        <v>0</v>
      </c>
      <c r="L10" s="12">
        <f t="shared" si="4"/>
        <v>0</v>
      </c>
      <c r="M10" s="4">
        <f t="shared" si="5"/>
        <v>0</v>
      </c>
      <c r="N10" s="4">
        <f t="shared" si="6"/>
        <v>0</v>
      </c>
      <c r="O10" s="13">
        <f t="shared" si="7"/>
        <v>0</v>
      </c>
    </row>
    <row r="11" spans="2:15" ht="13.8" thickBot="1">
      <c r="B11" s="14">
        <v>1</v>
      </c>
      <c r="C11" s="15" t="s">
        <v>151</v>
      </c>
      <c r="D11" s="15" t="s">
        <v>150</v>
      </c>
      <c r="E11" s="15">
        <v>1</v>
      </c>
      <c r="F11" s="15">
        <v>11</v>
      </c>
      <c r="G11" s="15">
        <v>10</v>
      </c>
      <c r="H11" s="121"/>
      <c r="I11" s="121"/>
      <c r="J11" s="121"/>
      <c r="K11" s="124">
        <v>0</v>
      </c>
      <c r="L11" s="14">
        <f t="shared" si="4"/>
        <v>0</v>
      </c>
      <c r="M11" s="15">
        <f t="shared" si="5"/>
        <v>0</v>
      </c>
      <c r="N11" s="15">
        <f t="shared" si="6"/>
        <v>0</v>
      </c>
      <c r="O11" s="16">
        <f t="shared" si="7"/>
        <v>0</v>
      </c>
    </row>
    <row r="12" spans="2:15">
      <c r="B12" s="9">
        <v>1</v>
      </c>
      <c r="C12" s="10" t="s">
        <v>151</v>
      </c>
      <c r="D12" s="10" t="s">
        <v>149</v>
      </c>
      <c r="E12" s="93">
        <v>2</v>
      </c>
      <c r="F12" s="93">
        <v>5</v>
      </c>
      <c r="G12" s="10">
        <v>1</v>
      </c>
      <c r="H12" s="120">
        <v>1.5000000000001137</v>
      </c>
      <c r="I12" s="120">
        <v>1.1639999999999873</v>
      </c>
      <c r="J12" s="120">
        <v>0.78499999999996817</v>
      </c>
      <c r="K12" s="120">
        <v>3.4490000000000691</v>
      </c>
      <c r="L12" s="9">
        <f t="shared" si="4"/>
        <v>0.39794000867205737</v>
      </c>
      <c r="M12" s="10">
        <f t="shared" si="5"/>
        <v>0.33525725643452925</v>
      </c>
      <c r="N12" s="10">
        <f t="shared" si="6"/>
        <v>0.25163822044820428</v>
      </c>
      <c r="O12" s="11">
        <f t="shared" si="7"/>
        <v>0.64826240574805116</v>
      </c>
    </row>
    <row r="13" spans="2:15">
      <c r="B13" s="12">
        <v>1</v>
      </c>
      <c r="C13" s="4" t="s">
        <v>151</v>
      </c>
      <c r="D13" s="4" t="s">
        <v>149</v>
      </c>
      <c r="E13" s="4">
        <v>2</v>
      </c>
      <c r="F13" s="4">
        <v>5</v>
      </c>
      <c r="G13" s="4">
        <v>2</v>
      </c>
      <c r="H13" s="115"/>
      <c r="I13" s="115">
        <v>0.14999999999997726</v>
      </c>
      <c r="J13" s="115">
        <v>0.98500000000001364</v>
      </c>
      <c r="K13" s="115">
        <v>1.1349999999999909</v>
      </c>
      <c r="L13" s="12">
        <f t="shared" ref="L13:L42" si="8">LOG10(H13+1)</f>
        <v>0</v>
      </c>
      <c r="M13" s="4">
        <f t="shared" ref="M13:M42" si="9">LOG10(I13+1)</f>
        <v>6.0697840353603094E-2</v>
      </c>
      <c r="N13" s="4">
        <f t="shared" ref="N13:N42" si="10">LOG10(J13+1)</f>
        <v>0.29776051109913687</v>
      </c>
      <c r="O13" s="13">
        <f t="shared" ref="O13:O42" si="11">LOG10(K13+1)</f>
        <v>0.32939787936104081</v>
      </c>
    </row>
    <row r="14" spans="2:15">
      <c r="B14" s="12">
        <v>1</v>
      </c>
      <c r="C14" s="4" t="s">
        <v>151</v>
      </c>
      <c r="D14" s="4" t="s">
        <v>149</v>
      </c>
      <c r="E14" s="4">
        <v>2</v>
      </c>
      <c r="F14" s="4">
        <v>5</v>
      </c>
      <c r="G14" s="4">
        <v>3</v>
      </c>
      <c r="H14" s="115">
        <v>0.10000000000002274</v>
      </c>
      <c r="I14" s="115">
        <v>0.15000000000003411</v>
      </c>
      <c r="J14" s="115">
        <v>0.41699999999991633</v>
      </c>
      <c r="K14" s="115">
        <v>0.66699999999997317</v>
      </c>
      <c r="L14" s="12">
        <f t="shared" si="8"/>
        <v>4.1392685158234015E-2</v>
      </c>
      <c r="M14" s="4">
        <f t="shared" si="9"/>
        <v>6.0697840353624563E-2</v>
      </c>
      <c r="N14" s="4">
        <f t="shared" si="10"/>
        <v>0.15136985024743477</v>
      </c>
      <c r="O14" s="13">
        <f t="shared" si="11"/>
        <v>0.22193559982799835</v>
      </c>
    </row>
    <row r="15" spans="2:15">
      <c r="B15" s="12">
        <v>1</v>
      </c>
      <c r="C15" s="4" t="s">
        <v>151</v>
      </c>
      <c r="D15" s="4" t="s">
        <v>149</v>
      </c>
      <c r="E15" s="4">
        <v>2</v>
      </c>
      <c r="F15" s="4">
        <v>5</v>
      </c>
      <c r="G15" s="4">
        <v>4</v>
      </c>
      <c r="H15" s="115">
        <v>0.36500000000000909</v>
      </c>
      <c r="I15" s="115">
        <v>0.26699999999999591</v>
      </c>
      <c r="J15" s="115"/>
      <c r="K15" s="115">
        <v>0.632000000000005</v>
      </c>
      <c r="L15" s="12">
        <f t="shared" si="8"/>
        <v>0.13513265137677774</v>
      </c>
      <c r="M15" s="4">
        <f t="shared" si="9"/>
        <v>0.10277661488343993</v>
      </c>
      <c r="N15" s="4">
        <f t="shared" si="10"/>
        <v>0</v>
      </c>
      <c r="O15" s="13">
        <f t="shared" si="11"/>
        <v>0.21272015441784367</v>
      </c>
    </row>
    <row r="16" spans="2:15">
      <c r="B16" s="12">
        <v>1</v>
      </c>
      <c r="C16" s="4" t="s">
        <v>151</v>
      </c>
      <c r="D16" s="4" t="s">
        <v>149</v>
      </c>
      <c r="E16" s="4">
        <v>2</v>
      </c>
      <c r="F16" s="4">
        <v>5</v>
      </c>
      <c r="G16" s="4">
        <v>5</v>
      </c>
      <c r="H16" s="115"/>
      <c r="I16" s="115"/>
      <c r="J16" s="115"/>
      <c r="K16" s="115"/>
      <c r="L16" s="12">
        <f t="shared" si="8"/>
        <v>0</v>
      </c>
      <c r="M16" s="4">
        <f t="shared" si="9"/>
        <v>0</v>
      </c>
      <c r="N16" s="4">
        <f t="shared" si="10"/>
        <v>0</v>
      </c>
      <c r="O16" s="13">
        <f t="shared" si="11"/>
        <v>0</v>
      </c>
    </row>
    <row r="17" spans="2:15">
      <c r="B17" s="12">
        <v>1</v>
      </c>
      <c r="C17" s="4" t="s">
        <v>151</v>
      </c>
      <c r="D17" s="4" t="s">
        <v>149</v>
      </c>
      <c r="E17" s="4">
        <v>2</v>
      </c>
      <c r="F17" s="4">
        <v>5</v>
      </c>
      <c r="G17" s="4">
        <v>6</v>
      </c>
      <c r="H17" s="115"/>
      <c r="I17" s="115"/>
      <c r="J17" s="115"/>
      <c r="K17" s="115"/>
      <c r="L17" s="12">
        <f t="shared" si="8"/>
        <v>0</v>
      </c>
      <c r="M17" s="4">
        <f t="shared" si="9"/>
        <v>0</v>
      </c>
      <c r="N17" s="4">
        <f t="shared" si="10"/>
        <v>0</v>
      </c>
      <c r="O17" s="13">
        <f t="shared" si="11"/>
        <v>0</v>
      </c>
    </row>
    <row r="18" spans="2:15">
      <c r="B18" s="12">
        <v>1</v>
      </c>
      <c r="C18" s="4" t="s">
        <v>151</v>
      </c>
      <c r="D18" s="4" t="s">
        <v>149</v>
      </c>
      <c r="E18" s="4">
        <v>2</v>
      </c>
      <c r="F18" s="4">
        <v>5</v>
      </c>
      <c r="G18" s="4">
        <v>7</v>
      </c>
      <c r="H18" s="115"/>
      <c r="I18" s="115"/>
      <c r="J18" s="115"/>
      <c r="K18" s="115"/>
      <c r="L18" s="12">
        <f t="shared" si="8"/>
        <v>0</v>
      </c>
      <c r="M18" s="4">
        <f t="shared" si="9"/>
        <v>0</v>
      </c>
      <c r="N18" s="4">
        <f t="shared" si="10"/>
        <v>0</v>
      </c>
      <c r="O18" s="13">
        <f t="shared" si="11"/>
        <v>0</v>
      </c>
    </row>
    <row r="19" spans="2:15">
      <c r="B19" s="12">
        <v>1</v>
      </c>
      <c r="C19" s="4" t="s">
        <v>151</v>
      </c>
      <c r="D19" s="4" t="s">
        <v>149</v>
      </c>
      <c r="E19" s="4">
        <v>2</v>
      </c>
      <c r="F19" s="4">
        <v>5</v>
      </c>
      <c r="G19" s="4">
        <v>8</v>
      </c>
      <c r="H19" s="115"/>
      <c r="I19" s="115"/>
      <c r="J19" s="115"/>
      <c r="K19" s="115"/>
      <c r="L19" s="12">
        <f t="shared" si="8"/>
        <v>0</v>
      </c>
      <c r="M19" s="4">
        <f t="shared" si="9"/>
        <v>0</v>
      </c>
      <c r="N19" s="4">
        <f t="shared" si="10"/>
        <v>0</v>
      </c>
      <c r="O19" s="13">
        <f t="shared" si="11"/>
        <v>0</v>
      </c>
    </row>
    <row r="20" spans="2:15">
      <c r="B20" s="12">
        <v>1</v>
      </c>
      <c r="C20" s="4" t="s">
        <v>151</v>
      </c>
      <c r="D20" s="4" t="s">
        <v>149</v>
      </c>
      <c r="E20" s="4">
        <v>2</v>
      </c>
      <c r="F20" s="4">
        <v>5</v>
      </c>
      <c r="G20" s="4">
        <v>9</v>
      </c>
      <c r="H20" s="115"/>
      <c r="I20" s="115"/>
      <c r="J20" s="115"/>
      <c r="K20" s="115"/>
      <c r="L20" s="12">
        <f t="shared" si="8"/>
        <v>0</v>
      </c>
      <c r="M20" s="4">
        <f t="shared" si="9"/>
        <v>0</v>
      </c>
      <c r="N20" s="4">
        <f t="shared" si="10"/>
        <v>0</v>
      </c>
      <c r="O20" s="13">
        <f t="shared" si="11"/>
        <v>0</v>
      </c>
    </row>
    <row r="21" spans="2:15" ht="13.8" thickBot="1">
      <c r="B21" s="14">
        <v>1</v>
      </c>
      <c r="C21" s="15" t="s">
        <v>151</v>
      </c>
      <c r="D21" s="15" t="s">
        <v>149</v>
      </c>
      <c r="E21" s="15">
        <v>2</v>
      </c>
      <c r="F21" s="15">
        <v>5</v>
      </c>
      <c r="G21" s="15">
        <v>10</v>
      </c>
      <c r="H21" s="121"/>
      <c r="I21" s="121"/>
      <c r="J21" s="121"/>
      <c r="K21" s="121"/>
      <c r="L21" s="14">
        <f t="shared" si="8"/>
        <v>0</v>
      </c>
      <c r="M21" s="15">
        <f t="shared" si="9"/>
        <v>0</v>
      </c>
      <c r="N21" s="15">
        <f t="shared" si="10"/>
        <v>0</v>
      </c>
      <c r="O21" s="16">
        <f t="shared" si="11"/>
        <v>0</v>
      </c>
    </row>
    <row r="22" spans="2:15">
      <c r="B22" s="9">
        <v>1</v>
      </c>
      <c r="C22" s="10" t="s">
        <v>151</v>
      </c>
      <c r="D22" s="10" t="s">
        <v>154</v>
      </c>
      <c r="E22" s="93">
        <v>3</v>
      </c>
      <c r="F22" s="93">
        <v>1</v>
      </c>
      <c r="G22" s="10">
        <v>1</v>
      </c>
      <c r="H22" s="120">
        <v>0.16599999999999682</v>
      </c>
      <c r="I22" s="120">
        <v>0.20000000000000284</v>
      </c>
      <c r="J22" s="120">
        <v>0.25</v>
      </c>
      <c r="K22" s="120">
        <v>0.61599999999999966</v>
      </c>
      <c r="L22" s="9">
        <f t="shared" si="8"/>
        <v>6.6698550422994093E-2</v>
      </c>
      <c r="M22" s="10">
        <f t="shared" si="9"/>
        <v>7.9181246047625858E-2</v>
      </c>
      <c r="N22" s="10">
        <f t="shared" si="10"/>
        <v>9.691001300805642E-2</v>
      </c>
      <c r="O22" s="11">
        <f t="shared" si="11"/>
        <v>0.20844135643856726</v>
      </c>
    </row>
    <row r="23" spans="2:15">
      <c r="B23" s="12">
        <v>1</v>
      </c>
      <c r="C23" s="4" t="s">
        <v>151</v>
      </c>
      <c r="D23" s="4" t="s">
        <v>154</v>
      </c>
      <c r="E23" s="4">
        <v>3</v>
      </c>
      <c r="F23" s="4">
        <v>1</v>
      </c>
      <c r="G23" s="4">
        <v>2</v>
      </c>
      <c r="H23" s="115">
        <v>0.28299999999998704</v>
      </c>
      <c r="I23" s="115"/>
      <c r="J23" s="115"/>
      <c r="K23" s="115">
        <v>0.28299999999998704</v>
      </c>
      <c r="L23" s="12">
        <f t="shared" si="8"/>
        <v>0.10822665637492411</v>
      </c>
      <c r="M23" s="4">
        <f t="shared" si="9"/>
        <v>0</v>
      </c>
      <c r="N23" s="4">
        <f t="shared" si="10"/>
        <v>0</v>
      </c>
      <c r="O23" s="13">
        <f t="shared" si="11"/>
        <v>0.10822665637492411</v>
      </c>
    </row>
    <row r="24" spans="2:15">
      <c r="B24" s="12">
        <v>1</v>
      </c>
      <c r="C24" s="4" t="s">
        <v>151</v>
      </c>
      <c r="D24" s="4" t="s">
        <v>154</v>
      </c>
      <c r="E24" s="4">
        <v>3</v>
      </c>
      <c r="F24" s="4">
        <v>1</v>
      </c>
      <c r="G24" s="4">
        <v>3</v>
      </c>
      <c r="H24" s="115"/>
      <c r="I24" s="115"/>
      <c r="J24" s="115">
        <v>0.46699999999997033</v>
      </c>
      <c r="K24" s="115">
        <v>0.46699999999997033</v>
      </c>
      <c r="L24" s="12">
        <f t="shared" si="8"/>
        <v>0</v>
      </c>
      <c r="M24" s="4">
        <f t="shared" si="9"/>
        <v>0</v>
      </c>
      <c r="N24" s="4">
        <f t="shared" si="10"/>
        <v>0.16643011384327389</v>
      </c>
      <c r="O24" s="13">
        <f t="shared" si="11"/>
        <v>0.16643011384327389</v>
      </c>
    </row>
    <row r="25" spans="2:15">
      <c r="B25" s="12">
        <v>1</v>
      </c>
      <c r="C25" s="4" t="s">
        <v>151</v>
      </c>
      <c r="D25" s="4" t="s">
        <v>154</v>
      </c>
      <c r="E25" s="4">
        <v>3</v>
      </c>
      <c r="F25" s="4">
        <v>1</v>
      </c>
      <c r="G25" s="4">
        <v>4</v>
      </c>
      <c r="H25" s="115">
        <v>0.31700000000000728</v>
      </c>
      <c r="I25" s="115">
        <v>0.73400000000002308</v>
      </c>
      <c r="J25" s="115">
        <v>0.56600000000001671</v>
      </c>
      <c r="K25" s="115">
        <v>1.6170000000000471</v>
      </c>
      <c r="L25" s="12">
        <f t="shared" si="8"/>
        <v>0.11958577496178621</v>
      </c>
      <c r="M25" s="4">
        <f t="shared" si="9"/>
        <v>0.23904909314019726</v>
      </c>
      <c r="N25" s="4">
        <f t="shared" si="10"/>
        <v>0.19479175772192922</v>
      </c>
      <c r="O25" s="13">
        <f t="shared" si="11"/>
        <v>0.4178037226398888</v>
      </c>
    </row>
    <row r="26" spans="2:15">
      <c r="B26" s="12">
        <v>1</v>
      </c>
      <c r="C26" s="4" t="s">
        <v>151</v>
      </c>
      <c r="D26" s="4" t="s">
        <v>154</v>
      </c>
      <c r="E26" s="4">
        <v>3</v>
      </c>
      <c r="F26" s="4">
        <v>1</v>
      </c>
      <c r="G26" s="4">
        <v>5</v>
      </c>
      <c r="H26" s="115">
        <v>0.51699999999999591</v>
      </c>
      <c r="I26" s="115">
        <v>0.35099999999999909</v>
      </c>
      <c r="J26" s="115"/>
      <c r="K26" s="115">
        <v>0.867999999999995</v>
      </c>
      <c r="L26" s="12">
        <f t="shared" si="8"/>
        <v>0.18098558078672933</v>
      </c>
      <c r="M26" s="4">
        <f t="shared" si="9"/>
        <v>0.1306553490220303</v>
      </c>
      <c r="N26" s="4">
        <f t="shared" si="10"/>
        <v>0</v>
      </c>
      <c r="O26" s="13">
        <f t="shared" si="11"/>
        <v>0.27137687189407339</v>
      </c>
    </row>
    <row r="27" spans="2:15">
      <c r="B27" s="12">
        <v>1</v>
      </c>
      <c r="C27" s="4" t="s">
        <v>151</v>
      </c>
      <c r="D27" s="4" t="s">
        <v>154</v>
      </c>
      <c r="E27" s="4">
        <v>3</v>
      </c>
      <c r="F27" s="4">
        <v>1</v>
      </c>
      <c r="G27" s="4">
        <v>6</v>
      </c>
      <c r="H27" s="115"/>
      <c r="I27" s="115"/>
      <c r="J27" s="115"/>
      <c r="K27" s="115">
        <v>0</v>
      </c>
      <c r="L27" s="12">
        <f t="shared" si="8"/>
        <v>0</v>
      </c>
      <c r="M27" s="4">
        <f t="shared" si="9"/>
        <v>0</v>
      </c>
      <c r="N27" s="4">
        <f t="shared" si="10"/>
        <v>0</v>
      </c>
      <c r="O27" s="13">
        <f t="shared" si="11"/>
        <v>0</v>
      </c>
    </row>
    <row r="28" spans="2:15">
      <c r="B28" s="12">
        <v>1</v>
      </c>
      <c r="C28" s="4" t="s">
        <v>151</v>
      </c>
      <c r="D28" s="4" t="s">
        <v>154</v>
      </c>
      <c r="E28" s="4">
        <v>3</v>
      </c>
      <c r="F28" s="4">
        <v>1</v>
      </c>
      <c r="G28" s="4">
        <v>7</v>
      </c>
      <c r="H28" s="115"/>
      <c r="I28" s="115"/>
      <c r="J28" s="115"/>
      <c r="K28" s="115">
        <v>0</v>
      </c>
      <c r="L28" s="12">
        <f t="shared" si="8"/>
        <v>0</v>
      </c>
      <c r="M28" s="4">
        <f t="shared" si="9"/>
        <v>0</v>
      </c>
      <c r="N28" s="4">
        <f t="shared" si="10"/>
        <v>0</v>
      </c>
      <c r="O28" s="13">
        <f t="shared" si="11"/>
        <v>0</v>
      </c>
    </row>
    <row r="29" spans="2:15">
      <c r="B29" s="12">
        <v>1</v>
      </c>
      <c r="C29" s="4" t="s">
        <v>151</v>
      </c>
      <c r="D29" s="4" t="s">
        <v>154</v>
      </c>
      <c r="E29" s="4">
        <v>3</v>
      </c>
      <c r="F29" s="4">
        <v>1</v>
      </c>
      <c r="G29" s="4">
        <v>8</v>
      </c>
      <c r="H29" s="115"/>
      <c r="I29" s="115"/>
      <c r="J29" s="115"/>
      <c r="K29" s="115">
        <v>0</v>
      </c>
      <c r="L29" s="12">
        <f t="shared" si="8"/>
        <v>0</v>
      </c>
      <c r="M29" s="4">
        <f t="shared" si="9"/>
        <v>0</v>
      </c>
      <c r="N29" s="4">
        <f t="shared" si="10"/>
        <v>0</v>
      </c>
      <c r="O29" s="13">
        <f t="shared" si="11"/>
        <v>0</v>
      </c>
    </row>
    <row r="30" spans="2:15">
      <c r="B30" s="12">
        <v>1</v>
      </c>
      <c r="C30" s="4" t="s">
        <v>151</v>
      </c>
      <c r="D30" s="4" t="s">
        <v>154</v>
      </c>
      <c r="E30" s="4">
        <v>3</v>
      </c>
      <c r="F30" s="4">
        <v>1</v>
      </c>
      <c r="G30" s="4">
        <v>9</v>
      </c>
      <c r="H30" s="115"/>
      <c r="I30" s="115"/>
      <c r="J30" s="115"/>
      <c r="K30" s="115">
        <v>0</v>
      </c>
      <c r="L30" s="12">
        <f t="shared" si="8"/>
        <v>0</v>
      </c>
      <c r="M30" s="4">
        <f t="shared" si="9"/>
        <v>0</v>
      </c>
      <c r="N30" s="4">
        <f t="shared" si="10"/>
        <v>0</v>
      </c>
      <c r="O30" s="13">
        <f t="shared" si="11"/>
        <v>0</v>
      </c>
    </row>
    <row r="31" spans="2:15" ht="13.8" thickBot="1">
      <c r="B31" s="14">
        <v>1</v>
      </c>
      <c r="C31" s="15" t="s">
        <v>151</v>
      </c>
      <c r="D31" s="15" t="s">
        <v>154</v>
      </c>
      <c r="E31" s="15">
        <v>3</v>
      </c>
      <c r="F31" s="15">
        <v>1</v>
      </c>
      <c r="G31" s="15">
        <v>10</v>
      </c>
      <c r="H31" s="121"/>
      <c r="I31" s="121"/>
      <c r="J31" s="121"/>
      <c r="K31" s="121">
        <v>0</v>
      </c>
      <c r="L31" s="14">
        <f t="shared" si="8"/>
        <v>0</v>
      </c>
      <c r="M31" s="15">
        <f t="shared" si="9"/>
        <v>0</v>
      </c>
      <c r="N31" s="15">
        <f t="shared" si="10"/>
        <v>0</v>
      </c>
      <c r="O31" s="16">
        <f t="shared" si="11"/>
        <v>0</v>
      </c>
    </row>
    <row r="32" spans="2:15">
      <c r="B32" s="9">
        <v>1</v>
      </c>
      <c r="C32" s="10" t="s">
        <v>151</v>
      </c>
      <c r="D32" s="10" t="s">
        <v>149</v>
      </c>
      <c r="E32" s="93">
        <v>4</v>
      </c>
      <c r="F32" s="93">
        <v>7</v>
      </c>
      <c r="G32" s="10">
        <v>1</v>
      </c>
      <c r="H32" s="120">
        <v>0.99900000000002365</v>
      </c>
      <c r="I32" s="120">
        <v>0.28400000000004866</v>
      </c>
      <c r="J32" s="120">
        <v>0.51700000000010959</v>
      </c>
      <c r="K32" s="120">
        <v>1.8000000000001819</v>
      </c>
      <c r="L32" s="9">
        <f t="shared" si="8"/>
        <v>0.30081279411812206</v>
      </c>
      <c r="M32" s="10">
        <f t="shared" si="9"/>
        <v>0.10856502373285093</v>
      </c>
      <c r="N32" s="10">
        <f t="shared" si="10"/>
        <v>0.18098558078676186</v>
      </c>
      <c r="O32" s="11">
        <f t="shared" si="11"/>
        <v>0.44715803134224741</v>
      </c>
    </row>
    <row r="33" spans="2:15">
      <c r="B33" s="12">
        <v>1</v>
      </c>
      <c r="C33" s="4" t="s">
        <v>151</v>
      </c>
      <c r="D33" s="4" t="s">
        <v>149</v>
      </c>
      <c r="E33" s="4">
        <v>4</v>
      </c>
      <c r="F33" s="4">
        <v>7</v>
      </c>
      <c r="G33" s="4">
        <v>2</v>
      </c>
      <c r="H33" s="115">
        <v>0.21600000000000819</v>
      </c>
      <c r="I33" s="115">
        <v>0.41700000000003001</v>
      </c>
      <c r="J33" s="115">
        <v>0.98399999999998045</v>
      </c>
      <c r="K33" s="115">
        <v>1.6170000000000186</v>
      </c>
      <c r="L33" s="12">
        <f t="shared" si="8"/>
        <v>8.4933574936719061E-2</v>
      </c>
      <c r="M33" s="4">
        <f t="shared" si="9"/>
        <v>0.1513698502474696</v>
      </c>
      <c r="N33" s="4">
        <f t="shared" si="10"/>
        <v>0.29754166781815555</v>
      </c>
      <c r="O33" s="13">
        <f t="shared" si="11"/>
        <v>0.41780372263988408</v>
      </c>
    </row>
    <row r="34" spans="2:15">
      <c r="B34" s="12">
        <v>1</v>
      </c>
      <c r="C34" s="4" t="s">
        <v>151</v>
      </c>
      <c r="D34" s="4" t="s">
        <v>149</v>
      </c>
      <c r="E34" s="4">
        <v>4</v>
      </c>
      <c r="F34" s="4">
        <v>7</v>
      </c>
      <c r="G34" s="4">
        <v>3</v>
      </c>
      <c r="H34" s="115">
        <v>0.61599999999998545</v>
      </c>
      <c r="I34" s="115">
        <v>0.99900000000008049</v>
      </c>
      <c r="J34" s="115">
        <v>0.10000000000002274</v>
      </c>
      <c r="K34" s="115">
        <v>1.7150000000000887</v>
      </c>
      <c r="L34" s="12">
        <f t="shared" si="8"/>
        <v>0.20844135643856346</v>
      </c>
      <c r="M34" s="4">
        <f t="shared" si="9"/>
        <v>0.30081279411813444</v>
      </c>
      <c r="N34" s="4">
        <f t="shared" si="10"/>
        <v>4.1392685158234015E-2</v>
      </c>
      <c r="O34" s="13">
        <f t="shared" si="11"/>
        <v>0.43376983392487994</v>
      </c>
    </row>
    <row r="35" spans="2:15">
      <c r="B35" s="12">
        <v>1</v>
      </c>
      <c r="C35" s="4" t="s">
        <v>151</v>
      </c>
      <c r="D35" s="4" t="s">
        <v>149</v>
      </c>
      <c r="E35" s="4">
        <v>4</v>
      </c>
      <c r="F35" s="4">
        <v>7</v>
      </c>
      <c r="G35" s="4">
        <v>4</v>
      </c>
      <c r="H35" s="115"/>
      <c r="I35" s="115"/>
      <c r="J35" s="115"/>
      <c r="K35" s="115">
        <v>0</v>
      </c>
      <c r="L35" s="12">
        <f t="shared" si="8"/>
        <v>0</v>
      </c>
      <c r="M35" s="4">
        <f t="shared" si="9"/>
        <v>0</v>
      </c>
      <c r="N35" s="4">
        <f t="shared" si="10"/>
        <v>0</v>
      </c>
      <c r="O35" s="13">
        <f t="shared" si="11"/>
        <v>0</v>
      </c>
    </row>
    <row r="36" spans="2:15">
      <c r="B36" s="12">
        <v>1</v>
      </c>
      <c r="C36" s="4" t="s">
        <v>151</v>
      </c>
      <c r="D36" s="4" t="s">
        <v>149</v>
      </c>
      <c r="E36" s="4">
        <v>4</v>
      </c>
      <c r="F36" s="4">
        <v>7</v>
      </c>
      <c r="G36" s="4">
        <v>5</v>
      </c>
      <c r="H36" s="115"/>
      <c r="I36" s="115"/>
      <c r="J36" s="115"/>
      <c r="K36" s="115">
        <v>0</v>
      </c>
      <c r="L36" s="12">
        <f t="shared" si="8"/>
        <v>0</v>
      </c>
      <c r="M36" s="4">
        <f t="shared" si="9"/>
        <v>0</v>
      </c>
      <c r="N36" s="4">
        <f t="shared" si="10"/>
        <v>0</v>
      </c>
      <c r="O36" s="13">
        <f t="shared" si="11"/>
        <v>0</v>
      </c>
    </row>
    <row r="37" spans="2:15">
      <c r="B37" s="12">
        <v>1</v>
      </c>
      <c r="C37" s="4" t="s">
        <v>151</v>
      </c>
      <c r="D37" s="4" t="s">
        <v>149</v>
      </c>
      <c r="E37" s="4">
        <v>4</v>
      </c>
      <c r="F37" s="4">
        <v>7</v>
      </c>
      <c r="G37" s="4">
        <v>6</v>
      </c>
      <c r="H37" s="115"/>
      <c r="I37" s="115"/>
      <c r="J37" s="115"/>
      <c r="K37" s="115">
        <v>0</v>
      </c>
      <c r="L37" s="12">
        <f t="shared" si="8"/>
        <v>0</v>
      </c>
      <c r="M37" s="4">
        <f t="shared" si="9"/>
        <v>0</v>
      </c>
      <c r="N37" s="4">
        <f t="shared" si="10"/>
        <v>0</v>
      </c>
      <c r="O37" s="13">
        <f t="shared" si="11"/>
        <v>0</v>
      </c>
    </row>
    <row r="38" spans="2:15">
      <c r="B38" s="12">
        <v>1</v>
      </c>
      <c r="C38" s="4" t="s">
        <v>151</v>
      </c>
      <c r="D38" s="4" t="s">
        <v>149</v>
      </c>
      <c r="E38" s="4">
        <v>4</v>
      </c>
      <c r="F38" s="4">
        <v>7</v>
      </c>
      <c r="G38" s="4">
        <v>7</v>
      </c>
      <c r="H38" s="115"/>
      <c r="I38" s="115"/>
      <c r="J38" s="115"/>
      <c r="K38" s="115">
        <v>0</v>
      </c>
      <c r="L38" s="12">
        <f t="shared" si="8"/>
        <v>0</v>
      </c>
      <c r="M38" s="4">
        <f t="shared" si="9"/>
        <v>0</v>
      </c>
      <c r="N38" s="4">
        <f t="shared" si="10"/>
        <v>0</v>
      </c>
      <c r="O38" s="13">
        <f t="shared" si="11"/>
        <v>0</v>
      </c>
    </row>
    <row r="39" spans="2:15">
      <c r="B39" s="12">
        <v>1</v>
      </c>
      <c r="C39" s="4" t="s">
        <v>151</v>
      </c>
      <c r="D39" s="4" t="s">
        <v>149</v>
      </c>
      <c r="E39" s="4">
        <v>4</v>
      </c>
      <c r="F39" s="4">
        <v>7</v>
      </c>
      <c r="G39" s="4">
        <v>8</v>
      </c>
      <c r="H39" s="115"/>
      <c r="I39" s="115"/>
      <c r="J39" s="115"/>
      <c r="K39" s="115">
        <v>0</v>
      </c>
      <c r="L39" s="12">
        <f t="shared" si="8"/>
        <v>0</v>
      </c>
      <c r="M39" s="4">
        <f t="shared" si="9"/>
        <v>0</v>
      </c>
      <c r="N39" s="4">
        <f t="shared" si="10"/>
        <v>0</v>
      </c>
      <c r="O39" s="13">
        <f t="shared" si="11"/>
        <v>0</v>
      </c>
    </row>
    <row r="40" spans="2:15">
      <c r="B40" s="12">
        <v>1</v>
      </c>
      <c r="C40" s="4" t="s">
        <v>151</v>
      </c>
      <c r="D40" s="4" t="s">
        <v>149</v>
      </c>
      <c r="E40" s="4">
        <v>4</v>
      </c>
      <c r="F40" s="4">
        <v>7</v>
      </c>
      <c r="G40" s="4">
        <v>9</v>
      </c>
      <c r="H40" s="115"/>
      <c r="I40" s="115"/>
      <c r="J40" s="115"/>
      <c r="K40" s="115">
        <v>0</v>
      </c>
      <c r="L40" s="12">
        <f t="shared" si="8"/>
        <v>0</v>
      </c>
      <c r="M40" s="4">
        <f t="shared" si="9"/>
        <v>0</v>
      </c>
      <c r="N40" s="4">
        <f t="shared" si="10"/>
        <v>0</v>
      </c>
      <c r="O40" s="13">
        <f t="shared" si="11"/>
        <v>0</v>
      </c>
    </row>
    <row r="41" spans="2:15" ht="13.8" thickBot="1">
      <c r="B41" s="14">
        <v>1</v>
      </c>
      <c r="C41" s="15" t="s">
        <v>151</v>
      </c>
      <c r="D41" s="15" t="s">
        <v>149</v>
      </c>
      <c r="E41" s="15">
        <v>4</v>
      </c>
      <c r="F41" s="15">
        <v>7</v>
      </c>
      <c r="G41" s="15">
        <v>10</v>
      </c>
      <c r="H41" s="121"/>
      <c r="I41" s="121"/>
      <c r="J41" s="121"/>
      <c r="K41" s="121">
        <v>0</v>
      </c>
      <c r="L41" s="14">
        <f t="shared" si="8"/>
        <v>0</v>
      </c>
      <c r="M41" s="15">
        <f t="shared" si="9"/>
        <v>0</v>
      </c>
      <c r="N41" s="15">
        <f t="shared" si="10"/>
        <v>0</v>
      </c>
      <c r="O41" s="16">
        <f t="shared" si="11"/>
        <v>0</v>
      </c>
    </row>
    <row r="42" spans="2:15">
      <c r="B42" s="9">
        <v>1</v>
      </c>
      <c r="C42" s="10" t="s">
        <v>151</v>
      </c>
      <c r="D42" s="10" t="s">
        <v>150</v>
      </c>
      <c r="E42" s="93">
        <v>5</v>
      </c>
      <c r="F42" s="93">
        <v>9</v>
      </c>
      <c r="G42" s="10">
        <v>1</v>
      </c>
      <c r="H42" s="120"/>
      <c r="I42" s="120"/>
      <c r="J42" s="120">
        <v>2.432999999999879</v>
      </c>
      <c r="K42" s="120">
        <v>2.432999999999879</v>
      </c>
      <c r="L42" s="9">
        <f t="shared" si="8"/>
        <v>0</v>
      </c>
      <c r="M42" s="10">
        <f t="shared" si="9"/>
        <v>0</v>
      </c>
      <c r="N42" s="10">
        <f t="shared" si="10"/>
        <v>0.53567380342573478</v>
      </c>
      <c r="O42" s="11">
        <f t="shared" si="11"/>
        <v>0.53567380342573478</v>
      </c>
    </row>
    <row r="43" spans="2:15">
      <c r="B43" s="12">
        <v>1</v>
      </c>
      <c r="C43" s="4" t="s">
        <v>151</v>
      </c>
      <c r="D43" s="4" t="s">
        <v>150</v>
      </c>
      <c r="E43" s="4">
        <v>5</v>
      </c>
      <c r="F43" s="4">
        <v>9</v>
      </c>
      <c r="G43" s="4">
        <v>2</v>
      </c>
      <c r="H43" s="115">
        <v>0.90000000000003411</v>
      </c>
      <c r="I43" s="115"/>
      <c r="J43" s="115"/>
      <c r="K43" s="115">
        <v>0.90000000000003411</v>
      </c>
      <c r="L43" s="12">
        <f t="shared" ref="L43:L102" si="12">LOG10(H43+1)</f>
        <v>0.27875360095283674</v>
      </c>
      <c r="M43" s="4">
        <f t="shared" ref="M43:M102" si="13">LOG10(I43+1)</f>
        <v>0</v>
      </c>
      <c r="N43" s="4">
        <f t="shared" ref="N43:N102" si="14">LOG10(J43+1)</f>
        <v>0</v>
      </c>
      <c r="O43" s="13">
        <f t="shared" ref="O43:O102" si="15">LOG10(K43+1)</f>
        <v>0.27875360095283674</v>
      </c>
    </row>
    <row r="44" spans="2:15">
      <c r="B44" s="12">
        <v>1</v>
      </c>
      <c r="C44" s="4" t="s">
        <v>151</v>
      </c>
      <c r="D44" s="4" t="s">
        <v>150</v>
      </c>
      <c r="E44" s="4">
        <v>5</v>
      </c>
      <c r="F44" s="4">
        <v>9</v>
      </c>
      <c r="G44" s="4">
        <v>3</v>
      </c>
      <c r="H44" s="115"/>
      <c r="I44" s="115"/>
      <c r="J44" s="115"/>
      <c r="K44" s="115">
        <v>0</v>
      </c>
      <c r="L44" s="12">
        <f t="shared" si="12"/>
        <v>0</v>
      </c>
      <c r="M44" s="4">
        <f t="shared" si="13"/>
        <v>0</v>
      </c>
      <c r="N44" s="4">
        <f t="shared" si="14"/>
        <v>0</v>
      </c>
      <c r="O44" s="13">
        <f t="shared" si="15"/>
        <v>0</v>
      </c>
    </row>
    <row r="45" spans="2:15">
      <c r="B45" s="12">
        <v>1</v>
      </c>
      <c r="C45" s="4" t="s">
        <v>151</v>
      </c>
      <c r="D45" s="4" t="s">
        <v>150</v>
      </c>
      <c r="E45" s="4">
        <v>5</v>
      </c>
      <c r="F45" s="4">
        <v>9</v>
      </c>
      <c r="G45" s="4">
        <v>4</v>
      </c>
      <c r="H45" s="115"/>
      <c r="I45" s="115"/>
      <c r="J45" s="115"/>
      <c r="K45" s="115">
        <v>0</v>
      </c>
      <c r="L45" s="12">
        <f t="shared" si="12"/>
        <v>0</v>
      </c>
      <c r="M45" s="4">
        <f t="shared" si="13"/>
        <v>0</v>
      </c>
      <c r="N45" s="4">
        <f t="shared" si="14"/>
        <v>0</v>
      </c>
      <c r="O45" s="13">
        <f t="shared" si="15"/>
        <v>0</v>
      </c>
    </row>
    <row r="46" spans="2:15">
      <c r="B46" s="12">
        <v>1</v>
      </c>
      <c r="C46" s="4" t="s">
        <v>151</v>
      </c>
      <c r="D46" s="4" t="s">
        <v>150</v>
      </c>
      <c r="E46" s="4">
        <v>5</v>
      </c>
      <c r="F46" s="4">
        <v>9</v>
      </c>
      <c r="G46" s="4">
        <v>5</v>
      </c>
      <c r="H46" s="115"/>
      <c r="I46" s="115"/>
      <c r="J46" s="115"/>
      <c r="K46" s="115">
        <v>0</v>
      </c>
      <c r="L46" s="12">
        <f t="shared" si="12"/>
        <v>0</v>
      </c>
      <c r="M46" s="4">
        <f t="shared" si="13"/>
        <v>0</v>
      </c>
      <c r="N46" s="4">
        <f t="shared" si="14"/>
        <v>0</v>
      </c>
      <c r="O46" s="13">
        <f t="shared" si="15"/>
        <v>0</v>
      </c>
    </row>
    <row r="47" spans="2:15">
      <c r="B47" s="12">
        <v>1</v>
      </c>
      <c r="C47" s="4" t="s">
        <v>151</v>
      </c>
      <c r="D47" s="4" t="s">
        <v>150</v>
      </c>
      <c r="E47" s="4">
        <v>5</v>
      </c>
      <c r="F47" s="4">
        <v>9</v>
      </c>
      <c r="G47" s="4">
        <v>6</v>
      </c>
      <c r="H47" s="115"/>
      <c r="I47" s="115"/>
      <c r="J47" s="115"/>
      <c r="K47" s="115">
        <v>0</v>
      </c>
      <c r="L47" s="12">
        <f t="shared" si="12"/>
        <v>0</v>
      </c>
      <c r="M47" s="4">
        <f t="shared" si="13"/>
        <v>0</v>
      </c>
      <c r="N47" s="4">
        <f t="shared" si="14"/>
        <v>0</v>
      </c>
      <c r="O47" s="13">
        <f t="shared" si="15"/>
        <v>0</v>
      </c>
    </row>
    <row r="48" spans="2:15">
      <c r="B48" s="12">
        <v>1</v>
      </c>
      <c r="C48" s="4" t="s">
        <v>151</v>
      </c>
      <c r="D48" s="4" t="s">
        <v>150</v>
      </c>
      <c r="E48" s="4">
        <v>5</v>
      </c>
      <c r="F48" s="4">
        <v>9</v>
      </c>
      <c r="G48" s="4">
        <v>7</v>
      </c>
      <c r="H48" s="115"/>
      <c r="I48" s="115"/>
      <c r="J48" s="115"/>
      <c r="K48" s="115">
        <v>0</v>
      </c>
      <c r="L48" s="12">
        <f t="shared" si="12"/>
        <v>0</v>
      </c>
      <c r="M48" s="4">
        <f t="shared" si="13"/>
        <v>0</v>
      </c>
      <c r="N48" s="4">
        <f t="shared" si="14"/>
        <v>0</v>
      </c>
      <c r="O48" s="13">
        <f t="shared" si="15"/>
        <v>0</v>
      </c>
    </row>
    <row r="49" spans="2:15">
      <c r="B49" s="12">
        <v>1</v>
      </c>
      <c r="C49" s="4" t="s">
        <v>151</v>
      </c>
      <c r="D49" s="4" t="s">
        <v>150</v>
      </c>
      <c r="E49" s="4">
        <v>5</v>
      </c>
      <c r="F49" s="4">
        <v>9</v>
      </c>
      <c r="G49" s="4">
        <v>8</v>
      </c>
      <c r="H49" s="115"/>
      <c r="I49" s="115"/>
      <c r="J49" s="115"/>
      <c r="K49" s="115">
        <v>0</v>
      </c>
      <c r="L49" s="12">
        <f t="shared" si="12"/>
        <v>0</v>
      </c>
      <c r="M49" s="4">
        <f t="shared" si="13"/>
        <v>0</v>
      </c>
      <c r="N49" s="4">
        <f t="shared" si="14"/>
        <v>0</v>
      </c>
      <c r="O49" s="13">
        <f t="shared" si="15"/>
        <v>0</v>
      </c>
    </row>
    <row r="50" spans="2:15">
      <c r="B50" s="12">
        <v>1</v>
      </c>
      <c r="C50" s="4" t="s">
        <v>151</v>
      </c>
      <c r="D50" s="4" t="s">
        <v>150</v>
      </c>
      <c r="E50" s="4">
        <v>5</v>
      </c>
      <c r="F50" s="4">
        <v>9</v>
      </c>
      <c r="G50" s="4">
        <v>9</v>
      </c>
      <c r="H50" s="115"/>
      <c r="I50" s="115"/>
      <c r="J50" s="115"/>
      <c r="K50" s="115">
        <v>0</v>
      </c>
      <c r="L50" s="12">
        <f t="shared" si="12"/>
        <v>0</v>
      </c>
      <c r="M50" s="4">
        <f t="shared" si="13"/>
        <v>0</v>
      </c>
      <c r="N50" s="4">
        <f t="shared" si="14"/>
        <v>0</v>
      </c>
      <c r="O50" s="13">
        <f t="shared" si="15"/>
        <v>0</v>
      </c>
    </row>
    <row r="51" spans="2:15" ht="13.8" thickBot="1">
      <c r="B51" s="14">
        <v>1</v>
      </c>
      <c r="C51" s="15" t="s">
        <v>151</v>
      </c>
      <c r="D51" s="15" t="s">
        <v>150</v>
      </c>
      <c r="E51" s="15">
        <v>5</v>
      </c>
      <c r="F51" s="15">
        <v>9</v>
      </c>
      <c r="G51" s="15">
        <v>10</v>
      </c>
      <c r="H51" s="121"/>
      <c r="I51" s="121"/>
      <c r="J51" s="121"/>
      <c r="K51" s="121">
        <v>0</v>
      </c>
      <c r="L51" s="14">
        <f t="shared" si="12"/>
        <v>0</v>
      </c>
      <c r="M51" s="15">
        <f t="shared" si="13"/>
        <v>0</v>
      </c>
      <c r="N51" s="15">
        <f t="shared" si="14"/>
        <v>0</v>
      </c>
      <c r="O51" s="16">
        <f t="shared" si="15"/>
        <v>0</v>
      </c>
    </row>
    <row r="52" spans="2:15">
      <c r="B52" s="9">
        <v>1</v>
      </c>
      <c r="C52" s="10" t="s">
        <v>151</v>
      </c>
      <c r="D52" s="10" t="s">
        <v>154</v>
      </c>
      <c r="E52" s="93">
        <v>6</v>
      </c>
      <c r="F52" s="93">
        <v>3</v>
      </c>
      <c r="G52" s="10">
        <v>1</v>
      </c>
      <c r="H52" s="120">
        <v>1.032999999999987</v>
      </c>
      <c r="I52" s="120">
        <v>0.33299999999996999</v>
      </c>
      <c r="J52" s="120">
        <v>0.14999999999997726</v>
      </c>
      <c r="K52" s="120">
        <v>1.5159999999999343</v>
      </c>
      <c r="L52" s="9">
        <f t="shared" si="12"/>
        <v>0.30813737863803581</v>
      </c>
      <c r="M52" s="10">
        <f t="shared" si="13"/>
        <v>0.12483014941384943</v>
      </c>
      <c r="N52" s="10">
        <f t="shared" si="14"/>
        <v>6.0697840353603094E-2</v>
      </c>
      <c r="O52" s="11">
        <f t="shared" si="15"/>
        <v>0.40071063677322</v>
      </c>
    </row>
    <row r="53" spans="2:15">
      <c r="B53" s="12">
        <v>1</v>
      </c>
      <c r="C53" s="4" t="s">
        <v>151</v>
      </c>
      <c r="D53" s="4" t="s">
        <v>154</v>
      </c>
      <c r="E53" s="4">
        <v>6</v>
      </c>
      <c r="F53" s="4">
        <v>3</v>
      </c>
      <c r="G53" s="4">
        <v>2</v>
      </c>
      <c r="H53" s="115">
        <v>0.18299999999999272</v>
      </c>
      <c r="I53" s="115"/>
      <c r="J53" s="115"/>
      <c r="K53" s="115">
        <v>0.18299999999999272</v>
      </c>
      <c r="L53" s="12">
        <f t="shared" si="12"/>
        <v>7.29847446279277E-2</v>
      </c>
      <c r="M53" s="4">
        <f t="shared" si="13"/>
        <v>0</v>
      </c>
      <c r="N53" s="4">
        <f t="shared" si="14"/>
        <v>0</v>
      </c>
      <c r="O53" s="13">
        <f t="shared" si="15"/>
        <v>7.29847446279277E-2</v>
      </c>
    </row>
    <row r="54" spans="2:15">
      <c r="B54" s="12">
        <v>1</v>
      </c>
      <c r="C54" s="4" t="s">
        <v>151</v>
      </c>
      <c r="D54" s="4" t="s">
        <v>154</v>
      </c>
      <c r="E54" s="4">
        <v>6</v>
      </c>
      <c r="F54" s="4">
        <v>3</v>
      </c>
      <c r="G54" s="4">
        <v>3</v>
      </c>
      <c r="H54" s="115"/>
      <c r="I54" s="115"/>
      <c r="J54" s="115"/>
      <c r="K54" s="115">
        <v>0</v>
      </c>
      <c r="L54" s="12">
        <f t="shared" si="12"/>
        <v>0</v>
      </c>
      <c r="M54" s="4">
        <f t="shared" si="13"/>
        <v>0</v>
      </c>
      <c r="N54" s="4">
        <f t="shared" si="14"/>
        <v>0</v>
      </c>
      <c r="O54" s="13">
        <f t="shared" si="15"/>
        <v>0</v>
      </c>
    </row>
    <row r="55" spans="2:15">
      <c r="B55" s="12">
        <v>1</v>
      </c>
      <c r="C55" s="4" t="s">
        <v>151</v>
      </c>
      <c r="D55" s="4" t="s">
        <v>154</v>
      </c>
      <c r="E55" s="4">
        <v>6</v>
      </c>
      <c r="F55" s="4">
        <v>3</v>
      </c>
      <c r="G55" s="4">
        <v>4</v>
      </c>
      <c r="H55" s="115"/>
      <c r="I55" s="115"/>
      <c r="J55" s="115"/>
      <c r="K55" s="115">
        <v>0</v>
      </c>
      <c r="L55" s="12">
        <f t="shared" si="12"/>
        <v>0</v>
      </c>
      <c r="M55" s="4">
        <f t="shared" si="13"/>
        <v>0</v>
      </c>
      <c r="N55" s="4">
        <f t="shared" si="14"/>
        <v>0</v>
      </c>
      <c r="O55" s="13">
        <f t="shared" si="15"/>
        <v>0</v>
      </c>
    </row>
    <row r="56" spans="2:15">
      <c r="B56" s="12">
        <v>1</v>
      </c>
      <c r="C56" s="4" t="s">
        <v>151</v>
      </c>
      <c r="D56" s="4" t="s">
        <v>154</v>
      </c>
      <c r="E56" s="4">
        <v>6</v>
      </c>
      <c r="F56" s="4">
        <v>3</v>
      </c>
      <c r="G56" s="4">
        <v>5</v>
      </c>
      <c r="H56" s="115"/>
      <c r="I56" s="115"/>
      <c r="J56" s="115"/>
      <c r="K56" s="115">
        <v>0</v>
      </c>
      <c r="L56" s="12">
        <f t="shared" si="12"/>
        <v>0</v>
      </c>
      <c r="M56" s="4">
        <f t="shared" si="13"/>
        <v>0</v>
      </c>
      <c r="N56" s="4">
        <f t="shared" si="14"/>
        <v>0</v>
      </c>
      <c r="O56" s="13">
        <f t="shared" si="15"/>
        <v>0</v>
      </c>
    </row>
    <row r="57" spans="2:15">
      <c r="B57" s="12">
        <v>1</v>
      </c>
      <c r="C57" s="4" t="s">
        <v>151</v>
      </c>
      <c r="D57" s="4" t="s">
        <v>154</v>
      </c>
      <c r="E57" s="4">
        <v>6</v>
      </c>
      <c r="F57" s="4">
        <v>3</v>
      </c>
      <c r="G57" s="4">
        <v>6</v>
      </c>
      <c r="H57" s="115"/>
      <c r="I57" s="115"/>
      <c r="J57" s="115"/>
      <c r="K57" s="115">
        <v>0</v>
      </c>
      <c r="L57" s="12">
        <f t="shared" si="12"/>
        <v>0</v>
      </c>
      <c r="M57" s="4">
        <f t="shared" si="13"/>
        <v>0</v>
      </c>
      <c r="N57" s="4">
        <f t="shared" si="14"/>
        <v>0</v>
      </c>
      <c r="O57" s="13">
        <f t="shared" si="15"/>
        <v>0</v>
      </c>
    </row>
    <row r="58" spans="2:15">
      <c r="B58" s="12">
        <v>1</v>
      </c>
      <c r="C58" s="4" t="s">
        <v>151</v>
      </c>
      <c r="D58" s="4" t="s">
        <v>154</v>
      </c>
      <c r="E58" s="4">
        <v>6</v>
      </c>
      <c r="F58" s="4">
        <v>3</v>
      </c>
      <c r="G58" s="4">
        <v>7</v>
      </c>
      <c r="H58" s="115"/>
      <c r="I58" s="115"/>
      <c r="J58" s="115"/>
      <c r="K58" s="115">
        <v>0</v>
      </c>
      <c r="L58" s="12">
        <f t="shared" si="12"/>
        <v>0</v>
      </c>
      <c r="M58" s="4">
        <f t="shared" si="13"/>
        <v>0</v>
      </c>
      <c r="N58" s="4">
        <f t="shared" si="14"/>
        <v>0</v>
      </c>
      <c r="O58" s="13">
        <f t="shared" si="15"/>
        <v>0</v>
      </c>
    </row>
    <row r="59" spans="2:15">
      <c r="B59" s="12">
        <v>1</v>
      </c>
      <c r="C59" s="4" t="s">
        <v>151</v>
      </c>
      <c r="D59" s="4" t="s">
        <v>154</v>
      </c>
      <c r="E59" s="4">
        <v>6</v>
      </c>
      <c r="F59" s="4">
        <v>3</v>
      </c>
      <c r="G59" s="4">
        <v>8</v>
      </c>
      <c r="H59" s="115"/>
      <c r="I59" s="115"/>
      <c r="J59" s="115"/>
      <c r="K59" s="115">
        <v>0</v>
      </c>
      <c r="L59" s="12">
        <f t="shared" si="12"/>
        <v>0</v>
      </c>
      <c r="M59" s="4">
        <f t="shared" si="13"/>
        <v>0</v>
      </c>
      <c r="N59" s="4">
        <f t="shared" si="14"/>
        <v>0</v>
      </c>
      <c r="O59" s="13">
        <f t="shared" si="15"/>
        <v>0</v>
      </c>
    </row>
    <row r="60" spans="2:15">
      <c r="B60" s="12">
        <v>1</v>
      </c>
      <c r="C60" s="4" t="s">
        <v>151</v>
      </c>
      <c r="D60" s="4" t="s">
        <v>154</v>
      </c>
      <c r="E60" s="4">
        <v>6</v>
      </c>
      <c r="F60" s="4">
        <v>3</v>
      </c>
      <c r="G60" s="4">
        <v>9</v>
      </c>
      <c r="H60" s="115"/>
      <c r="I60" s="115"/>
      <c r="J60" s="115"/>
      <c r="K60" s="115">
        <v>0</v>
      </c>
      <c r="L60" s="12">
        <f t="shared" si="12"/>
        <v>0</v>
      </c>
      <c r="M60" s="4">
        <f t="shared" si="13"/>
        <v>0</v>
      </c>
      <c r="N60" s="4">
        <f t="shared" si="14"/>
        <v>0</v>
      </c>
      <c r="O60" s="13">
        <f t="shared" si="15"/>
        <v>0</v>
      </c>
    </row>
    <row r="61" spans="2:15" ht="13.8" thickBot="1">
      <c r="B61" s="14">
        <v>1</v>
      </c>
      <c r="C61" s="15" t="s">
        <v>151</v>
      </c>
      <c r="D61" s="15" t="s">
        <v>154</v>
      </c>
      <c r="E61" s="15">
        <v>6</v>
      </c>
      <c r="F61" s="15">
        <v>3</v>
      </c>
      <c r="G61" s="15">
        <v>10</v>
      </c>
      <c r="H61" s="121"/>
      <c r="I61" s="121"/>
      <c r="J61" s="121"/>
      <c r="K61" s="121">
        <v>0</v>
      </c>
      <c r="L61" s="14">
        <f t="shared" si="12"/>
        <v>0</v>
      </c>
      <c r="M61" s="15">
        <f t="shared" si="13"/>
        <v>0</v>
      </c>
      <c r="N61" s="15">
        <f t="shared" si="14"/>
        <v>0</v>
      </c>
      <c r="O61" s="16">
        <f t="shared" si="15"/>
        <v>0</v>
      </c>
    </row>
    <row r="62" spans="2:15">
      <c r="B62" s="9">
        <v>1</v>
      </c>
      <c r="C62" s="10" t="s">
        <v>152</v>
      </c>
      <c r="D62" s="10" t="s">
        <v>150</v>
      </c>
      <c r="E62" s="93">
        <v>7</v>
      </c>
      <c r="F62" s="93">
        <v>10</v>
      </c>
      <c r="G62" s="10">
        <v>1</v>
      </c>
      <c r="H62" s="120">
        <v>1.2659999999999627</v>
      </c>
      <c r="I62" s="120"/>
      <c r="J62" s="120">
        <v>0.73399999999998045</v>
      </c>
      <c r="K62" s="120">
        <v>1.9999999999999432</v>
      </c>
      <c r="L62" s="9">
        <f t="shared" si="12"/>
        <v>0.3552599055273713</v>
      </c>
      <c r="M62" s="10">
        <f t="shared" si="13"/>
        <v>0</v>
      </c>
      <c r="N62" s="10">
        <f t="shared" si="14"/>
        <v>0.2390490931401866</v>
      </c>
      <c r="O62" s="11">
        <f t="shared" si="15"/>
        <v>0.47712125471965422</v>
      </c>
    </row>
    <row r="63" spans="2:15">
      <c r="B63" s="12">
        <v>1</v>
      </c>
      <c r="C63" s="4" t="s">
        <v>152</v>
      </c>
      <c r="D63" s="4" t="s">
        <v>150</v>
      </c>
      <c r="E63" s="4">
        <v>7</v>
      </c>
      <c r="F63" s="4">
        <v>10</v>
      </c>
      <c r="G63" s="4">
        <v>2</v>
      </c>
      <c r="H63" s="115">
        <v>0.3830000000000382</v>
      </c>
      <c r="I63" s="115"/>
      <c r="J63" s="115">
        <v>0.21699999999998454</v>
      </c>
      <c r="K63" s="115">
        <v>0.60000000000002274</v>
      </c>
      <c r="L63" s="12">
        <f t="shared" si="12"/>
        <v>0.14082218010932257</v>
      </c>
      <c r="M63" s="4">
        <f t="shared" si="13"/>
        <v>0</v>
      </c>
      <c r="N63" s="4">
        <f t="shared" si="14"/>
        <v>8.5290578230059477E-2</v>
      </c>
      <c r="O63" s="13">
        <f t="shared" si="15"/>
        <v>0.20411998265593095</v>
      </c>
    </row>
    <row r="64" spans="2:15">
      <c r="B64" s="12">
        <v>1</v>
      </c>
      <c r="C64" s="4" t="s">
        <v>152</v>
      </c>
      <c r="D64" s="4" t="s">
        <v>150</v>
      </c>
      <c r="E64" s="4">
        <v>7</v>
      </c>
      <c r="F64" s="4">
        <v>10</v>
      </c>
      <c r="G64" s="4">
        <v>3</v>
      </c>
      <c r="H64" s="115"/>
      <c r="I64" s="115"/>
      <c r="J64" s="115"/>
      <c r="K64" s="115">
        <v>0</v>
      </c>
      <c r="L64" s="12">
        <f t="shared" si="12"/>
        <v>0</v>
      </c>
      <c r="M64" s="4">
        <f t="shared" si="13"/>
        <v>0</v>
      </c>
      <c r="N64" s="4">
        <f t="shared" si="14"/>
        <v>0</v>
      </c>
      <c r="O64" s="13">
        <f t="shared" si="15"/>
        <v>0</v>
      </c>
    </row>
    <row r="65" spans="2:15">
      <c r="B65" s="12">
        <v>1</v>
      </c>
      <c r="C65" s="4" t="s">
        <v>152</v>
      </c>
      <c r="D65" s="4" t="s">
        <v>150</v>
      </c>
      <c r="E65" s="4">
        <v>7</v>
      </c>
      <c r="F65" s="4">
        <v>10</v>
      </c>
      <c r="G65" s="4">
        <v>4</v>
      </c>
      <c r="H65" s="115"/>
      <c r="I65" s="115"/>
      <c r="J65" s="115"/>
      <c r="K65" s="115">
        <v>0</v>
      </c>
      <c r="L65" s="12">
        <f t="shared" si="12"/>
        <v>0</v>
      </c>
      <c r="M65" s="4">
        <f t="shared" si="13"/>
        <v>0</v>
      </c>
      <c r="N65" s="4">
        <f t="shared" si="14"/>
        <v>0</v>
      </c>
      <c r="O65" s="13">
        <f t="shared" si="15"/>
        <v>0</v>
      </c>
    </row>
    <row r="66" spans="2:15">
      <c r="B66" s="12">
        <v>1</v>
      </c>
      <c r="C66" s="4" t="s">
        <v>152</v>
      </c>
      <c r="D66" s="4" t="s">
        <v>150</v>
      </c>
      <c r="E66" s="4">
        <v>7</v>
      </c>
      <c r="F66" s="4">
        <v>10</v>
      </c>
      <c r="G66" s="4">
        <v>5</v>
      </c>
      <c r="H66" s="115"/>
      <c r="I66" s="115"/>
      <c r="J66" s="115"/>
      <c r="K66" s="115">
        <v>0</v>
      </c>
      <c r="L66" s="12">
        <f t="shared" si="12"/>
        <v>0</v>
      </c>
      <c r="M66" s="4">
        <f t="shared" si="13"/>
        <v>0</v>
      </c>
      <c r="N66" s="4">
        <f t="shared" si="14"/>
        <v>0</v>
      </c>
      <c r="O66" s="13">
        <f t="shared" si="15"/>
        <v>0</v>
      </c>
    </row>
    <row r="67" spans="2:15">
      <c r="B67" s="12">
        <v>1</v>
      </c>
      <c r="C67" s="4" t="s">
        <v>152</v>
      </c>
      <c r="D67" s="4" t="s">
        <v>150</v>
      </c>
      <c r="E67" s="4">
        <v>7</v>
      </c>
      <c r="F67" s="4">
        <v>10</v>
      </c>
      <c r="G67" s="4">
        <v>6</v>
      </c>
      <c r="H67" s="115"/>
      <c r="I67" s="115"/>
      <c r="J67" s="115"/>
      <c r="K67" s="115">
        <v>0</v>
      </c>
      <c r="L67" s="12">
        <f t="shared" si="12"/>
        <v>0</v>
      </c>
      <c r="M67" s="4">
        <f t="shared" si="13"/>
        <v>0</v>
      </c>
      <c r="N67" s="4">
        <f t="shared" si="14"/>
        <v>0</v>
      </c>
      <c r="O67" s="13">
        <f t="shared" si="15"/>
        <v>0</v>
      </c>
    </row>
    <row r="68" spans="2:15">
      <c r="B68" s="12">
        <v>1</v>
      </c>
      <c r="C68" s="4" t="s">
        <v>152</v>
      </c>
      <c r="D68" s="4" t="s">
        <v>150</v>
      </c>
      <c r="E68" s="4">
        <v>7</v>
      </c>
      <c r="F68" s="4">
        <v>10</v>
      </c>
      <c r="G68" s="4">
        <v>7</v>
      </c>
      <c r="H68" s="115"/>
      <c r="I68" s="115"/>
      <c r="J68" s="115"/>
      <c r="K68" s="115">
        <v>0</v>
      </c>
      <c r="L68" s="12">
        <f t="shared" si="12"/>
        <v>0</v>
      </c>
      <c r="M68" s="4">
        <f t="shared" si="13"/>
        <v>0</v>
      </c>
      <c r="N68" s="4">
        <f t="shared" si="14"/>
        <v>0</v>
      </c>
      <c r="O68" s="13">
        <f t="shared" si="15"/>
        <v>0</v>
      </c>
    </row>
    <row r="69" spans="2:15">
      <c r="B69" s="12">
        <v>1</v>
      </c>
      <c r="C69" s="4" t="s">
        <v>152</v>
      </c>
      <c r="D69" s="4" t="s">
        <v>150</v>
      </c>
      <c r="E69" s="4">
        <v>7</v>
      </c>
      <c r="F69" s="4">
        <v>10</v>
      </c>
      <c r="G69" s="4">
        <v>8</v>
      </c>
      <c r="H69" s="115"/>
      <c r="I69" s="115"/>
      <c r="J69" s="115"/>
      <c r="K69" s="115">
        <v>0</v>
      </c>
      <c r="L69" s="12">
        <f t="shared" si="12"/>
        <v>0</v>
      </c>
      <c r="M69" s="4">
        <f t="shared" si="13"/>
        <v>0</v>
      </c>
      <c r="N69" s="4">
        <f t="shared" si="14"/>
        <v>0</v>
      </c>
      <c r="O69" s="13">
        <f t="shared" si="15"/>
        <v>0</v>
      </c>
    </row>
    <row r="70" spans="2:15">
      <c r="B70" s="12">
        <v>1</v>
      </c>
      <c r="C70" s="4" t="s">
        <v>152</v>
      </c>
      <c r="D70" s="4" t="s">
        <v>150</v>
      </c>
      <c r="E70" s="4">
        <v>7</v>
      </c>
      <c r="F70" s="4">
        <v>10</v>
      </c>
      <c r="G70" s="4">
        <v>9</v>
      </c>
      <c r="H70" s="115"/>
      <c r="I70" s="115"/>
      <c r="J70" s="115"/>
      <c r="K70" s="115">
        <v>0</v>
      </c>
      <c r="L70" s="12">
        <f t="shared" si="12"/>
        <v>0</v>
      </c>
      <c r="M70" s="4">
        <f t="shared" si="13"/>
        <v>0</v>
      </c>
      <c r="N70" s="4">
        <f t="shared" si="14"/>
        <v>0</v>
      </c>
      <c r="O70" s="13">
        <f t="shared" si="15"/>
        <v>0</v>
      </c>
    </row>
    <row r="71" spans="2:15" ht="13.8" thickBot="1">
      <c r="B71" s="14">
        <v>1</v>
      </c>
      <c r="C71" s="15" t="s">
        <v>152</v>
      </c>
      <c r="D71" s="15" t="s">
        <v>150</v>
      </c>
      <c r="E71" s="15">
        <v>7</v>
      </c>
      <c r="F71" s="15">
        <v>10</v>
      </c>
      <c r="G71" s="15">
        <v>10</v>
      </c>
      <c r="H71" s="121"/>
      <c r="I71" s="121"/>
      <c r="J71" s="121"/>
      <c r="K71" s="121">
        <v>0</v>
      </c>
      <c r="L71" s="14">
        <f t="shared" si="12"/>
        <v>0</v>
      </c>
      <c r="M71" s="15">
        <f t="shared" si="13"/>
        <v>0</v>
      </c>
      <c r="N71" s="15">
        <f t="shared" si="14"/>
        <v>0</v>
      </c>
      <c r="O71" s="16">
        <f t="shared" si="15"/>
        <v>0</v>
      </c>
    </row>
    <row r="72" spans="2:15">
      <c r="B72" s="9">
        <v>1</v>
      </c>
      <c r="C72" s="10" t="s">
        <v>152</v>
      </c>
      <c r="D72" s="10" t="s">
        <v>154</v>
      </c>
      <c r="E72" s="93">
        <v>8</v>
      </c>
      <c r="F72" s="93">
        <v>4</v>
      </c>
      <c r="G72" s="10">
        <v>1</v>
      </c>
      <c r="H72" s="120">
        <v>0.98099999999996612</v>
      </c>
      <c r="I72" s="120">
        <v>0.41299999999998249</v>
      </c>
      <c r="J72" s="120">
        <v>0.54899999999997817</v>
      </c>
      <c r="K72" s="120">
        <v>1.9429999999999268</v>
      </c>
      <c r="L72" s="9">
        <f t="shared" si="12"/>
        <v>0.29688447553853964</v>
      </c>
      <c r="M72" s="10">
        <f t="shared" si="13"/>
        <v>0.15014216184855322</v>
      </c>
      <c r="N72" s="10">
        <f t="shared" si="14"/>
        <v>0.19005141775919987</v>
      </c>
      <c r="O72" s="11">
        <f t="shared" si="15"/>
        <v>0.46879026209960012</v>
      </c>
    </row>
    <row r="73" spans="2:15">
      <c r="B73" s="12">
        <v>1</v>
      </c>
      <c r="C73" s="4" t="s">
        <v>152</v>
      </c>
      <c r="D73" s="4" t="s">
        <v>154</v>
      </c>
      <c r="E73" s="4">
        <v>8</v>
      </c>
      <c r="F73" s="4">
        <v>4</v>
      </c>
      <c r="G73" s="4">
        <v>2</v>
      </c>
      <c r="H73" s="115"/>
      <c r="I73" s="115"/>
      <c r="J73" s="115"/>
      <c r="K73" s="115">
        <v>0</v>
      </c>
      <c r="L73" s="12">
        <f t="shared" si="12"/>
        <v>0</v>
      </c>
      <c r="M73" s="4">
        <f t="shared" si="13"/>
        <v>0</v>
      </c>
      <c r="N73" s="4">
        <f t="shared" si="14"/>
        <v>0</v>
      </c>
      <c r="O73" s="13">
        <f t="shared" si="15"/>
        <v>0</v>
      </c>
    </row>
    <row r="74" spans="2:15">
      <c r="B74" s="12">
        <v>1</v>
      </c>
      <c r="C74" s="4" t="s">
        <v>152</v>
      </c>
      <c r="D74" s="4" t="s">
        <v>154</v>
      </c>
      <c r="E74" s="4">
        <v>8</v>
      </c>
      <c r="F74" s="4">
        <v>4</v>
      </c>
      <c r="G74" s="4">
        <v>3</v>
      </c>
      <c r="H74" s="115"/>
      <c r="I74" s="115"/>
      <c r="J74" s="115"/>
      <c r="K74" s="115">
        <v>0</v>
      </c>
      <c r="L74" s="12">
        <f t="shared" si="12"/>
        <v>0</v>
      </c>
      <c r="M74" s="4">
        <f t="shared" si="13"/>
        <v>0</v>
      </c>
      <c r="N74" s="4">
        <f t="shared" si="14"/>
        <v>0</v>
      </c>
      <c r="O74" s="13">
        <f t="shared" si="15"/>
        <v>0</v>
      </c>
    </row>
    <row r="75" spans="2:15">
      <c r="B75" s="12">
        <v>1</v>
      </c>
      <c r="C75" s="4" t="s">
        <v>152</v>
      </c>
      <c r="D75" s="4" t="s">
        <v>154</v>
      </c>
      <c r="E75" s="4">
        <v>8</v>
      </c>
      <c r="F75" s="4">
        <v>4</v>
      </c>
      <c r="G75" s="4">
        <v>4</v>
      </c>
      <c r="H75" s="115"/>
      <c r="I75" s="115"/>
      <c r="J75" s="115"/>
      <c r="K75" s="115">
        <v>0</v>
      </c>
      <c r="L75" s="12">
        <f t="shared" si="12"/>
        <v>0</v>
      </c>
      <c r="M75" s="4">
        <f t="shared" si="13"/>
        <v>0</v>
      </c>
      <c r="N75" s="4">
        <f t="shared" si="14"/>
        <v>0</v>
      </c>
      <c r="O75" s="13">
        <f t="shared" si="15"/>
        <v>0</v>
      </c>
    </row>
    <row r="76" spans="2:15">
      <c r="B76" s="12">
        <v>1</v>
      </c>
      <c r="C76" s="4" t="s">
        <v>152</v>
      </c>
      <c r="D76" s="4" t="s">
        <v>154</v>
      </c>
      <c r="E76" s="4">
        <v>8</v>
      </c>
      <c r="F76" s="4">
        <v>4</v>
      </c>
      <c r="G76" s="4">
        <v>5</v>
      </c>
      <c r="H76" s="115"/>
      <c r="I76" s="115"/>
      <c r="J76" s="115"/>
      <c r="K76" s="115">
        <v>0</v>
      </c>
      <c r="L76" s="12">
        <f t="shared" si="12"/>
        <v>0</v>
      </c>
      <c r="M76" s="4">
        <f t="shared" si="13"/>
        <v>0</v>
      </c>
      <c r="N76" s="4">
        <f t="shared" si="14"/>
        <v>0</v>
      </c>
      <c r="O76" s="13">
        <f t="shared" si="15"/>
        <v>0</v>
      </c>
    </row>
    <row r="77" spans="2:15">
      <c r="B77" s="12">
        <v>1</v>
      </c>
      <c r="C77" s="4" t="s">
        <v>152</v>
      </c>
      <c r="D77" s="4" t="s">
        <v>154</v>
      </c>
      <c r="E77" s="4">
        <v>8</v>
      </c>
      <c r="F77" s="4">
        <v>4</v>
      </c>
      <c r="G77" s="4">
        <v>6</v>
      </c>
      <c r="H77" s="115"/>
      <c r="I77" s="115"/>
      <c r="J77" s="115"/>
      <c r="K77" s="115">
        <v>0</v>
      </c>
      <c r="L77" s="12">
        <f t="shared" si="12"/>
        <v>0</v>
      </c>
      <c r="M77" s="4">
        <f t="shared" si="13"/>
        <v>0</v>
      </c>
      <c r="N77" s="4">
        <f t="shared" si="14"/>
        <v>0</v>
      </c>
      <c r="O77" s="13">
        <f t="shared" si="15"/>
        <v>0</v>
      </c>
    </row>
    <row r="78" spans="2:15">
      <c r="B78" s="12">
        <v>1</v>
      </c>
      <c r="C78" s="4" t="s">
        <v>152</v>
      </c>
      <c r="D78" s="4" t="s">
        <v>154</v>
      </c>
      <c r="E78" s="4">
        <v>8</v>
      </c>
      <c r="F78" s="4">
        <v>4</v>
      </c>
      <c r="G78" s="4">
        <v>7</v>
      </c>
      <c r="H78" s="115"/>
      <c r="I78" s="115"/>
      <c r="J78" s="115"/>
      <c r="K78" s="115">
        <v>0</v>
      </c>
      <c r="L78" s="12">
        <f t="shared" si="12"/>
        <v>0</v>
      </c>
      <c r="M78" s="4">
        <f t="shared" si="13"/>
        <v>0</v>
      </c>
      <c r="N78" s="4">
        <f t="shared" si="14"/>
        <v>0</v>
      </c>
      <c r="O78" s="13">
        <f t="shared" si="15"/>
        <v>0</v>
      </c>
    </row>
    <row r="79" spans="2:15">
      <c r="B79" s="12">
        <v>1</v>
      </c>
      <c r="C79" s="4" t="s">
        <v>152</v>
      </c>
      <c r="D79" s="4" t="s">
        <v>154</v>
      </c>
      <c r="E79" s="4">
        <v>8</v>
      </c>
      <c r="F79" s="4">
        <v>4</v>
      </c>
      <c r="G79" s="4">
        <v>8</v>
      </c>
      <c r="H79" s="115"/>
      <c r="I79" s="115"/>
      <c r="J79" s="115"/>
      <c r="K79" s="115">
        <v>0</v>
      </c>
      <c r="L79" s="12">
        <f t="shared" si="12"/>
        <v>0</v>
      </c>
      <c r="M79" s="4">
        <f t="shared" si="13"/>
        <v>0</v>
      </c>
      <c r="N79" s="4">
        <f t="shared" si="14"/>
        <v>0</v>
      </c>
      <c r="O79" s="13">
        <f t="shared" si="15"/>
        <v>0</v>
      </c>
    </row>
    <row r="80" spans="2:15">
      <c r="B80" s="12">
        <v>1</v>
      </c>
      <c r="C80" s="4" t="s">
        <v>152</v>
      </c>
      <c r="D80" s="4" t="s">
        <v>154</v>
      </c>
      <c r="E80" s="4">
        <v>8</v>
      </c>
      <c r="F80" s="4">
        <v>4</v>
      </c>
      <c r="G80" s="4">
        <v>9</v>
      </c>
      <c r="H80" s="115"/>
      <c r="I80" s="115"/>
      <c r="J80" s="115"/>
      <c r="K80" s="115">
        <v>0</v>
      </c>
      <c r="L80" s="12">
        <f t="shared" si="12"/>
        <v>0</v>
      </c>
      <c r="M80" s="4">
        <f t="shared" si="13"/>
        <v>0</v>
      </c>
      <c r="N80" s="4">
        <f t="shared" si="14"/>
        <v>0</v>
      </c>
      <c r="O80" s="13">
        <f t="shared" si="15"/>
        <v>0</v>
      </c>
    </row>
    <row r="81" spans="2:15" ht="13.8" thickBot="1">
      <c r="B81" s="14">
        <v>1</v>
      </c>
      <c r="C81" s="15" t="s">
        <v>152</v>
      </c>
      <c r="D81" s="15" t="s">
        <v>154</v>
      </c>
      <c r="E81" s="15">
        <v>8</v>
      </c>
      <c r="F81" s="15">
        <v>4</v>
      </c>
      <c r="G81" s="15">
        <v>10</v>
      </c>
      <c r="H81" s="121"/>
      <c r="I81" s="121"/>
      <c r="J81" s="121"/>
      <c r="K81" s="121">
        <v>0</v>
      </c>
      <c r="L81" s="14">
        <f t="shared" si="12"/>
        <v>0</v>
      </c>
      <c r="M81" s="15">
        <f t="shared" si="13"/>
        <v>0</v>
      </c>
      <c r="N81" s="15">
        <f t="shared" si="14"/>
        <v>0</v>
      </c>
      <c r="O81" s="16">
        <f t="shared" si="15"/>
        <v>0</v>
      </c>
    </row>
    <row r="82" spans="2:15">
      <c r="B82" s="9">
        <v>1</v>
      </c>
      <c r="C82" s="10" t="s">
        <v>152</v>
      </c>
      <c r="D82" s="10" t="s">
        <v>154</v>
      </c>
      <c r="E82" s="93">
        <v>9</v>
      </c>
      <c r="F82" s="93">
        <v>2</v>
      </c>
      <c r="G82" s="10">
        <v>1</v>
      </c>
      <c r="H82" s="120">
        <v>1.9170000000000016</v>
      </c>
      <c r="I82" s="120"/>
      <c r="J82" s="120">
        <v>1.0999999999999943</v>
      </c>
      <c r="K82" s="120">
        <v>3.0169999999999959</v>
      </c>
      <c r="L82" s="9">
        <f t="shared" si="12"/>
        <v>0.46493642912173294</v>
      </c>
      <c r="M82" s="10">
        <f t="shared" si="13"/>
        <v>0</v>
      </c>
      <c r="N82" s="10">
        <f t="shared" si="14"/>
        <v>0.32221929473391808</v>
      </c>
      <c r="O82" s="11">
        <f t="shared" si="15"/>
        <v>0.603901831731671</v>
      </c>
    </row>
    <row r="83" spans="2:15">
      <c r="B83" s="12">
        <v>1</v>
      </c>
      <c r="C83" s="4" t="s">
        <v>152</v>
      </c>
      <c r="D83" s="4" t="s">
        <v>154</v>
      </c>
      <c r="E83" s="4">
        <v>9</v>
      </c>
      <c r="F83" s="4">
        <v>2</v>
      </c>
      <c r="G83" s="4">
        <v>2</v>
      </c>
      <c r="H83" s="115">
        <v>0.70000000000001705</v>
      </c>
      <c r="I83" s="115"/>
      <c r="J83" s="115"/>
      <c r="K83" s="115">
        <v>0.70000000000001705</v>
      </c>
      <c r="L83" s="12">
        <f t="shared" si="12"/>
        <v>0.2304489213782783</v>
      </c>
      <c r="M83" s="4">
        <f t="shared" si="13"/>
        <v>0</v>
      </c>
      <c r="N83" s="4">
        <f t="shared" si="14"/>
        <v>0</v>
      </c>
      <c r="O83" s="13">
        <f t="shared" si="15"/>
        <v>0.2304489213782783</v>
      </c>
    </row>
    <row r="84" spans="2:15">
      <c r="B84" s="12">
        <v>1</v>
      </c>
      <c r="C84" s="4" t="s">
        <v>152</v>
      </c>
      <c r="D84" s="4" t="s">
        <v>154</v>
      </c>
      <c r="E84" s="4">
        <v>9</v>
      </c>
      <c r="F84" s="4">
        <v>2</v>
      </c>
      <c r="G84" s="4">
        <v>3</v>
      </c>
      <c r="H84" s="115"/>
      <c r="I84" s="115"/>
      <c r="J84" s="115"/>
      <c r="K84" s="115">
        <v>0</v>
      </c>
      <c r="L84" s="12">
        <f t="shared" si="12"/>
        <v>0</v>
      </c>
      <c r="M84" s="4">
        <f t="shared" si="13"/>
        <v>0</v>
      </c>
      <c r="N84" s="4">
        <f t="shared" si="14"/>
        <v>0</v>
      </c>
      <c r="O84" s="13">
        <f t="shared" si="15"/>
        <v>0</v>
      </c>
    </row>
    <row r="85" spans="2:15">
      <c r="B85" s="12">
        <v>1</v>
      </c>
      <c r="C85" s="4" t="s">
        <v>152</v>
      </c>
      <c r="D85" s="4" t="s">
        <v>154</v>
      </c>
      <c r="E85" s="4">
        <v>9</v>
      </c>
      <c r="F85" s="4">
        <v>2</v>
      </c>
      <c r="G85" s="4">
        <v>4</v>
      </c>
      <c r="H85" s="115">
        <v>0.20000000000001705</v>
      </c>
      <c r="I85" s="115"/>
      <c r="J85" s="115"/>
      <c r="K85" s="115">
        <v>0.20000000000001705</v>
      </c>
      <c r="L85" s="12">
        <f t="shared" si="12"/>
        <v>7.9181246047630993E-2</v>
      </c>
      <c r="M85" s="4">
        <f t="shared" si="13"/>
        <v>0</v>
      </c>
      <c r="N85" s="4">
        <f t="shared" si="14"/>
        <v>0</v>
      </c>
      <c r="O85" s="13">
        <f t="shared" si="15"/>
        <v>7.9181246047630993E-2</v>
      </c>
    </row>
    <row r="86" spans="2:15">
      <c r="B86" s="12">
        <v>1</v>
      </c>
      <c r="C86" s="4" t="s">
        <v>152</v>
      </c>
      <c r="D86" s="4" t="s">
        <v>154</v>
      </c>
      <c r="E86" s="4">
        <v>9</v>
      </c>
      <c r="F86" s="4">
        <v>2</v>
      </c>
      <c r="G86" s="4">
        <v>5</v>
      </c>
      <c r="H86" s="115"/>
      <c r="I86" s="115"/>
      <c r="J86" s="115"/>
      <c r="K86" s="115">
        <v>0</v>
      </c>
      <c r="L86" s="12">
        <f t="shared" si="12"/>
        <v>0</v>
      </c>
      <c r="M86" s="4">
        <f t="shared" si="13"/>
        <v>0</v>
      </c>
      <c r="N86" s="4">
        <f t="shared" si="14"/>
        <v>0</v>
      </c>
      <c r="O86" s="13">
        <f t="shared" si="15"/>
        <v>0</v>
      </c>
    </row>
    <row r="87" spans="2:15">
      <c r="B87" s="12">
        <v>1</v>
      </c>
      <c r="C87" s="4" t="s">
        <v>152</v>
      </c>
      <c r="D87" s="4" t="s">
        <v>154</v>
      </c>
      <c r="E87" s="4">
        <v>9</v>
      </c>
      <c r="F87" s="4">
        <v>2</v>
      </c>
      <c r="G87" s="4">
        <v>6</v>
      </c>
      <c r="H87" s="115"/>
      <c r="I87" s="115"/>
      <c r="J87" s="115"/>
      <c r="K87" s="115">
        <v>0</v>
      </c>
      <c r="L87" s="12">
        <f t="shared" si="12"/>
        <v>0</v>
      </c>
      <c r="M87" s="4">
        <f t="shared" si="13"/>
        <v>0</v>
      </c>
      <c r="N87" s="4">
        <f t="shared" si="14"/>
        <v>0</v>
      </c>
      <c r="O87" s="13">
        <f t="shared" si="15"/>
        <v>0</v>
      </c>
    </row>
    <row r="88" spans="2:15">
      <c r="B88" s="12">
        <v>1</v>
      </c>
      <c r="C88" s="4" t="s">
        <v>152</v>
      </c>
      <c r="D88" s="4" t="s">
        <v>154</v>
      </c>
      <c r="E88" s="4">
        <v>9</v>
      </c>
      <c r="F88" s="4">
        <v>2</v>
      </c>
      <c r="G88" s="4">
        <v>7</v>
      </c>
      <c r="H88" s="115"/>
      <c r="I88" s="115"/>
      <c r="J88" s="115"/>
      <c r="K88" s="115">
        <v>0</v>
      </c>
      <c r="L88" s="12">
        <f t="shared" si="12"/>
        <v>0</v>
      </c>
      <c r="M88" s="4">
        <f t="shared" si="13"/>
        <v>0</v>
      </c>
      <c r="N88" s="4">
        <f t="shared" si="14"/>
        <v>0</v>
      </c>
      <c r="O88" s="13">
        <f t="shared" si="15"/>
        <v>0</v>
      </c>
    </row>
    <row r="89" spans="2:15">
      <c r="B89" s="12">
        <v>1</v>
      </c>
      <c r="C89" s="4" t="s">
        <v>152</v>
      </c>
      <c r="D89" s="4" t="s">
        <v>154</v>
      </c>
      <c r="E89" s="4">
        <v>9</v>
      </c>
      <c r="F89" s="4">
        <v>2</v>
      </c>
      <c r="G89" s="4">
        <v>8</v>
      </c>
      <c r="H89" s="115"/>
      <c r="I89" s="115"/>
      <c r="J89" s="115"/>
      <c r="K89" s="115">
        <v>0</v>
      </c>
      <c r="L89" s="12">
        <f t="shared" si="12"/>
        <v>0</v>
      </c>
      <c r="M89" s="4">
        <f t="shared" si="13"/>
        <v>0</v>
      </c>
      <c r="N89" s="4">
        <f t="shared" si="14"/>
        <v>0</v>
      </c>
      <c r="O89" s="13">
        <f t="shared" si="15"/>
        <v>0</v>
      </c>
    </row>
    <row r="90" spans="2:15">
      <c r="B90" s="12">
        <v>1</v>
      </c>
      <c r="C90" s="4" t="s">
        <v>152</v>
      </c>
      <c r="D90" s="4" t="s">
        <v>154</v>
      </c>
      <c r="E90" s="4">
        <v>9</v>
      </c>
      <c r="F90" s="4">
        <v>2</v>
      </c>
      <c r="G90" s="4">
        <v>9</v>
      </c>
      <c r="H90" s="115"/>
      <c r="I90" s="115"/>
      <c r="J90" s="115"/>
      <c r="K90" s="115">
        <v>0</v>
      </c>
      <c r="L90" s="12">
        <f t="shared" si="12"/>
        <v>0</v>
      </c>
      <c r="M90" s="4">
        <f t="shared" si="13"/>
        <v>0</v>
      </c>
      <c r="N90" s="4">
        <f t="shared" si="14"/>
        <v>0</v>
      </c>
      <c r="O90" s="13">
        <f t="shared" si="15"/>
        <v>0</v>
      </c>
    </row>
    <row r="91" spans="2:15" ht="13.8" thickBot="1">
      <c r="B91" s="14">
        <v>1</v>
      </c>
      <c r="C91" s="15" t="s">
        <v>152</v>
      </c>
      <c r="D91" s="15" t="s">
        <v>154</v>
      </c>
      <c r="E91" s="15">
        <v>9</v>
      </c>
      <c r="F91" s="15">
        <v>2</v>
      </c>
      <c r="G91" s="15">
        <v>10</v>
      </c>
      <c r="H91" s="121"/>
      <c r="I91" s="121"/>
      <c r="J91" s="121"/>
      <c r="K91" s="121">
        <v>0</v>
      </c>
      <c r="L91" s="14">
        <f t="shared" si="12"/>
        <v>0</v>
      </c>
      <c r="M91" s="15">
        <f t="shared" si="13"/>
        <v>0</v>
      </c>
      <c r="N91" s="15">
        <f t="shared" si="14"/>
        <v>0</v>
      </c>
      <c r="O91" s="16">
        <f t="shared" si="15"/>
        <v>0</v>
      </c>
    </row>
    <row r="92" spans="2:15">
      <c r="B92" s="9">
        <v>1</v>
      </c>
      <c r="C92" s="10" t="s">
        <v>152</v>
      </c>
      <c r="D92" s="10" t="s">
        <v>149</v>
      </c>
      <c r="E92" s="93">
        <v>10</v>
      </c>
      <c r="F92" s="93">
        <v>6</v>
      </c>
      <c r="G92" s="10">
        <v>1</v>
      </c>
      <c r="H92" s="120">
        <v>4.0679999999999836</v>
      </c>
      <c r="I92" s="120">
        <v>1.1819999999999595</v>
      </c>
      <c r="J92" s="120">
        <v>0.19999999999998863</v>
      </c>
      <c r="K92" s="120">
        <v>5.4499999999999318</v>
      </c>
      <c r="L92" s="9">
        <f t="shared" si="12"/>
        <v>0.70483660621140232</v>
      </c>
      <c r="M92" s="10">
        <f t="shared" si="13"/>
        <v>0.33885474625231504</v>
      </c>
      <c r="N92" s="10">
        <f t="shared" si="14"/>
        <v>7.918124604762071E-2</v>
      </c>
      <c r="O92" s="11">
        <f t="shared" si="15"/>
        <v>0.80955971463526322</v>
      </c>
    </row>
    <row r="93" spans="2:15">
      <c r="B93" s="12">
        <v>1</v>
      </c>
      <c r="C93" s="4" t="s">
        <v>152</v>
      </c>
      <c r="D93" s="4" t="s">
        <v>149</v>
      </c>
      <c r="E93" s="4">
        <v>10</v>
      </c>
      <c r="F93" s="4">
        <v>6</v>
      </c>
      <c r="G93" s="4">
        <v>2</v>
      </c>
      <c r="H93" s="115"/>
      <c r="I93" s="115"/>
      <c r="J93" s="115">
        <v>0.15000000000003411</v>
      </c>
      <c r="K93" s="115">
        <v>0.15000000000003411</v>
      </c>
      <c r="L93" s="12">
        <f t="shared" si="12"/>
        <v>0</v>
      </c>
      <c r="M93" s="4">
        <f t="shared" si="13"/>
        <v>0</v>
      </c>
      <c r="N93" s="4">
        <f t="shared" si="14"/>
        <v>6.0697840353624563E-2</v>
      </c>
      <c r="O93" s="13">
        <f t="shared" si="15"/>
        <v>6.0697840353624563E-2</v>
      </c>
    </row>
    <row r="94" spans="2:15">
      <c r="B94" s="12">
        <v>1</v>
      </c>
      <c r="C94" s="4" t="s">
        <v>152</v>
      </c>
      <c r="D94" s="4" t="s">
        <v>149</v>
      </c>
      <c r="E94" s="4">
        <v>10</v>
      </c>
      <c r="F94" s="4">
        <v>6</v>
      </c>
      <c r="G94" s="4">
        <v>3</v>
      </c>
      <c r="H94" s="115"/>
      <c r="I94" s="115"/>
      <c r="J94" s="115"/>
      <c r="K94" s="115">
        <v>0</v>
      </c>
      <c r="L94" s="12">
        <f t="shared" si="12"/>
        <v>0</v>
      </c>
      <c r="M94" s="4">
        <f t="shared" si="13"/>
        <v>0</v>
      </c>
      <c r="N94" s="4">
        <f t="shared" si="14"/>
        <v>0</v>
      </c>
      <c r="O94" s="13">
        <f t="shared" si="15"/>
        <v>0</v>
      </c>
    </row>
    <row r="95" spans="2:15">
      <c r="B95" s="12">
        <v>1</v>
      </c>
      <c r="C95" s="4" t="s">
        <v>152</v>
      </c>
      <c r="D95" s="4" t="s">
        <v>149</v>
      </c>
      <c r="E95" s="4">
        <v>10</v>
      </c>
      <c r="F95" s="4">
        <v>6</v>
      </c>
      <c r="G95" s="4">
        <v>4</v>
      </c>
      <c r="H95" s="115"/>
      <c r="I95" s="115"/>
      <c r="J95" s="115"/>
      <c r="K95" s="115">
        <v>0</v>
      </c>
      <c r="L95" s="12">
        <f t="shared" si="12"/>
        <v>0</v>
      </c>
      <c r="M95" s="4">
        <f t="shared" si="13"/>
        <v>0</v>
      </c>
      <c r="N95" s="4">
        <f t="shared" si="14"/>
        <v>0</v>
      </c>
      <c r="O95" s="13">
        <f t="shared" si="15"/>
        <v>0</v>
      </c>
    </row>
    <row r="96" spans="2:15">
      <c r="B96" s="12">
        <v>1</v>
      </c>
      <c r="C96" s="4" t="s">
        <v>152</v>
      </c>
      <c r="D96" s="4" t="s">
        <v>149</v>
      </c>
      <c r="E96" s="4">
        <v>10</v>
      </c>
      <c r="F96" s="4">
        <v>6</v>
      </c>
      <c r="G96" s="4">
        <v>5</v>
      </c>
      <c r="H96" s="115"/>
      <c r="I96" s="115"/>
      <c r="J96" s="115"/>
      <c r="K96" s="115">
        <v>0</v>
      </c>
      <c r="L96" s="12">
        <f t="shared" si="12"/>
        <v>0</v>
      </c>
      <c r="M96" s="4">
        <f t="shared" si="13"/>
        <v>0</v>
      </c>
      <c r="N96" s="4">
        <f t="shared" si="14"/>
        <v>0</v>
      </c>
      <c r="O96" s="13">
        <f t="shared" si="15"/>
        <v>0</v>
      </c>
    </row>
    <row r="97" spans="2:15">
      <c r="B97" s="12">
        <v>1</v>
      </c>
      <c r="C97" s="4" t="s">
        <v>152</v>
      </c>
      <c r="D97" s="4" t="s">
        <v>149</v>
      </c>
      <c r="E97" s="4">
        <v>10</v>
      </c>
      <c r="F97" s="4">
        <v>6</v>
      </c>
      <c r="G97" s="4">
        <v>6</v>
      </c>
      <c r="H97" s="115"/>
      <c r="I97" s="115"/>
      <c r="J97" s="115"/>
      <c r="K97" s="115">
        <v>0</v>
      </c>
      <c r="L97" s="12">
        <f t="shared" si="12"/>
        <v>0</v>
      </c>
      <c r="M97" s="4">
        <f t="shared" si="13"/>
        <v>0</v>
      </c>
      <c r="N97" s="4">
        <f t="shared" si="14"/>
        <v>0</v>
      </c>
      <c r="O97" s="13">
        <f t="shared" si="15"/>
        <v>0</v>
      </c>
    </row>
    <row r="98" spans="2:15">
      <c r="B98" s="12">
        <v>1</v>
      </c>
      <c r="C98" s="4" t="s">
        <v>152</v>
      </c>
      <c r="D98" s="4" t="s">
        <v>149</v>
      </c>
      <c r="E98" s="4">
        <v>10</v>
      </c>
      <c r="F98" s="4">
        <v>6</v>
      </c>
      <c r="G98" s="4">
        <v>7</v>
      </c>
      <c r="H98" s="115"/>
      <c r="I98" s="115"/>
      <c r="J98" s="115"/>
      <c r="K98" s="115">
        <v>0</v>
      </c>
      <c r="L98" s="12">
        <f t="shared" si="12"/>
        <v>0</v>
      </c>
      <c r="M98" s="4">
        <f t="shared" si="13"/>
        <v>0</v>
      </c>
      <c r="N98" s="4">
        <f t="shared" si="14"/>
        <v>0</v>
      </c>
      <c r="O98" s="13">
        <f t="shared" si="15"/>
        <v>0</v>
      </c>
    </row>
    <row r="99" spans="2:15">
      <c r="B99" s="12">
        <v>1</v>
      </c>
      <c r="C99" s="4" t="s">
        <v>152</v>
      </c>
      <c r="D99" s="4" t="s">
        <v>149</v>
      </c>
      <c r="E99" s="4">
        <v>10</v>
      </c>
      <c r="F99" s="4">
        <v>6</v>
      </c>
      <c r="G99" s="4">
        <v>8</v>
      </c>
      <c r="H99" s="115"/>
      <c r="I99" s="115"/>
      <c r="J99" s="115"/>
      <c r="K99" s="115">
        <v>0</v>
      </c>
      <c r="L99" s="12">
        <f t="shared" si="12"/>
        <v>0</v>
      </c>
      <c r="M99" s="4">
        <f t="shared" si="13"/>
        <v>0</v>
      </c>
      <c r="N99" s="4">
        <f t="shared" si="14"/>
        <v>0</v>
      </c>
      <c r="O99" s="13">
        <f t="shared" si="15"/>
        <v>0</v>
      </c>
    </row>
    <row r="100" spans="2:15">
      <c r="B100" s="12">
        <v>1</v>
      </c>
      <c r="C100" s="4" t="s">
        <v>152</v>
      </c>
      <c r="D100" s="4" t="s">
        <v>149</v>
      </c>
      <c r="E100" s="4">
        <v>10</v>
      </c>
      <c r="F100" s="4">
        <v>6</v>
      </c>
      <c r="G100" s="4">
        <v>9</v>
      </c>
      <c r="H100" s="115"/>
      <c r="I100" s="115"/>
      <c r="J100" s="115"/>
      <c r="K100" s="115">
        <v>0</v>
      </c>
      <c r="L100" s="12">
        <f t="shared" si="12"/>
        <v>0</v>
      </c>
      <c r="M100" s="4">
        <f t="shared" si="13"/>
        <v>0</v>
      </c>
      <c r="N100" s="4">
        <f t="shared" si="14"/>
        <v>0</v>
      </c>
      <c r="O100" s="13">
        <f t="shared" si="15"/>
        <v>0</v>
      </c>
    </row>
    <row r="101" spans="2:15" ht="13.8" thickBot="1">
      <c r="B101" s="14">
        <v>1</v>
      </c>
      <c r="C101" s="15" t="s">
        <v>152</v>
      </c>
      <c r="D101" s="15" t="s">
        <v>149</v>
      </c>
      <c r="E101" s="15">
        <v>10</v>
      </c>
      <c r="F101" s="15">
        <v>6</v>
      </c>
      <c r="G101" s="15">
        <v>10</v>
      </c>
      <c r="H101" s="121"/>
      <c r="I101" s="121"/>
      <c r="J101" s="121"/>
      <c r="K101" s="121">
        <v>0</v>
      </c>
      <c r="L101" s="14">
        <f t="shared" si="12"/>
        <v>0</v>
      </c>
      <c r="M101" s="15">
        <f t="shared" si="13"/>
        <v>0</v>
      </c>
      <c r="N101" s="15">
        <f t="shared" si="14"/>
        <v>0</v>
      </c>
      <c r="O101" s="16">
        <f t="shared" si="15"/>
        <v>0</v>
      </c>
    </row>
    <row r="102" spans="2:15">
      <c r="B102" s="9">
        <v>1</v>
      </c>
      <c r="C102" s="10" t="s">
        <v>152</v>
      </c>
      <c r="D102" s="10" t="s">
        <v>150</v>
      </c>
      <c r="E102" s="93">
        <v>11</v>
      </c>
      <c r="F102" s="93">
        <v>12</v>
      </c>
      <c r="G102" s="10">
        <v>1</v>
      </c>
      <c r="H102" s="120">
        <v>2.3489999999999327</v>
      </c>
      <c r="I102" s="120"/>
      <c r="J102" s="120">
        <v>1.0500000000001819</v>
      </c>
      <c r="K102" s="120">
        <v>3.3990000000001146</v>
      </c>
      <c r="L102" s="9">
        <f t="shared" si="12"/>
        <v>0.52491514753985813</v>
      </c>
      <c r="M102" s="10">
        <f t="shared" si="13"/>
        <v>0</v>
      </c>
      <c r="N102" s="10">
        <f t="shared" si="14"/>
        <v>0.31175386105579284</v>
      </c>
      <c r="O102" s="11">
        <f t="shared" si="15"/>
        <v>0.64335396197687422</v>
      </c>
    </row>
    <row r="103" spans="2:15">
      <c r="B103" s="12">
        <v>1</v>
      </c>
      <c r="C103" s="4" t="s">
        <v>152</v>
      </c>
      <c r="D103" s="4" t="s">
        <v>150</v>
      </c>
      <c r="E103" s="4">
        <v>11</v>
      </c>
      <c r="F103" s="4">
        <v>12</v>
      </c>
      <c r="G103" s="4">
        <v>2</v>
      </c>
      <c r="H103" s="115"/>
      <c r="I103" s="115"/>
      <c r="J103" s="115"/>
      <c r="K103" s="115">
        <v>0</v>
      </c>
      <c r="L103" s="12">
        <f t="shared" ref="L103:L166" si="16">LOG10(H103+1)</f>
        <v>0</v>
      </c>
      <c r="M103" s="4">
        <f t="shared" ref="M103:M166" si="17">LOG10(I103+1)</f>
        <v>0</v>
      </c>
      <c r="N103" s="4">
        <f t="shared" ref="N103:N166" si="18">LOG10(J103+1)</f>
        <v>0</v>
      </c>
      <c r="O103" s="13">
        <f t="shared" ref="O103:O166" si="19">LOG10(K103+1)</f>
        <v>0</v>
      </c>
    </row>
    <row r="104" spans="2:15">
      <c r="B104" s="12">
        <v>1</v>
      </c>
      <c r="C104" s="4" t="s">
        <v>152</v>
      </c>
      <c r="D104" s="4" t="s">
        <v>150</v>
      </c>
      <c r="E104" s="4">
        <v>11</v>
      </c>
      <c r="F104" s="4">
        <v>12</v>
      </c>
      <c r="G104" s="4">
        <v>3</v>
      </c>
      <c r="H104" s="115"/>
      <c r="I104" s="115"/>
      <c r="J104" s="115"/>
      <c r="K104" s="115">
        <v>0</v>
      </c>
      <c r="L104" s="12">
        <f t="shared" si="16"/>
        <v>0</v>
      </c>
      <c r="M104" s="4">
        <f t="shared" si="17"/>
        <v>0</v>
      </c>
      <c r="N104" s="4">
        <f t="shared" si="18"/>
        <v>0</v>
      </c>
      <c r="O104" s="13">
        <f t="shared" si="19"/>
        <v>0</v>
      </c>
    </row>
    <row r="105" spans="2:15">
      <c r="B105" s="12">
        <v>1</v>
      </c>
      <c r="C105" s="4" t="s">
        <v>152</v>
      </c>
      <c r="D105" s="4" t="s">
        <v>150</v>
      </c>
      <c r="E105" s="4">
        <v>11</v>
      </c>
      <c r="F105" s="4">
        <v>12</v>
      </c>
      <c r="G105" s="4">
        <v>4</v>
      </c>
      <c r="H105" s="115"/>
      <c r="I105" s="115"/>
      <c r="J105" s="115"/>
      <c r="K105" s="115">
        <v>0</v>
      </c>
      <c r="L105" s="12">
        <f t="shared" si="16"/>
        <v>0</v>
      </c>
      <c r="M105" s="4">
        <f t="shared" si="17"/>
        <v>0</v>
      </c>
      <c r="N105" s="4">
        <f t="shared" si="18"/>
        <v>0</v>
      </c>
      <c r="O105" s="13">
        <f t="shared" si="19"/>
        <v>0</v>
      </c>
    </row>
    <row r="106" spans="2:15">
      <c r="B106" s="12">
        <v>1</v>
      </c>
      <c r="C106" s="4" t="s">
        <v>152</v>
      </c>
      <c r="D106" s="4" t="s">
        <v>150</v>
      </c>
      <c r="E106" s="4">
        <v>11</v>
      </c>
      <c r="F106" s="4">
        <v>12</v>
      </c>
      <c r="G106" s="4">
        <v>5</v>
      </c>
      <c r="H106" s="115"/>
      <c r="I106" s="115"/>
      <c r="J106" s="115"/>
      <c r="K106" s="115">
        <v>0</v>
      </c>
      <c r="L106" s="12">
        <f t="shared" si="16"/>
        <v>0</v>
      </c>
      <c r="M106" s="4">
        <f t="shared" si="17"/>
        <v>0</v>
      </c>
      <c r="N106" s="4">
        <f t="shared" si="18"/>
        <v>0</v>
      </c>
      <c r="O106" s="13">
        <f t="shared" si="19"/>
        <v>0</v>
      </c>
    </row>
    <row r="107" spans="2:15">
      <c r="B107" s="12">
        <v>1</v>
      </c>
      <c r="C107" s="4" t="s">
        <v>152</v>
      </c>
      <c r="D107" s="4" t="s">
        <v>150</v>
      </c>
      <c r="E107" s="4">
        <v>11</v>
      </c>
      <c r="F107" s="4">
        <v>12</v>
      </c>
      <c r="G107" s="4">
        <v>6</v>
      </c>
      <c r="H107" s="115"/>
      <c r="I107" s="115"/>
      <c r="J107" s="115"/>
      <c r="K107" s="115">
        <v>0</v>
      </c>
      <c r="L107" s="12">
        <f t="shared" si="16"/>
        <v>0</v>
      </c>
      <c r="M107" s="4">
        <f t="shared" si="17"/>
        <v>0</v>
      </c>
      <c r="N107" s="4">
        <f t="shared" si="18"/>
        <v>0</v>
      </c>
      <c r="O107" s="13">
        <f t="shared" si="19"/>
        <v>0</v>
      </c>
    </row>
    <row r="108" spans="2:15">
      <c r="B108" s="12">
        <v>1</v>
      </c>
      <c r="C108" s="4" t="s">
        <v>152</v>
      </c>
      <c r="D108" s="4" t="s">
        <v>150</v>
      </c>
      <c r="E108" s="4">
        <v>11</v>
      </c>
      <c r="F108" s="4">
        <v>12</v>
      </c>
      <c r="G108" s="4">
        <v>7</v>
      </c>
      <c r="H108" s="115"/>
      <c r="I108" s="115"/>
      <c r="J108" s="115"/>
      <c r="K108" s="115">
        <v>0</v>
      </c>
      <c r="L108" s="12">
        <f t="shared" si="16"/>
        <v>0</v>
      </c>
      <c r="M108" s="4">
        <f t="shared" si="17"/>
        <v>0</v>
      </c>
      <c r="N108" s="4">
        <f t="shared" si="18"/>
        <v>0</v>
      </c>
      <c r="O108" s="13">
        <f t="shared" si="19"/>
        <v>0</v>
      </c>
    </row>
    <row r="109" spans="2:15">
      <c r="B109" s="12">
        <v>1</v>
      </c>
      <c r="C109" s="4" t="s">
        <v>152</v>
      </c>
      <c r="D109" s="4" t="s">
        <v>150</v>
      </c>
      <c r="E109" s="4">
        <v>11</v>
      </c>
      <c r="F109" s="4">
        <v>12</v>
      </c>
      <c r="G109" s="4">
        <v>8</v>
      </c>
      <c r="H109" s="115"/>
      <c r="I109" s="115"/>
      <c r="J109" s="115"/>
      <c r="K109" s="115">
        <v>0</v>
      </c>
      <c r="L109" s="12">
        <f t="shared" si="16"/>
        <v>0</v>
      </c>
      <c r="M109" s="4">
        <f t="shared" si="17"/>
        <v>0</v>
      </c>
      <c r="N109" s="4">
        <f t="shared" si="18"/>
        <v>0</v>
      </c>
      <c r="O109" s="13">
        <f t="shared" si="19"/>
        <v>0</v>
      </c>
    </row>
    <row r="110" spans="2:15">
      <c r="B110" s="12">
        <v>1</v>
      </c>
      <c r="C110" s="4" t="s">
        <v>152</v>
      </c>
      <c r="D110" s="4" t="s">
        <v>150</v>
      </c>
      <c r="E110" s="4">
        <v>11</v>
      </c>
      <c r="F110" s="4">
        <v>12</v>
      </c>
      <c r="G110" s="4">
        <v>9</v>
      </c>
      <c r="H110" s="115"/>
      <c r="I110" s="115"/>
      <c r="J110" s="115"/>
      <c r="K110" s="115">
        <v>0</v>
      </c>
      <c r="L110" s="12">
        <f t="shared" si="16"/>
        <v>0</v>
      </c>
      <c r="M110" s="4">
        <f t="shared" si="17"/>
        <v>0</v>
      </c>
      <c r="N110" s="4">
        <f t="shared" si="18"/>
        <v>0</v>
      </c>
      <c r="O110" s="13">
        <f t="shared" si="19"/>
        <v>0</v>
      </c>
    </row>
    <row r="111" spans="2:15" ht="13.8" thickBot="1">
      <c r="B111" s="14">
        <v>1</v>
      </c>
      <c r="C111" s="15" t="s">
        <v>152</v>
      </c>
      <c r="D111" s="15" t="s">
        <v>150</v>
      </c>
      <c r="E111" s="15">
        <v>11</v>
      </c>
      <c r="F111" s="15">
        <v>12</v>
      </c>
      <c r="G111" s="15">
        <v>10</v>
      </c>
      <c r="H111" s="121"/>
      <c r="I111" s="121"/>
      <c r="J111" s="121"/>
      <c r="K111" s="121">
        <v>0</v>
      </c>
      <c r="L111" s="14">
        <f t="shared" si="16"/>
        <v>0</v>
      </c>
      <c r="M111" s="15">
        <f t="shared" si="17"/>
        <v>0</v>
      </c>
      <c r="N111" s="15">
        <f t="shared" si="18"/>
        <v>0</v>
      </c>
      <c r="O111" s="16">
        <f t="shared" si="19"/>
        <v>0</v>
      </c>
    </row>
    <row r="112" spans="2:15">
      <c r="B112" s="9">
        <v>1</v>
      </c>
      <c r="C112" s="10" t="s">
        <v>152</v>
      </c>
      <c r="D112" s="10" t="s">
        <v>149</v>
      </c>
      <c r="E112" s="93">
        <v>12</v>
      </c>
      <c r="F112" s="93">
        <v>8</v>
      </c>
      <c r="G112" s="10">
        <v>1</v>
      </c>
      <c r="H112" s="120"/>
      <c r="I112" s="120">
        <v>1.1490000000000578</v>
      </c>
      <c r="J112" s="120">
        <v>0.68400000000002592</v>
      </c>
      <c r="K112" s="120">
        <v>1.8330000000000837</v>
      </c>
      <c r="L112" s="9">
        <f t="shared" si="16"/>
        <v>0</v>
      </c>
      <c r="M112" s="10">
        <f t="shared" si="17"/>
        <v>0.33223641549145499</v>
      </c>
      <c r="N112" s="10">
        <f t="shared" si="18"/>
        <v>0.22634208716363738</v>
      </c>
      <c r="O112" s="11">
        <f t="shared" si="19"/>
        <v>0.45224657452045003</v>
      </c>
    </row>
    <row r="113" spans="2:15">
      <c r="B113" s="12">
        <v>1</v>
      </c>
      <c r="C113" s="4" t="s">
        <v>152</v>
      </c>
      <c r="D113" s="4" t="s">
        <v>149</v>
      </c>
      <c r="E113" s="4">
        <v>12</v>
      </c>
      <c r="F113" s="4">
        <v>8</v>
      </c>
      <c r="G113" s="4">
        <v>2</v>
      </c>
      <c r="H113" s="115">
        <v>0.6169999999999618</v>
      </c>
      <c r="I113" s="115"/>
      <c r="J113" s="115">
        <v>0.29999999999995453</v>
      </c>
      <c r="K113" s="115">
        <v>0.91699999999991633</v>
      </c>
      <c r="L113" s="12">
        <f t="shared" si="16"/>
        <v>0.20871001990639088</v>
      </c>
      <c r="M113" s="4">
        <f t="shared" si="17"/>
        <v>0</v>
      </c>
      <c r="N113" s="4">
        <f t="shared" si="18"/>
        <v>0.11394335230682158</v>
      </c>
      <c r="O113" s="13">
        <f t="shared" si="19"/>
        <v>0.28262211287804362</v>
      </c>
    </row>
    <row r="114" spans="2:15">
      <c r="B114" s="12">
        <v>1</v>
      </c>
      <c r="C114" s="4" t="s">
        <v>152</v>
      </c>
      <c r="D114" s="4" t="s">
        <v>149</v>
      </c>
      <c r="E114" s="4">
        <v>12</v>
      </c>
      <c r="F114" s="4">
        <v>8</v>
      </c>
      <c r="G114" s="4">
        <v>3</v>
      </c>
      <c r="H114" s="115">
        <v>0.46600000000000819</v>
      </c>
      <c r="I114" s="115"/>
      <c r="J114" s="115"/>
      <c r="K114" s="115">
        <v>0.46600000000000819</v>
      </c>
      <c r="L114" s="12">
        <f t="shared" si="16"/>
        <v>0.16613397030511157</v>
      </c>
      <c r="M114" s="4">
        <f t="shared" si="17"/>
        <v>0</v>
      </c>
      <c r="N114" s="4">
        <f t="shared" si="18"/>
        <v>0</v>
      </c>
      <c r="O114" s="13">
        <f t="shared" si="19"/>
        <v>0.16613397030511157</v>
      </c>
    </row>
    <row r="115" spans="2:15">
      <c r="B115" s="12">
        <v>1</v>
      </c>
      <c r="C115" s="4" t="s">
        <v>152</v>
      </c>
      <c r="D115" s="4" t="s">
        <v>149</v>
      </c>
      <c r="E115" s="4">
        <v>12</v>
      </c>
      <c r="F115" s="4">
        <v>8</v>
      </c>
      <c r="G115" s="4">
        <v>4</v>
      </c>
      <c r="H115" s="115"/>
      <c r="I115" s="115"/>
      <c r="J115" s="115"/>
      <c r="K115" s="115">
        <v>0</v>
      </c>
      <c r="L115" s="12">
        <f t="shared" si="16"/>
        <v>0</v>
      </c>
      <c r="M115" s="4">
        <f t="shared" si="17"/>
        <v>0</v>
      </c>
      <c r="N115" s="4">
        <f t="shared" si="18"/>
        <v>0</v>
      </c>
      <c r="O115" s="13">
        <f t="shared" si="19"/>
        <v>0</v>
      </c>
    </row>
    <row r="116" spans="2:15">
      <c r="B116" s="12">
        <v>1</v>
      </c>
      <c r="C116" s="4" t="s">
        <v>152</v>
      </c>
      <c r="D116" s="4" t="s">
        <v>149</v>
      </c>
      <c r="E116" s="4">
        <v>12</v>
      </c>
      <c r="F116" s="4">
        <v>8</v>
      </c>
      <c r="G116" s="4">
        <v>5</v>
      </c>
      <c r="H116" s="115"/>
      <c r="I116" s="115"/>
      <c r="J116" s="115"/>
      <c r="K116" s="115">
        <v>0</v>
      </c>
      <c r="L116" s="12">
        <f t="shared" si="16"/>
        <v>0</v>
      </c>
      <c r="M116" s="4">
        <f t="shared" si="17"/>
        <v>0</v>
      </c>
      <c r="N116" s="4">
        <f t="shared" si="18"/>
        <v>0</v>
      </c>
      <c r="O116" s="13">
        <f t="shared" si="19"/>
        <v>0</v>
      </c>
    </row>
    <row r="117" spans="2:15">
      <c r="B117" s="12">
        <v>1</v>
      </c>
      <c r="C117" s="4" t="s">
        <v>152</v>
      </c>
      <c r="D117" s="4" t="s">
        <v>149</v>
      </c>
      <c r="E117" s="4">
        <v>12</v>
      </c>
      <c r="F117" s="4">
        <v>8</v>
      </c>
      <c r="G117" s="4">
        <v>6</v>
      </c>
      <c r="H117" s="115"/>
      <c r="I117" s="115"/>
      <c r="J117" s="115"/>
      <c r="K117" s="115">
        <v>0</v>
      </c>
      <c r="L117" s="12">
        <f t="shared" si="16"/>
        <v>0</v>
      </c>
      <c r="M117" s="4">
        <f t="shared" si="17"/>
        <v>0</v>
      </c>
      <c r="N117" s="4">
        <f t="shared" si="18"/>
        <v>0</v>
      </c>
      <c r="O117" s="13">
        <f t="shared" si="19"/>
        <v>0</v>
      </c>
    </row>
    <row r="118" spans="2:15">
      <c r="B118" s="12">
        <v>1</v>
      </c>
      <c r="C118" s="4" t="s">
        <v>152</v>
      </c>
      <c r="D118" s="4" t="s">
        <v>149</v>
      </c>
      <c r="E118" s="4">
        <v>12</v>
      </c>
      <c r="F118" s="4">
        <v>8</v>
      </c>
      <c r="G118" s="4">
        <v>7</v>
      </c>
      <c r="H118" s="115"/>
      <c r="I118" s="115"/>
      <c r="J118" s="115"/>
      <c r="K118" s="115">
        <v>0</v>
      </c>
      <c r="L118" s="12">
        <f t="shared" si="16"/>
        <v>0</v>
      </c>
      <c r="M118" s="4">
        <f t="shared" si="17"/>
        <v>0</v>
      </c>
      <c r="N118" s="4">
        <f t="shared" si="18"/>
        <v>0</v>
      </c>
      <c r="O118" s="13">
        <f t="shared" si="19"/>
        <v>0</v>
      </c>
    </row>
    <row r="119" spans="2:15">
      <c r="B119" s="12">
        <v>1</v>
      </c>
      <c r="C119" s="4" t="s">
        <v>152</v>
      </c>
      <c r="D119" s="4" t="s">
        <v>149</v>
      </c>
      <c r="E119" s="4">
        <v>12</v>
      </c>
      <c r="F119" s="4">
        <v>8</v>
      </c>
      <c r="G119" s="4">
        <v>8</v>
      </c>
      <c r="H119" s="115"/>
      <c r="I119" s="115"/>
      <c r="J119" s="115"/>
      <c r="K119" s="115">
        <v>0</v>
      </c>
      <c r="L119" s="12">
        <f t="shared" si="16"/>
        <v>0</v>
      </c>
      <c r="M119" s="4">
        <f t="shared" si="17"/>
        <v>0</v>
      </c>
      <c r="N119" s="4">
        <f t="shared" si="18"/>
        <v>0</v>
      </c>
      <c r="O119" s="13">
        <f t="shared" si="19"/>
        <v>0</v>
      </c>
    </row>
    <row r="120" spans="2:15">
      <c r="B120" s="12">
        <v>1</v>
      </c>
      <c r="C120" s="4" t="s">
        <v>152</v>
      </c>
      <c r="D120" s="4" t="s">
        <v>149</v>
      </c>
      <c r="E120" s="4">
        <v>12</v>
      </c>
      <c r="F120" s="4">
        <v>8</v>
      </c>
      <c r="G120" s="4">
        <v>9</v>
      </c>
      <c r="H120" s="115"/>
      <c r="I120" s="115"/>
      <c r="J120" s="115"/>
      <c r="K120" s="115">
        <v>0</v>
      </c>
      <c r="L120" s="12">
        <f t="shared" si="16"/>
        <v>0</v>
      </c>
      <c r="M120" s="4">
        <f t="shared" si="17"/>
        <v>0</v>
      </c>
      <c r="N120" s="4">
        <f t="shared" si="18"/>
        <v>0</v>
      </c>
      <c r="O120" s="13">
        <f t="shared" si="19"/>
        <v>0</v>
      </c>
    </row>
    <row r="121" spans="2:15" ht="13.8" thickBot="1">
      <c r="B121" s="14">
        <v>1</v>
      </c>
      <c r="C121" s="15" t="s">
        <v>152</v>
      </c>
      <c r="D121" s="15" t="s">
        <v>149</v>
      </c>
      <c r="E121" s="15">
        <v>12</v>
      </c>
      <c r="F121" s="15">
        <v>8</v>
      </c>
      <c r="G121" s="15">
        <v>10</v>
      </c>
      <c r="H121" s="121"/>
      <c r="I121" s="121"/>
      <c r="J121" s="121"/>
      <c r="K121" s="121">
        <v>0</v>
      </c>
      <c r="L121" s="14">
        <f t="shared" si="16"/>
        <v>0</v>
      </c>
      <c r="M121" s="15">
        <f t="shared" si="17"/>
        <v>0</v>
      </c>
      <c r="N121" s="15">
        <f t="shared" si="18"/>
        <v>0</v>
      </c>
      <c r="O121" s="16">
        <f t="shared" si="19"/>
        <v>0</v>
      </c>
    </row>
    <row r="122" spans="2:15">
      <c r="B122" s="9">
        <v>2</v>
      </c>
      <c r="C122" s="10" t="s">
        <v>151</v>
      </c>
      <c r="D122" s="10" t="s">
        <v>150</v>
      </c>
      <c r="E122" s="93">
        <v>1</v>
      </c>
      <c r="F122" s="93">
        <v>5</v>
      </c>
      <c r="G122" s="10">
        <v>1</v>
      </c>
      <c r="H122" s="120"/>
      <c r="I122" s="120"/>
      <c r="J122" s="120">
        <v>7.4980000000000473</v>
      </c>
      <c r="K122" s="120">
        <v>7.4980000000000473</v>
      </c>
      <c r="L122" s="9">
        <f t="shared" si="16"/>
        <v>0</v>
      </c>
      <c r="M122" s="10">
        <f t="shared" si="17"/>
        <v>0</v>
      </c>
      <c r="N122" s="10">
        <f t="shared" si="18"/>
        <v>0.92931672675349808</v>
      </c>
      <c r="O122" s="11">
        <f t="shared" si="19"/>
        <v>0.92931672675349808</v>
      </c>
    </row>
    <row r="123" spans="2:15">
      <c r="B123" s="12">
        <v>2</v>
      </c>
      <c r="C123" s="4" t="s">
        <v>151</v>
      </c>
      <c r="D123" s="4" t="s">
        <v>150</v>
      </c>
      <c r="E123" s="4">
        <v>1</v>
      </c>
      <c r="F123" s="4">
        <v>5</v>
      </c>
      <c r="G123" s="4">
        <v>2</v>
      </c>
      <c r="H123" s="115">
        <v>0.56599999999997408</v>
      </c>
      <c r="I123" s="115">
        <v>0.882000000000005</v>
      </c>
      <c r="J123" s="115">
        <v>0.28300000000001546</v>
      </c>
      <c r="K123" s="115">
        <v>1.7309999999999945</v>
      </c>
      <c r="L123" s="12">
        <f t="shared" si="16"/>
        <v>0.1947917577219174</v>
      </c>
      <c r="M123" s="4">
        <f t="shared" si="17"/>
        <v>0.27461961909123928</v>
      </c>
      <c r="N123" s="4">
        <f t="shared" si="18"/>
        <v>0.10822665637493374</v>
      </c>
      <c r="O123" s="13">
        <f t="shared" si="19"/>
        <v>0.43632170013973243</v>
      </c>
    </row>
    <row r="124" spans="2:15">
      <c r="B124" s="12">
        <v>2</v>
      </c>
      <c r="C124" s="4" t="s">
        <v>151</v>
      </c>
      <c r="D124" s="4" t="s">
        <v>150</v>
      </c>
      <c r="E124" s="4">
        <v>1</v>
      </c>
      <c r="F124" s="4">
        <v>5</v>
      </c>
      <c r="G124" s="4">
        <v>3</v>
      </c>
      <c r="H124" s="115"/>
      <c r="I124" s="115"/>
      <c r="J124" s="115"/>
      <c r="K124" s="115">
        <v>0</v>
      </c>
      <c r="L124" s="12">
        <f t="shared" si="16"/>
        <v>0</v>
      </c>
      <c r="M124" s="4">
        <f t="shared" si="17"/>
        <v>0</v>
      </c>
      <c r="N124" s="4">
        <f t="shared" si="18"/>
        <v>0</v>
      </c>
      <c r="O124" s="13">
        <f t="shared" si="19"/>
        <v>0</v>
      </c>
    </row>
    <row r="125" spans="2:15">
      <c r="B125" s="12">
        <v>2</v>
      </c>
      <c r="C125" s="4" t="s">
        <v>151</v>
      </c>
      <c r="D125" s="4" t="s">
        <v>150</v>
      </c>
      <c r="E125" s="4">
        <v>1</v>
      </c>
      <c r="F125" s="4">
        <v>5</v>
      </c>
      <c r="G125" s="4">
        <v>4</v>
      </c>
      <c r="H125" s="115"/>
      <c r="I125" s="115"/>
      <c r="J125" s="115"/>
      <c r="K125" s="115">
        <v>0</v>
      </c>
      <c r="L125" s="12">
        <f t="shared" si="16"/>
        <v>0</v>
      </c>
      <c r="M125" s="4">
        <f t="shared" si="17"/>
        <v>0</v>
      </c>
      <c r="N125" s="4">
        <f t="shared" si="18"/>
        <v>0</v>
      </c>
      <c r="O125" s="13">
        <f t="shared" si="19"/>
        <v>0</v>
      </c>
    </row>
    <row r="126" spans="2:15">
      <c r="B126" s="12">
        <v>2</v>
      </c>
      <c r="C126" s="4" t="s">
        <v>151</v>
      </c>
      <c r="D126" s="4" t="s">
        <v>150</v>
      </c>
      <c r="E126" s="4">
        <v>1</v>
      </c>
      <c r="F126" s="4">
        <v>5</v>
      </c>
      <c r="G126" s="4">
        <v>5</v>
      </c>
      <c r="H126" s="115"/>
      <c r="I126" s="115"/>
      <c r="J126" s="115"/>
      <c r="K126" s="115">
        <v>0</v>
      </c>
      <c r="L126" s="12">
        <f t="shared" si="16"/>
        <v>0</v>
      </c>
      <c r="M126" s="4">
        <f t="shared" si="17"/>
        <v>0</v>
      </c>
      <c r="N126" s="4">
        <f t="shared" si="18"/>
        <v>0</v>
      </c>
      <c r="O126" s="13">
        <f t="shared" si="19"/>
        <v>0</v>
      </c>
    </row>
    <row r="127" spans="2:15">
      <c r="B127" s="12">
        <v>2</v>
      </c>
      <c r="C127" s="4" t="s">
        <v>151</v>
      </c>
      <c r="D127" s="4" t="s">
        <v>150</v>
      </c>
      <c r="E127" s="4">
        <v>1</v>
      </c>
      <c r="F127" s="4">
        <v>5</v>
      </c>
      <c r="G127" s="4">
        <v>6</v>
      </c>
      <c r="H127" s="115"/>
      <c r="I127" s="115"/>
      <c r="J127" s="115"/>
      <c r="K127" s="115">
        <v>0</v>
      </c>
      <c r="L127" s="12">
        <f t="shared" si="16"/>
        <v>0</v>
      </c>
      <c r="M127" s="4">
        <f t="shared" si="17"/>
        <v>0</v>
      </c>
      <c r="N127" s="4">
        <f t="shared" si="18"/>
        <v>0</v>
      </c>
      <c r="O127" s="13">
        <f t="shared" si="19"/>
        <v>0</v>
      </c>
    </row>
    <row r="128" spans="2:15">
      <c r="B128" s="12">
        <v>2</v>
      </c>
      <c r="C128" s="4" t="s">
        <v>151</v>
      </c>
      <c r="D128" s="4" t="s">
        <v>150</v>
      </c>
      <c r="E128" s="4">
        <v>1</v>
      </c>
      <c r="F128" s="4">
        <v>5</v>
      </c>
      <c r="G128" s="4">
        <v>7</v>
      </c>
      <c r="H128" s="115"/>
      <c r="I128" s="115"/>
      <c r="J128" s="115"/>
      <c r="K128" s="115">
        <v>0</v>
      </c>
      <c r="L128" s="12">
        <f t="shared" si="16"/>
        <v>0</v>
      </c>
      <c r="M128" s="4">
        <f t="shared" si="17"/>
        <v>0</v>
      </c>
      <c r="N128" s="4">
        <f t="shared" si="18"/>
        <v>0</v>
      </c>
      <c r="O128" s="13">
        <f t="shared" si="19"/>
        <v>0</v>
      </c>
    </row>
    <row r="129" spans="2:15">
      <c r="B129" s="12">
        <v>2</v>
      </c>
      <c r="C129" s="4" t="s">
        <v>151</v>
      </c>
      <c r="D129" s="4" t="s">
        <v>150</v>
      </c>
      <c r="E129" s="4">
        <v>1</v>
      </c>
      <c r="F129" s="4">
        <v>5</v>
      </c>
      <c r="G129" s="4">
        <v>8</v>
      </c>
      <c r="H129" s="115"/>
      <c r="I129" s="115"/>
      <c r="J129" s="115"/>
      <c r="K129" s="115">
        <v>0</v>
      </c>
      <c r="L129" s="12">
        <f t="shared" si="16"/>
        <v>0</v>
      </c>
      <c r="M129" s="4">
        <f t="shared" si="17"/>
        <v>0</v>
      </c>
      <c r="N129" s="4">
        <f t="shared" si="18"/>
        <v>0</v>
      </c>
      <c r="O129" s="13">
        <f t="shared" si="19"/>
        <v>0</v>
      </c>
    </row>
    <row r="130" spans="2:15">
      <c r="B130" s="12">
        <v>2</v>
      </c>
      <c r="C130" s="4" t="s">
        <v>151</v>
      </c>
      <c r="D130" s="4" t="s">
        <v>150</v>
      </c>
      <c r="E130" s="4">
        <v>1</v>
      </c>
      <c r="F130" s="4">
        <v>5</v>
      </c>
      <c r="G130" s="4">
        <v>9</v>
      </c>
      <c r="H130" s="115"/>
      <c r="I130" s="115"/>
      <c r="J130" s="115"/>
      <c r="K130" s="115">
        <v>0</v>
      </c>
      <c r="L130" s="12">
        <f t="shared" si="16"/>
        <v>0</v>
      </c>
      <c r="M130" s="4">
        <f t="shared" si="17"/>
        <v>0</v>
      </c>
      <c r="N130" s="4">
        <f t="shared" si="18"/>
        <v>0</v>
      </c>
      <c r="O130" s="13">
        <f t="shared" si="19"/>
        <v>0</v>
      </c>
    </row>
    <row r="131" spans="2:15" ht="13.8" thickBot="1">
      <c r="B131" s="14">
        <v>2</v>
      </c>
      <c r="C131" s="15" t="s">
        <v>151</v>
      </c>
      <c r="D131" s="15" t="s">
        <v>150</v>
      </c>
      <c r="E131" s="15">
        <v>1</v>
      </c>
      <c r="F131" s="15">
        <v>5</v>
      </c>
      <c r="G131" s="15">
        <v>10</v>
      </c>
      <c r="H131" s="121"/>
      <c r="I131" s="121"/>
      <c r="J131" s="121"/>
      <c r="K131" s="121">
        <v>0</v>
      </c>
      <c r="L131" s="14">
        <f t="shared" si="16"/>
        <v>0</v>
      </c>
      <c r="M131" s="15">
        <f t="shared" si="17"/>
        <v>0</v>
      </c>
      <c r="N131" s="15">
        <f t="shared" si="18"/>
        <v>0</v>
      </c>
      <c r="O131" s="16">
        <f t="shared" si="19"/>
        <v>0</v>
      </c>
    </row>
    <row r="132" spans="2:15">
      <c r="B132" s="9">
        <v>2</v>
      </c>
      <c r="C132" s="10" t="s">
        <v>151</v>
      </c>
      <c r="D132" s="10" t="s">
        <v>150</v>
      </c>
      <c r="E132" s="93">
        <v>2</v>
      </c>
      <c r="F132" s="93">
        <v>7</v>
      </c>
      <c r="G132" s="10">
        <v>1</v>
      </c>
      <c r="H132" s="120">
        <v>0.15899999999999181</v>
      </c>
      <c r="I132" s="120">
        <v>0.33300000000002683</v>
      </c>
      <c r="J132" s="120">
        <v>2.6830000000000496</v>
      </c>
      <c r="K132" s="120">
        <v>3.1750000000000682</v>
      </c>
      <c r="L132" s="9">
        <f t="shared" si="16"/>
        <v>6.4083435963592922E-2</v>
      </c>
      <c r="M132" s="10">
        <f t="shared" si="17"/>
        <v>0.12483014941386794</v>
      </c>
      <c r="N132" s="10">
        <f t="shared" si="18"/>
        <v>0.56620171885491877</v>
      </c>
      <c r="O132" s="11">
        <f t="shared" si="19"/>
        <v>0.62065647981962802</v>
      </c>
    </row>
    <row r="133" spans="2:15">
      <c r="B133" s="12">
        <v>2</v>
      </c>
      <c r="C133" s="4" t="s">
        <v>151</v>
      </c>
      <c r="D133" s="4" t="s">
        <v>150</v>
      </c>
      <c r="E133" s="4">
        <v>2</v>
      </c>
      <c r="F133" s="4">
        <v>7</v>
      </c>
      <c r="G133" s="4">
        <v>2</v>
      </c>
      <c r="H133" s="115">
        <v>0.25099999999997635</v>
      </c>
      <c r="I133" s="115">
        <v>0.61700000000007549</v>
      </c>
      <c r="J133" s="115">
        <v>1.6669999999999163</v>
      </c>
      <c r="K133" s="115">
        <v>2.5349999999999682</v>
      </c>
      <c r="L133" s="12">
        <f t="shared" si="16"/>
        <v>9.7257309693411745E-2</v>
      </c>
      <c r="M133" s="4">
        <f t="shared" si="17"/>
        <v>0.20871001990642141</v>
      </c>
      <c r="N133" s="4">
        <f t="shared" si="18"/>
        <v>0.42602301568986251</v>
      </c>
      <c r="O133" s="13">
        <f t="shared" si="19"/>
        <v>0.54838941813291431</v>
      </c>
    </row>
    <row r="134" spans="2:15">
      <c r="B134" s="12">
        <v>2</v>
      </c>
      <c r="C134" s="4" t="s">
        <v>151</v>
      </c>
      <c r="D134" s="4" t="s">
        <v>150</v>
      </c>
      <c r="E134" s="4">
        <v>2</v>
      </c>
      <c r="F134" s="4">
        <v>7</v>
      </c>
      <c r="G134" s="4">
        <v>3</v>
      </c>
      <c r="H134" s="115"/>
      <c r="I134" s="115"/>
      <c r="J134" s="115"/>
      <c r="K134" s="115">
        <v>0</v>
      </c>
      <c r="L134" s="12">
        <f t="shared" si="16"/>
        <v>0</v>
      </c>
      <c r="M134" s="4">
        <f t="shared" si="17"/>
        <v>0</v>
      </c>
      <c r="N134" s="4">
        <f t="shared" si="18"/>
        <v>0</v>
      </c>
      <c r="O134" s="13">
        <f t="shared" si="19"/>
        <v>0</v>
      </c>
    </row>
    <row r="135" spans="2:15">
      <c r="B135" s="12">
        <v>2</v>
      </c>
      <c r="C135" s="4" t="s">
        <v>151</v>
      </c>
      <c r="D135" s="4" t="s">
        <v>150</v>
      </c>
      <c r="E135" s="4">
        <v>2</v>
      </c>
      <c r="F135" s="4">
        <v>7</v>
      </c>
      <c r="G135" s="4">
        <v>4</v>
      </c>
      <c r="H135" s="115"/>
      <c r="I135" s="115"/>
      <c r="J135" s="115"/>
      <c r="K135" s="115">
        <v>0</v>
      </c>
      <c r="L135" s="12">
        <f t="shared" si="16"/>
        <v>0</v>
      </c>
      <c r="M135" s="4">
        <f t="shared" si="17"/>
        <v>0</v>
      </c>
      <c r="N135" s="4">
        <f t="shared" si="18"/>
        <v>0</v>
      </c>
      <c r="O135" s="13">
        <f t="shared" si="19"/>
        <v>0</v>
      </c>
    </row>
    <row r="136" spans="2:15">
      <c r="B136" s="12">
        <v>2</v>
      </c>
      <c r="C136" s="4" t="s">
        <v>151</v>
      </c>
      <c r="D136" s="4" t="s">
        <v>150</v>
      </c>
      <c r="E136" s="4">
        <v>2</v>
      </c>
      <c r="F136" s="4">
        <v>7</v>
      </c>
      <c r="G136" s="4">
        <v>5</v>
      </c>
      <c r="H136" s="115"/>
      <c r="I136" s="115"/>
      <c r="J136" s="115"/>
      <c r="K136" s="115">
        <v>0</v>
      </c>
      <c r="L136" s="12">
        <f t="shared" si="16"/>
        <v>0</v>
      </c>
      <c r="M136" s="4">
        <f t="shared" si="17"/>
        <v>0</v>
      </c>
      <c r="N136" s="4">
        <f t="shared" si="18"/>
        <v>0</v>
      </c>
      <c r="O136" s="13">
        <f t="shared" si="19"/>
        <v>0</v>
      </c>
    </row>
    <row r="137" spans="2:15">
      <c r="B137" s="12">
        <v>2</v>
      </c>
      <c r="C137" s="4" t="s">
        <v>151</v>
      </c>
      <c r="D137" s="4" t="s">
        <v>150</v>
      </c>
      <c r="E137" s="4">
        <v>2</v>
      </c>
      <c r="F137" s="4">
        <v>7</v>
      </c>
      <c r="G137" s="4">
        <v>6</v>
      </c>
      <c r="H137" s="115"/>
      <c r="I137" s="115"/>
      <c r="J137" s="115"/>
      <c r="K137" s="115">
        <v>0</v>
      </c>
      <c r="L137" s="12">
        <f t="shared" si="16"/>
        <v>0</v>
      </c>
      <c r="M137" s="4">
        <f t="shared" si="17"/>
        <v>0</v>
      </c>
      <c r="N137" s="4">
        <f t="shared" si="18"/>
        <v>0</v>
      </c>
      <c r="O137" s="13">
        <f t="shared" si="19"/>
        <v>0</v>
      </c>
    </row>
    <row r="138" spans="2:15">
      <c r="B138" s="12">
        <v>2</v>
      </c>
      <c r="C138" s="4" t="s">
        <v>151</v>
      </c>
      <c r="D138" s="4" t="s">
        <v>150</v>
      </c>
      <c r="E138" s="4">
        <v>2</v>
      </c>
      <c r="F138" s="4">
        <v>7</v>
      </c>
      <c r="G138" s="4">
        <v>7</v>
      </c>
      <c r="H138" s="115"/>
      <c r="I138" s="115"/>
      <c r="J138" s="115"/>
      <c r="K138" s="115">
        <v>0</v>
      </c>
      <c r="L138" s="12">
        <f t="shared" si="16"/>
        <v>0</v>
      </c>
      <c r="M138" s="4">
        <f t="shared" si="17"/>
        <v>0</v>
      </c>
      <c r="N138" s="4">
        <f t="shared" si="18"/>
        <v>0</v>
      </c>
      <c r="O138" s="13">
        <f t="shared" si="19"/>
        <v>0</v>
      </c>
    </row>
    <row r="139" spans="2:15">
      <c r="B139" s="12">
        <v>2</v>
      </c>
      <c r="C139" s="4" t="s">
        <v>151</v>
      </c>
      <c r="D139" s="4" t="s">
        <v>150</v>
      </c>
      <c r="E139" s="4">
        <v>2</v>
      </c>
      <c r="F139" s="4">
        <v>7</v>
      </c>
      <c r="G139" s="4">
        <v>8</v>
      </c>
      <c r="H139" s="115"/>
      <c r="I139" s="115"/>
      <c r="J139" s="115"/>
      <c r="K139" s="115">
        <v>0</v>
      </c>
      <c r="L139" s="12">
        <f t="shared" si="16"/>
        <v>0</v>
      </c>
      <c r="M139" s="4">
        <f t="shared" si="17"/>
        <v>0</v>
      </c>
      <c r="N139" s="4">
        <f t="shared" si="18"/>
        <v>0</v>
      </c>
      <c r="O139" s="13">
        <f t="shared" si="19"/>
        <v>0</v>
      </c>
    </row>
    <row r="140" spans="2:15">
      <c r="B140" s="12">
        <v>2</v>
      </c>
      <c r="C140" s="4" t="s">
        <v>151</v>
      </c>
      <c r="D140" s="4" t="s">
        <v>150</v>
      </c>
      <c r="E140" s="4">
        <v>2</v>
      </c>
      <c r="F140" s="4">
        <v>7</v>
      </c>
      <c r="G140" s="4">
        <v>9</v>
      </c>
      <c r="H140" s="115"/>
      <c r="I140" s="115"/>
      <c r="J140" s="115"/>
      <c r="K140" s="115">
        <v>0</v>
      </c>
      <c r="L140" s="12">
        <f t="shared" si="16"/>
        <v>0</v>
      </c>
      <c r="M140" s="4">
        <f t="shared" si="17"/>
        <v>0</v>
      </c>
      <c r="N140" s="4">
        <f t="shared" si="18"/>
        <v>0</v>
      </c>
      <c r="O140" s="13">
        <f t="shared" si="19"/>
        <v>0</v>
      </c>
    </row>
    <row r="141" spans="2:15" ht="13.8" thickBot="1">
      <c r="B141" s="14">
        <v>2</v>
      </c>
      <c r="C141" s="15" t="s">
        <v>151</v>
      </c>
      <c r="D141" s="15" t="s">
        <v>150</v>
      </c>
      <c r="E141" s="15">
        <v>2</v>
      </c>
      <c r="F141" s="15">
        <v>7</v>
      </c>
      <c r="G141" s="15">
        <v>10</v>
      </c>
      <c r="H141" s="121"/>
      <c r="I141" s="121"/>
      <c r="J141" s="121"/>
      <c r="K141" s="121">
        <v>0</v>
      </c>
      <c r="L141" s="14">
        <f t="shared" si="16"/>
        <v>0</v>
      </c>
      <c r="M141" s="15">
        <f t="shared" si="17"/>
        <v>0</v>
      </c>
      <c r="N141" s="15">
        <f t="shared" si="18"/>
        <v>0</v>
      </c>
      <c r="O141" s="16">
        <f t="shared" si="19"/>
        <v>0</v>
      </c>
    </row>
    <row r="142" spans="2:15">
      <c r="B142" s="9">
        <v>2</v>
      </c>
      <c r="C142" s="10" t="s">
        <v>151</v>
      </c>
      <c r="D142" s="10" t="s">
        <v>149</v>
      </c>
      <c r="E142" s="93">
        <v>3</v>
      </c>
      <c r="F142" s="93">
        <v>9</v>
      </c>
      <c r="G142" s="10">
        <v>1</v>
      </c>
      <c r="H142" s="120"/>
      <c r="I142" s="120">
        <v>0.48300000000000409</v>
      </c>
      <c r="J142" s="120">
        <v>0.7660000000000764</v>
      </c>
      <c r="K142" s="120">
        <v>1.2490000000000805</v>
      </c>
      <c r="L142" s="9">
        <f t="shared" si="16"/>
        <v>0</v>
      </c>
      <c r="M142" s="10">
        <f t="shared" si="17"/>
        <v>0.17114115102838323</v>
      </c>
      <c r="N142" s="10">
        <f t="shared" si="18"/>
        <v>0.24699069924156858</v>
      </c>
      <c r="O142" s="11">
        <f t="shared" si="19"/>
        <v>0.35198945543564775</v>
      </c>
    </row>
    <row r="143" spans="2:15">
      <c r="B143" s="12">
        <v>2</v>
      </c>
      <c r="C143" s="4" t="s">
        <v>151</v>
      </c>
      <c r="D143" s="4" t="s">
        <v>149</v>
      </c>
      <c r="E143" s="4">
        <v>3</v>
      </c>
      <c r="F143" s="4">
        <v>9</v>
      </c>
      <c r="G143" s="4">
        <v>2</v>
      </c>
      <c r="H143" s="115">
        <v>0.89799999999996771</v>
      </c>
      <c r="I143" s="115"/>
      <c r="J143" s="115">
        <v>1.714999999999975</v>
      </c>
      <c r="K143" s="115">
        <v>2.6129999999999427</v>
      </c>
      <c r="L143" s="12">
        <f t="shared" si="16"/>
        <v>0.27829620809126648</v>
      </c>
      <c r="M143" s="4">
        <f t="shared" si="17"/>
        <v>0</v>
      </c>
      <c r="N143" s="4">
        <f t="shared" si="18"/>
        <v>0.43376983392486174</v>
      </c>
      <c r="O143" s="13">
        <f t="shared" si="19"/>
        <v>0.55786796156801532</v>
      </c>
    </row>
    <row r="144" spans="2:15">
      <c r="B144" s="12">
        <v>2</v>
      </c>
      <c r="C144" s="4" t="s">
        <v>151</v>
      </c>
      <c r="D144" s="4" t="s">
        <v>149</v>
      </c>
      <c r="E144" s="4">
        <v>3</v>
      </c>
      <c r="F144" s="4">
        <v>9</v>
      </c>
      <c r="G144" s="4">
        <v>3</v>
      </c>
      <c r="H144" s="115"/>
      <c r="I144" s="115">
        <v>0.20000000000004547</v>
      </c>
      <c r="J144" s="115">
        <v>1.3849999999999341</v>
      </c>
      <c r="K144" s="115">
        <v>1.5849999999999795</v>
      </c>
      <c r="L144" s="12">
        <f t="shared" si="16"/>
        <v>0</v>
      </c>
      <c r="M144" s="4">
        <f t="shared" si="17"/>
        <v>7.918124604764129E-2</v>
      </c>
      <c r="N144" s="4">
        <f t="shared" si="18"/>
        <v>0.37748838337612073</v>
      </c>
      <c r="O144" s="13">
        <f t="shared" si="19"/>
        <v>0.41246054742995786</v>
      </c>
    </row>
    <row r="145" spans="2:15">
      <c r="B145" s="12">
        <v>2</v>
      </c>
      <c r="C145" s="4" t="s">
        <v>151</v>
      </c>
      <c r="D145" s="4" t="s">
        <v>149</v>
      </c>
      <c r="E145" s="4">
        <v>3</v>
      </c>
      <c r="F145" s="4">
        <v>9</v>
      </c>
      <c r="G145" s="4">
        <v>4</v>
      </c>
      <c r="H145" s="115">
        <v>0.56599999999991724</v>
      </c>
      <c r="I145" s="115">
        <v>0.26599999999996271</v>
      </c>
      <c r="J145" s="115"/>
      <c r="K145" s="115">
        <v>0.83199999999987995</v>
      </c>
      <c r="L145" s="12">
        <f t="shared" si="16"/>
        <v>0.19479175772190163</v>
      </c>
      <c r="M145" s="4">
        <f t="shared" si="17"/>
        <v>0.10243370568132351</v>
      </c>
      <c r="N145" s="4">
        <f t="shared" si="18"/>
        <v>0</v>
      </c>
      <c r="O145" s="13">
        <f t="shared" si="19"/>
        <v>0.26292546933180311</v>
      </c>
    </row>
    <row r="146" spans="2:15">
      <c r="B146" s="12">
        <v>2</v>
      </c>
      <c r="C146" s="4" t="s">
        <v>151</v>
      </c>
      <c r="D146" s="4" t="s">
        <v>149</v>
      </c>
      <c r="E146" s="4">
        <v>3</v>
      </c>
      <c r="F146" s="4">
        <v>9</v>
      </c>
      <c r="G146" s="4">
        <v>5</v>
      </c>
      <c r="H146" s="115"/>
      <c r="I146" s="115"/>
      <c r="J146" s="115"/>
      <c r="K146" s="115">
        <v>0</v>
      </c>
      <c r="L146" s="12">
        <f t="shared" si="16"/>
        <v>0</v>
      </c>
      <c r="M146" s="4">
        <f t="shared" si="17"/>
        <v>0</v>
      </c>
      <c r="N146" s="4">
        <f t="shared" si="18"/>
        <v>0</v>
      </c>
      <c r="O146" s="13">
        <f t="shared" si="19"/>
        <v>0</v>
      </c>
    </row>
    <row r="147" spans="2:15">
      <c r="B147" s="12">
        <v>2</v>
      </c>
      <c r="C147" s="4" t="s">
        <v>151</v>
      </c>
      <c r="D147" s="4" t="s">
        <v>149</v>
      </c>
      <c r="E147" s="4">
        <v>3</v>
      </c>
      <c r="F147" s="4">
        <v>9</v>
      </c>
      <c r="G147" s="4">
        <v>6</v>
      </c>
      <c r="H147" s="115"/>
      <c r="I147" s="115"/>
      <c r="J147" s="115"/>
      <c r="K147" s="115">
        <v>0</v>
      </c>
      <c r="L147" s="12">
        <f t="shared" si="16"/>
        <v>0</v>
      </c>
      <c r="M147" s="4">
        <f t="shared" si="17"/>
        <v>0</v>
      </c>
      <c r="N147" s="4">
        <f t="shared" si="18"/>
        <v>0</v>
      </c>
      <c r="O147" s="13">
        <f t="shared" si="19"/>
        <v>0</v>
      </c>
    </row>
    <row r="148" spans="2:15">
      <c r="B148" s="12">
        <v>2</v>
      </c>
      <c r="C148" s="4" t="s">
        <v>151</v>
      </c>
      <c r="D148" s="4" t="s">
        <v>149</v>
      </c>
      <c r="E148" s="4">
        <v>3</v>
      </c>
      <c r="F148" s="4">
        <v>9</v>
      </c>
      <c r="G148" s="4">
        <v>7</v>
      </c>
      <c r="H148" s="115"/>
      <c r="I148" s="115"/>
      <c r="J148" s="115"/>
      <c r="K148" s="115">
        <v>0</v>
      </c>
      <c r="L148" s="12">
        <f t="shared" si="16"/>
        <v>0</v>
      </c>
      <c r="M148" s="4">
        <f t="shared" si="17"/>
        <v>0</v>
      </c>
      <c r="N148" s="4">
        <f t="shared" si="18"/>
        <v>0</v>
      </c>
      <c r="O148" s="13">
        <f t="shared" si="19"/>
        <v>0</v>
      </c>
    </row>
    <row r="149" spans="2:15">
      <c r="B149" s="12">
        <v>2</v>
      </c>
      <c r="C149" s="4" t="s">
        <v>151</v>
      </c>
      <c r="D149" s="4" t="s">
        <v>149</v>
      </c>
      <c r="E149" s="4">
        <v>3</v>
      </c>
      <c r="F149" s="4">
        <v>9</v>
      </c>
      <c r="G149" s="4">
        <v>8</v>
      </c>
      <c r="H149" s="115"/>
      <c r="I149" s="115"/>
      <c r="J149" s="115"/>
      <c r="K149" s="115">
        <v>0</v>
      </c>
      <c r="L149" s="12">
        <f t="shared" si="16"/>
        <v>0</v>
      </c>
      <c r="M149" s="4">
        <f t="shared" si="17"/>
        <v>0</v>
      </c>
      <c r="N149" s="4">
        <f t="shared" si="18"/>
        <v>0</v>
      </c>
      <c r="O149" s="13">
        <f t="shared" si="19"/>
        <v>0</v>
      </c>
    </row>
    <row r="150" spans="2:15">
      <c r="B150" s="12">
        <v>2</v>
      </c>
      <c r="C150" s="4" t="s">
        <v>151</v>
      </c>
      <c r="D150" s="4" t="s">
        <v>149</v>
      </c>
      <c r="E150" s="4">
        <v>3</v>
      </c>
      <c r="F150" s="4">
        <v>9</v>
      </c>
      <c r="G150" s="4">
        <v>9</v>
      </c>
      <c r="H150" s="115"/>
      <c r="I150" s="115"/>
      <c r="J150" s="115"/>
      <c r="K150" s="115">
        <v>0</v>
      </c>
      <c r="L150" s="12">
        <f t="shared" si="16"/>
        <v>0</v>
      </c>
      <c r="M150" s="4">
        <f t="shared" si="17"/>
        <v>0</v>
      </c>
      <c r="N150" s="4">
        <f t="shared" si="18"/>
        <v>0</v>
      </c>
      <c r="O150" s="13">
        <f t="shared" si="19"/>
        <v>0</v>
      </c>
    </row>
    <row r="151" spans="2:15" ht="13.8" thickBot="1">
      <c r="B151" s="14">
        <v>2</v>
      </c>
      <c r="C151" s="15" t="s">
        <v>151</v>
      </c>
      <c r="D151" s="15" t="s">
        <v>149</v>
      </c>
      <c r="E151" s="15">
        <v>3</v>
      </c>
      <c r="F151" s="15">
        <v>9</v>
      </c>
      <c r="G151" s="15">
        <v>10</v>
      </c>
      <c r="H151" s="121"/>
      <c r="I151" s="121"/>
      <c r="J151" s="121"/>
      <c r="K151" s="121">
        <v>0</v>
      </c>
      <c r="L151" s="14">
        <f t="shared" si="16"/>
        <v>0</v>
      </c>
      <c r="M151" s="15">
        <f t="shared" si="17"/>
        <v>0</v>
      </c>
      <c r="N151" s="15">
        <f t="shared" si="18"/>
        <v>0</v>
      </c>
      <c r="O151" s="16">
        <f t="shared" si="19"/>
        <v>0</v>
      </c>
    </row>
    <row r="152" spans="2:15">
      <c r="B152" s="9">
        <v>2</v>
      </c>
      <c r="C152" s="10" t="s">
        <v>151</v>
      </c>
      <c r="D152" s="10" t="s">
        <v>154</v>
      </c>
      <c r="E152" s="93">
        <v>4</v>
      </c>
      <c r="F152" s="93">
        <v>3</v>
      </c>
      <c r="G152" s="10">
        <v>1</v>
      </c>
      <c r="H152" s="120"/>
      <c r="I152" s="120"/>
      <c r="J152" s="120"/>
      <c r="K152" s="120">
        <v>0</v>
      </c>
      <c r="L152" s="9">
        <f t="shared" si="16"/>
        <v>0</v>
      </c>
      <c r="M152" s="10">
        <f t="shared" si="17"/>
        <v>0</v>
      </c>
      <c r="N152" s="10">
        <f t="shared" si="18"/>
        <v>0</v>
      </c>
      <c r="O152" s="11">
        <f t="shared" si="19"/>
        <v>0</v>
      </c>
    </row>
    <row r="153" spans="2:15">
      <c r="B153" s="12">
        <v>2</v>
      </c>
      <c r="C153" s="4" t="s">
        <v>151</v>
      </c>
      <c r="D153" s="4" t="s">
        <v>154</v>
      </c>
      <c r="E153" s="4">
        <v>4</v>
      </c>
      <c r="F153" s="4">
        <v>3</v>
      </c>
      <c r="G153" s="4">
        <v>2</v>
      </c>
      <c r="H153" s="115">
        <v>1.1999999999999602</v>
      </c>
      <c r="I153" s="115">
        <v>0.35099999999999909</v>
      </c>
      <c r="J153" s="115">
        <v>0.86699999999999022</v>
      </c>
      <c r="K153" s="115">
        <v>2.4179999999999495</v>
      </c>
      <c r="L153" s="12">
        <f t="shared" si="16"/>
        <v>0.3424226808221984</v>
      </c>
      <c r="M153" s="4">
        <f t="shared" si="17"/>
        <v>0.1306553490220303</v>
      </c>
      <c r="N153" s="4">
        <f t="shared" si="18"/>
        <v>0.27114431794907601</v>
      </c>
      <c r="O153" s="13">
        <f t="shared" si="19"/>
        <v>0.53377205838471165</v>
      </c>
    </row>
    <row r="154" spans="2:15">
      <c r="B154" s="12">
        <v>2</v>
      </c>
      <c r="C154" s="4" t="s">
        <v>151</v>
      </c>
      <c r="D154" s="4" t="s">
        <v>154</v>
      </c>
      <c r="E154" s="4">
        <v>4</v>
      </c>
      <c r="F154" s="4">
        <v>3</v>
      </c>
      <c r="G154" s="4">
        <v>3</v>
      </c>
      <c r="H154" s="115">
        <v>1.3170000000000357</v>
      </c>
      <c r="I154" s="115">
        <v>0.49999999999997158</v>
      </c>
      <c r="J154" s="115">
        <v>1.3670000000000471</v>
      </c>
      <c r="K154" s="115">
        <v>3.1840000000000543</v>
      </c>
      <c r="L154" s="12">
        <f t="shared" si="16"/>
        <v>0.36492603378998228</v>
      </c>
      <c r="M154" s="4">
        <f t="shared" si="17"/>
        <v>0.17609125905567302</v>
      </c>
      <c r="N154" s="4">
        <f t="shared" si="18"/>
        <v>0.37419825792909139</v>
      </c>
      <c r="O154" s="13">
        <f t="shared" si="19"/>
        <v>0.62159167585922348</v>
      </c>
    </row>
    <row r="155" spans="2:15">
      <c r="B155" s="12">
        <v>2</v>
      </c>
      <c r="C155" s="4" t="s">
        <v>151</v>
      </c>
      <c r="D155" s="4" t="s">
        <v>154</v>
      </c>
      <c r="E155" s="4">
        <v>4</v>
      </c>
      <c r="F155" s="4">
        <v>3</v>
      </c>
      <c r="G155" s="4">
        <v>4</v>
      </c>
      <c r="H155" s="115">
        <v>0.63299999999995293</v>
      </c>
      <c r="I155" s="115"/>
      <c r="J155" s="115">
        <v>0.14999999999997726</v>
      </c>
      <c r="K155" s="115">
        <v>0.7829999999999302</v>
      </c>
      <c r="L155" s="12">
        <f t="shared" si="16"/>
        <v>0.21298618473665565</v>
      </c>
      <c r="M155" s="4">
        <f t="shared" si="17"/>
        <v>0</v>
      </c>
      <c r="N155" s="4">
        <f t="shared" si="18"/>
        <v>6.0697840353603094E-2</v>
      </c>
      <c r="O155" s="13">
        <f t="shared" si="19"/>
        <v>0.2511513431753376</v>
      </c>
    </row>
    <row r="156" spans="2:15">
      <c r="B156" s="12">
        <v>2</v>
      </c>
      <c r="C156" s="4" t="s">
        <v>151</v>
      </c>
      <c r="D156" s="4" t="s">
        <v>154</v>
      </c>
      <c r="E156" s="4">
        <v>4</v>
      </c>
      <c r="F156" s="4">
        <v>3</v>
      </c>
      <c r="G156" s="4">
        <v>5</v>
      </c>
      <c r="H156" s="115"/>
      <c r="I156" s="115"/>
      <c r="J156" s="115"/>
      <c r="K156" s="115">
        <v>0</v>
      </c>
      <c r="L156" s="12">
        <f t="shared" si="16"/>
        <v>0</v>
      </c>
      <c r="M156" s="4">
        <f t="shared" si="17"/>
        <v>0</v>
      </c>
      <c r="N156" s="4">
        <f t="shared" si="18"/>
        <v>0</v>
      </c>
      <c r="O156" s="13">
        <f t="shared" si="19"/>
        <v>0</v>
      </c>
    </row>
    <row r="157" spans="2:15">
      <c r="B157" s="12">
        <v>2</v>
      </c>
      <c r="C157" s="4" t="s">
        <v>151</v>
      </c>
      <c r="D157" s="4" t="s">
        <v>154</v>
      </c>
      <c r="E157" s="4">
        <v>4</v>
      </c>
      <c r="F157" s="4">
        <v>3</v>
      </c>
      <c r="G157" s="4">
        <v>6</v>
      </c>
      <c r="H157" s="115"/>
      <c r="I157" s="115"/>
      <c r="J157" s="115"/>
      <c r="K157" s="115">
        <v>0</v>
      </c>
      <c r="L157" s="12">
        <f t="shared" si="16"/>
        <v>0</v>
      </c>
      <c r="M157" s="4">
        <f t="shared" si="17"/>
        <v>0</v>
      </c>
      <c r="N157" s="4">
        <f t="shared" si="18"/>
        <v>0</v>
      </c>
      <c r="O157" s="13">
        <f t="shared" si="19"/>
        <v>0</v>
      </c>
    </row>
    <row r="158" spans="2:15">
      <c r="B158" s="12">
        <v>2</v>
      </c>
      <c r="C158" s="4" t="s">
        <v>151</v>
      </c>
      <c r="D158" s="4" t="s">
        <v>154</v>
      </c>
      <c r="E158" s="4">
        <v>4</v>
      </c>
      <c r="F158" s="4">
        <v>3</v>
      </c>
      <c r="G158" s="4">
        <v>7</v>
      </c>
      <c r="H158" s="115"/>
      <c r="I158" s="115"/>
      <c r="J158" s="115"/>
      <c r="K158" s="115">
        <v>0</v>
      </c>
      <c r="L158" s="12">
        <f t="shared" si="16"/>
        <v>0</v>
      </c>
      <c r="M158" s="4">
        <f t="shared" si="17"/>
        <v>0</v>
      </c>
      <c r="N158" s="4">
        <f t="shared" si="18"/>
        <v>0</v>
      </c>
      <c r="O158" s="13">
        <f t="shared" si="19"/>
        <v>0</v>
      </c>
    </row>
    <row r="159" spans="2:15">
      <c r="B159" s="12">
        <v>2</v>
      </c>
      <c r="C159" s="4" t="s">
        <v>151</v>
      </c>
      <c r="D159" s="4" t="s">
        <v>154</v>
      </c>
      <c r="E159" s="4">
        <v>4</v>
      </c>
      <c r="F159" s="4">
        <v>3</v>
      </c>
      <c r="G159" s="4">
        <v>8</v>
      </c>
      <c r="H159" s="115"/>
      <c r="I159" s="115"/>
      <c r="J159" s="115"/>
      <c r="K159" s="115">
        <v>0</v>
      </c>
      <c r="L159" s="12">
        <f t="shared" si="16"/>
        <v>0</v>
      </c>
      <c r="M159" s="4">
        <f t="shared" si="17"/>
        <v>0</v>
      </c>
      <c r="N159" s="4">
        <f t="shared" si="18"/>
        <v>0</v>
      </c>
      <c r="O159" s="13">
        <f t="shared" si="19"/>
        <v>0</v>
      </c>
    </row>
    <row r="160" spans="2:15">
      <c r="B160" s="12">
        <v>2</v>
      </c>
      <c r="C160" s="4" t="s">
        <v>151</v>
      </c>
      <c r="D160" s="4" t="s">
        <v>154</v>
      </c>
      <c r="E160" s="4">
        <v>4</v>
      </c>
      <c r="F160" s="4">
        <v>3</v>
      </c>
      <c r="G160" s="4">
        <v>9</v>
      </c>
      <c r="H160" s="115"/>
      <c r="I160" s="115"/>
      <c r="J160" s="115"/>
      <c r="K160" s="115">
        <v>0</v>
      </c>
      <c r="L160" s="12">
        <f t="shared" si="16"/>
        <v>0</v>
      </c>
      <c r="M160" s="4">
        <f t="shared" si="17"/>
        <v>0</v>
      </c>
      <c r="N160" s="4">
        <f t="shared" si="18"/>
        <v>0</v>
      </c>
      <c r="O160" s="13">
        <f t="shared" si="19"/>
        <v>0</v>
      </c>
    </row>
    <row r="161" spans="2:15" ht="13.8" thickBot="1">
      <c r="B161" s="14">
        <v>2</v>
      </c>
      <c r="C161" s="15" t="s">
        <v>151</v>
      </c>
      <c r="D161" s="15" t="s">
        <v>154</v>
      </c>
      <c r="E161" s="15">
        <v>4</v>
      </c>
      <c r="F161" s="15">
        <v>3</v>
      </c>
      <c r="G161" s="15">
        <v>10</v>
      </c>
      <c r="H161" s="121"/>
      <c r="I161" s="121"/>
      <c r="J161" s="121"/>
      <c r="K161" s="121">
        <v>0</v>
      </c>
      <c r="L161" s="14">
        <f t="shared" si="16"/>
        <v>0</v>
      </c>
      <c r="M161" s="15">
        <f t="shared" si="17"/>
        <v>0</v>
      </c>
      <c r="N161" s="15">
        <f t="shared" si="18"/>
        <v>0</v>
      </c>
      <c r="O161" s="16">
        <f t="shared" si="19"/>
        <v>0</v>
      </c>
    </row>
    <row r="162" spans="2:15">
      <c r="B162" s="9">
        <v>2</v>
      </c>
      <c r="C162" s="10" t="s">
        <v>151</v>
      </c>
      <c r="D162" s="10" t="s">
        <v>149</v>
      </c>
      <c r="E162" s="93">
        <v>5</v>
      </c>
      <c r="F162" s="93">
        <v>11</v>
      </c>
      <c r="G162" s="10">
        <v>1</v>
      </c>
      <c r="H162" s="120"/>
      <c r="I162" s="120"/>
      <c r="J162" s="120">
        <v>1.0179999999998017</v>
      </c>
      <c r="K162" s="120">
        <v>1.0179999999998017</v>
      </c>
      <c r="L162" s="9">
        <f t="shared" si="16"/>
        <v>0</v>
      </c>
      <c r="M162" s="10">
        <f t="shared" si="17"/>
        <v>0</v>
      </c>
      <c r="N162" s="10">
        <f t="shared" si="18"/>
        <v>0.30492116190084906</v>
      </c>
      <c r="O162" s="11">
        <f t="shared" si="19"/>
        <v>0.30492116190084906</v>
      </c>
    </row>
    <row r="163" spans="2:15">
      <c r="B163" s="12">
        <v>2</v>
      </c>
      <c r="C163" s="4" t="s">
        <v>151</v>
      </c>
      <c r="D163" s="4" t="s">
        <v>149</v>
      </c>
      <c r="E163" s="4">
        <v>5</v>
      </c>
      <c r="F163" s="4">
        <v>11</v>
      </c>
      <c r="G163" s="4">
        <v>2</v>
      </c>
      <c r="H163" s="115">
        <v>0.56600000000003092</v>
      </c>
      <c r="I163" s="115"/>
      <c r="J163" s="115">
        <v>3.0640000000000214</v>
      </c>
      <c r="K163" s="115">
        <v>3.6300000000000523</v>
      </c>
      <c r="L163" s="12">
        <f t="shared" si="16"/>
        <v>0.19479175772193316</v>
      </c>
      <c r="M163" s="4">
        <f t="shared" si="17"/>
        <v>0</v>
      </c>
      <c r="N163" s="4">
        <f t="shared" si="18"/>
        <v>0.60895369927586518</v>
      </c>
      <c r="O163" s="13">
        <f t="shared" si="19"/>
        <v>0.66558099101795809</v>
      </c>
    </row>
    <row r="164" spans="2:15">
      <c r="B164" s="12">
        <v>2</v>
      </c>
      <c r="C164" s="4" t="s">
        <v>151</v>
      </c>
      <c r="D164" s="4" t="s">
        <v>149</v>
      </c>
      <c r="E164" s="4">
        <v>5</v>
      </c>
      <c r="F164" s="4">
        <v>11</v>
      </c>
      <c r="G164" s="4">
        <v>3</v>
      </c>
      <c r="H164" s="115"/>
      <c r="I164" s="115">
        <v>0.33099999999996044</v>
      </c>
      <c r="J164" s="115">
        <v>0.93499999999994543</v>
      </c>
      <c r="K164" s="115">
        <v>1.2659999999999059</v>
      </c>
      <c r="L164" s="12">
        <f t="shared" si="16"/>
        <v>0</v>
      </c>
      <c r="M164" s="4">
        <f t="shared" si="17"/>
        <v>0.12417805547466221</v>
      </c>
      <c r="N164" s="4">
        <f t="shared" si="18"/>
        <v>0.28668096935491794</v>
      </c>
      <c r="O164" s="13">
        <f t="shared" si="19"/>
        <v>0.35525990552736042</v>
      </c>
    </row>
    <row r="165" spans="2:15">
      <c r="B165" s="12">
        <v>2</v>
      </c>
      <c r="C165" s="4" t="s">
        <v>151</v>
      </c>
      <c r="D165" s="4" t="s">
        <v>149</v>
      </c>
      <c r="E165" s="4">
        <v>5</v>
      </c>
      <c r="F165" s="4">
        <v>11</v>
      </c>
      <c r="G165" s="4">
        <v>4</v>
      </c>
      <c r="H165" s="115"/>
      <c r="I165" s="115"/>
      <c r="J165" s="115"/>
      <c r="K165" s="115">
        <v>0</v>
      </c>
      <c r="L165" s="12">
        <f t="shared" si="16"/>
        <v>0</v>
      </c>
      <c r="M165" s="4">
        <f t="shared" si="17"/>
        <v>0</v>
      </c>
      <c r="N165" s="4">
        <f t="shared" si="18"/>
        <v>0</v>
      </c>
      <c r="O165" s="13">
        <f t="shared" si="19"/>
        <v>0</v>
      </c>
    </row>
    <row r="166" spans="2:15">
      <c r="B166" s="12">
        <v>2</v>
      </c>
      <c r="C166" s="4" t="s">
        <v>151</v>
      </c>
      <c r="D166" s="4" t="s">
        <v>149</v>
      </c>
      <c r="E166" s="4">
        <v>5</v>
      </c>
      <c r="F166" s="4">
        <v>11</v>
      </c>
      <c r="G166" s="4">
        <v>5</v>
      </c>
      <c r="H166" s="115"/>
      <c r="I166" s="115"/>
      <c r="J166" s="115"/>
      <c r="K166" s="115">
        <v>0</v>
      </c>
      <c r="L166" s="12">
        <f t="shared" si="16"/>
        <v>0</v>
      </c>
      <c r="M166" s="4">
        <f t="shared" si="17"/>
        <v>0</v>
      </c>
      <c r="N166" s="4">
        <f t="shared" si="18"/>
        <v>0</v>
      </c>
      <c r="O166" s="13">
        <f t="shared" si="19"/>
        <v>0</v>
      </c>
    </row>
    <row r="167" spans="2:15">
      <c r="B167" s="12">
        <v>2</v>
      </c>
      <c r="C167" s="4" t="s">
        <v>151</v>
      </c>
      <c r="D167" s="4" t="s">
        <v>149</v>
      </c>
      <c r="E167" s="4">
        <v>5</v>
      </c>
      <c r="F167" s="4">
        <v>11</v>
      </c>
      <c r="G167" s="4">
        <v>6</v>
      </c>
      <c r="H167" s="115"/>
      <c r="I167" s="115"/>
      <c r="J167" s="115"/>
      <c r="K167" s="115">
        <v>0</v>
      </c>
      <c r="L167" s="12">
        <f t="shared" ref="L167:L230" si="20">LOG10(H167+1)</f>
        <v>0</v>
      </c>
      <c r="M167" s="4">
        <f t="shared" ref="M167:M230" si="21">LOG10(I167+1)</f>
        <v>0</v>
      </c>
      <c r="N167" s="4">
        <f t="shared" ref="N167:N230" si="22">LOG10(J167+1)</f>
        <v>0</v>
      </c>
      <c r="O167" s="13">
        <f t="shared" ref="O167:O230" si="23">LOG10(K167+1)</f>
        <v>0</v>
      </c>
    </row>
    <row r="168" spans="2:15">
      <c r="B168" s="12">
        <v>2</v>
      </c>
      <c r="C168" s="4" t="s">
        <v>151</v>
      </c>
      <c r="D168" s="4" t="s">
        <v>149</v>
      </c>
      <c r="E168" s="4">
        <v>5</v>
      </c>
      <c r="F168" s="4">
        <v>11</v>
      </c>
      <c r="G168" s="4">
        <v>7</v>
      </c>
      <c r="H168" s="115"/>
      <c r="I168" s="115"/>
      <c r="J168" s="115"/>
      <c r="K168" s="115">
        <v>0</v>
      </c>
      <c r="L168" s="12">
        <f t="shared" si="20"/>
        <v>0</v>
      </c>
      <c r="M168" s="4">
        <f t="shared" si="21"/>
        <v>0</v>
      </c>
      <c r="N168" s="4">
        <f t="shared" si="22"/>
        <v>0</v>
      </c>
      <c r="O168" s="13">
        <f t="shared" si="23"/>
        <v>0</v>
      </c>
    </row>
    <row r="169" spans="2:15">
      <c r="B169" s="12">
        <v>2</v>
      </c>
      <c r="C169" s="4" t="s">
        <v>151</v>
      </c>
      <c r="D169" s="4" t="s">
        <v>149</v>
      </c>
      <c r="E169" s="4">
        <v>5</v>
      </c>
      <c r="F169" s="4">
        <v>11</v>
      </c>
      <c r="G169" s="4">
        <v>8</v>
      </c>
      <c r="H169" s="115"/>
      <c r="I169" s="115"/>
      <c r="J169" s="115"/>
      <c r="K169" s="115">
        <v>0</v>
      </c>
      <c r="L169" s="12">
        <f t="shared" si="20"/>
        <v>0</v>
      </c>
      <c r="M169" s="4">
        <f t="shared" si="21"/>
        <v>0</v>
      </c>
      <c r="N169" s="4">
        <f t="shared" si="22"/>
        <v>0</v>
      </c>
      <c r="O169" s="13">
        <f t="shared" si="23"/>
        <v>0</v>
      </c>
    </row>
    <row r="170" spans="2:15">
      <c r="B170" s="12">
        <v>2</v>
      </c>
      <c r="C170" s="4" t="s">
        <v>151</v>
      </c>
      <c r="D170" s="4" t="s">
        <v>149</v>
      </c>
      <c r="E170" s="4">
        <v>5</v>
      </c>
      <c r="F170" s="4">
        <v>11</v>
      </c>
      <c r="G170" s="4">
        <v>9</v>
      </c>
      <c r="H170" s="115"/>
      <c r="I170" s="115"/>
      <c r="J170" s="115"/>
      <c r="K170" s="115">
        <v>0</v>
      </c>
      <c r="L170" s="12">
        <f t="shared" si="20"/>
        <v>0</v>
      </c>
      <c r="M170" s="4">
        <f t="shared" si="21"/>
        <v>0</v>
      </c>
      <c r="N170" s="4">
        <f t="shared" si="22"/>
        <v>0</v>
      </c>
      <c r="O170" s="13">
        <f t="shared" si="23"/>
        <v>0</v>
      </c>
    </row>
    <row r="171" spans="2:15" ht="13.8" thickBot="1">
      <c r="B171" s="14">
        <v>2</v>
      </c>
      <c r="C171" s="15" t="s">
        <v>151</v>
      </c>
      <c r="D171" s="15" t="s">
        <v>149</v>
      </c>
      <c r="E171" s="15">
        <v>5</v>
      </c>
      <c r="F171" s="15">
        <v>11</v>
      </c>
      <c r="G171" s="15">
        <v>10</v>
      </c>
      <c r="H171" s="121"/>
      <c r="I171" s="121"/>
      <c r="J171" s="121"/>
      <c r="K171" s="121">
        <v>0</v>
      </c>
      <c r="L171" s="14">
        <f t="shared" si="20"/>
        <v>0</v>
      </c>
      <c r="M171" s="15">
        <f t="shared" si="21"/>
        <v>0</v>
      </c>
      <c r="N171" s="15">
        <f t="shared" si="22"/>
        <v>0</v>
      </c>
      <c r="O171" s="16">
        <f t="shared" si="23"/>
        <v>0</v>
      </c>
    </row>
    <row r="172" spans="2:15">
      <c r="B172" s="9">
        <v>2</v>
      </c>
      <c r="C172" s="10" t="s">
        <v>151</v>
      </c>
      <c r="D172" s="10" t="s">
        <v>154</v>
      </c>
      <c r="E172" s="93">
        <v>6</v>
      </c>
      <c r="F172" s="93">
        <v>1</v>
      </c>
      <c r="G172" s="10">
        <v>1</v>
      </c>
      <c r="H172" s="120">
        <v>1.9480000000000075</v>
      </c>
      <c r="I172" s="120">
        <v>0.45000000000000284</v>
      </c>
      <c r="J172" s="120">
        <v>0.21699999999999875</v>
      </c>
      <c r="K172" s="120">
        <v>2.6150000000000091</v>
      </c>
      <c r="L172" s="9">
        <f t="shared" si="20"/>
        <v>0.46952747918701498</v>
      </c>
      <c r="M172" s="10">
        <f t="shared" si="21"/>
        <v>0.16136800223497574</v>
      </c>
      <c r="N172" s="10">
        <f t="shared" si="22"/>
        <v>8.5290578230064543E-2</v>
      </c>
      <c r="O172" s="11">
        <f t="shared" si="23"/>
        <v>0.5581083016305507</v>
      </c>
    </row>
    <row r="173" spans="2:15">
      <c r="B173" s="12">
        <v>2</v>
      </c>
      <c r="C173" s="4" t="s">
        <v>151</v>
      </c>
      <c r="D173" s="4" t="s">
        <v>154</v>
      </c>
      <c r="E173" s="4">
        <v>6</v>
      </c>
      <c r="F173" s="4">
        <v>1</v>
      </c>
      <c r="G173" s="4">
        <v>2</v>
      </c>
      <c r="H173" s="115"/>
      <c r="I173" s="115">
        <v>0.28399999999999181</v>
      </c>
      <c r="J173" s="115"/>
      <c r="K173" s="115">
        <v>0.28399999999999181</v>
      </c>
      <c r="L173" s="12">
        <f t="shared" si="20"/>
        <v>0</v>
      </c>
      <c r="M173" s="4">
        <f t="shared" si="21"/>
        <v>0.10856502373283169</v>
      </c>
      <c r="N173" s="4">
        <f t="shared" si="22"/>
        <v>0</v>
      </c>
      <c r="O173" s="13">
        <f t="shared" si="23"/>
        <v>0.10856502373283169</v>
      </c>
    </row>
    <row r="174" spans="2:15">
      <c r="B174" s="12">
        <v>2</v>
      </c>
      <c r="C174" s="4" t="s">
        <v>151</v>
      </c>
      <c r="D174" s="4" t="s">
        <v>154</v>
      </c>
      <c r="E174" s="4">
        <v>6</v>
      </c>
      <c r="F174" s="4">
        <v>1</v>
      </c>
      <c r="G174" s="4">
        <v>3</v>
      </c>
      <c r="H174" s="115"/>
      <c r="I174" s="115">
        <v>9.9999999999994316E-2</v>
      </c>
      <c r="J174" s="115"/>
      <c r="K174" s="115">
        <v>9.9999999999994316E-2</v>
      </c>
      <c r="L174" s="12">
        <f t="shared" si="20"/>
        <v>0</v>
      </c>
      <c r="M174" s="4">
        <f t="shared" si="21"/>
        <v>4.1392685158222794E-2</v>
      </c>
      <c r="N174" s="4">
        <f t="shared" si="22"/>
        <v>0</v>
      </c>
      <c r="O174" s="13">
        <f t="shared" si="23"/>
        <v>4.1392685158222794E-2</v>
      </c>
    </row>
    <row r="175" spans="2:15">
      <c r="B175" s="12">
        <v>2</v>
      </c>
      <c r="C175" s="4" t="s">
        <v>151</v>
      </c>
      <c r="D175" s="4" t="s">
        <v>154</v>
      </c>
      <c r="E175" s="4">
        <v>6</v>
      </c>
      <c r="F175" s="4">
        <v>1</v>
      </c>
      <c r="G175" s="4">
        <v>4</v>
      </c>
      <c r="H175" s="115"/>
      <c r="I175" s="115"/>
      <c r="J175" s="115"/>
      <c r="K175" s="115">
        <v>0</v>
      </c>
      <c r="L175" s="12">
        <f t="shared" si="20"/>
        <v>0</v>
      </c>
      <c r="M175" s="4">
        <f t="shared" si="21"/>
        <v>0</v>
      </c>
      <c r="N175" s="4">
        <f t="shared" si="22"/>
        <v>0</v>
      </c>
      <c r="O175" s="13">
        <f t="shared" si="23"/>
        <v>0</v>
      </c>
    </row>
    <row r="176" spans="2:15">
      <c r="B176" s="12">
        <v>2</v>
      </c>
      <c r="C176" s="4" t="s">
        <v>151</v>
      </c>
      <c r="D176" s="4" t="s">
        <v>154</v>
      </c>
      <c r="E176" s="4">
        <v>6</v>
      </c>
      <c r="F176" s="4">
        <v>1</v>
      </c>
      <c r="G176" s="4">
        <v>5</v>
      </c>
      <c r="H176" s="115"/>
      <c r="I176" s="115"/>
      <c r="J176" s="115"/>
      <c r="K176" s="115">
        <v>0</v>
      </c>
      <c r="L176" s="12">
        <f t="shared" si="20"/>
        <v>0</v>
      </c>
      <c r="M176" s="4">
        <f t="shared" si="21"/>
        <v>0</v>
      </c>
      <c r="N176" s="4">
        <f t="shared" si="22"/>
        <v>0</v>
      </c>
      <c r="O176" s="13">
        <f t="shared" si="23"/>
        <v>0</v>
      </c>
    </row>
    <row r="177" spans="2:15">
      <c r="B177" s="12">
        <v>2</v>
      </c>
      <c r="C177" s="4" t="s">
        <v>151</v>
      </c>
      <c r="D177" s="4" t="s">
        <v>154</v>
      </c>
      <c r="E177" s="4">
        <v>6</v>
      </c>
      <c r="F177" s="4">
        <v>1</v>
      </c>
      <c r="G177" s="4">
        <v>6</v>
      </c>
      <c r="H177" s="115"/>
      <c r="I177" s="115"/>
      <c r="J177" s="115"/>
      <c r="K177" s="115">
        <v>0</v>
      </c>
      <c r="L177" s="12">
        <f t="shared" si="20"/>
        <v>0</v>
      </c>
      <c r="M177" s="4">
        <f t="shared" si="21"/>
        <v>0</v>
      </c>
      <c r="N177" s="4">
        <f t="shared" si="22"/>
        <v>0</v>
      </c>
      <c r="O177" s="13">
        <f t="shared" si="23"/>
        <v>0</v>
      </c>
    </row>
    <row r="178" spans="2:15">
      <c r="B178" s="12">
        <v>2</v>
      </c>
      <c r="C178" s="4" t="s">
        <v>151</v>
      </c>
      <c r="D178" s="4" t="s">
        <v>154</v>
      </c>
      <c r="E178" s="4">
        <v>6</v>
      </c>
      <c r="F178" s="4">
        <v>1</v>
      </c>
      <c r="G178" s="4">
        <v>7</v>
      </c>
      <c r="H178" s="115"/>
      <c r="I178" s="115"/>
      <c r="J178" s="115"/>
      <c r="K178" s="115">
        <v>0</v>
      </c>
      <c r="L178" s="12">
        <f t="shared" si="20"/>
        <v>0</v>
      </c>
      <c r="M178" s="4">
        <f t="shared" si="21"/>
        <v>0</v>
      </c>
      <c r="N178" s="4">
        <f t="shared" si="22"/>
        <v>0</v>
      </c>
      <c r="O178" s="13">
        <f t="shared" si="23"/>
        <v>0</v>
      </c>
    </row>
    <row r="179" spans="2:15">
      <c r="B179" s="12">
        <v>2</v>
      </c>
      <c r="C179" s="4" t="s">
        <v>151</v>
      </c>
      <c r="D179" s="4" t="s">
        <v>154</v>
      </c>
      <c r="E179" s="4">
        <v>6</v>
      </c>
      <c r="F179" s="4">
        <v>1</v>
      </c>
      <c r="G179" s="4">
        <v>8</v>
      </c>
      <c r="H179" s="115"/>
      <c r="I179" s="115"/>
      <c r="J179" s="115"/>
      <c r="K179" s="115">
        <v>0</v>
      </c>
      <c r="L179" s="12">
        <f t="shared" si="20"/>
        <v>0</v>
      </c>
      <c r="M179" s="4">
        <f t="shared" si="21"/>
        <v>0</v>
      </c>
      <c r="N179" s="4">
        <f t="shared" si="22"/>
        <v>0</v>
      </c>
      <c r="O179" s="13">
        <f t="shared" si="23"/>
        <v>0</v>
      </c>
    </row>
    <row r="180" spans="2:15">
      <c r="B180" s="12">
        <v>2</v>
      </c>
      <c r="C180" s="4" t="s">
        <v>151</v>
      </c>
      <c r="D180" s="4" t="s">
        <v>154</v>
      </c>
      <c r="E180" s="4">
        <v>6</v>
      </c>
      <c r="F180" s="4">
        <v>1</v>
      </c>
      <c r="G180" s="4">
        <v>9</v>
      </c>
      <c r="H180" s="115"/>
      <c r="I180" s="115"/>
      <c r="J180" s="115"/>
      <c r="K180" s="115">
        <v>0</v>
      </c>
      <c r="L180" s="12">
        <f t="shared" si="20"/>
        <v>0</v>
      </c>
      <c r="M180" s="4">
        <f t="shared" si="21"/>
        <v>0</v>
      </c>
      <c r="N180" s="4">
        <f t="shared" si="22"/>
        <v>0</v>
      </c>
      <c r="O180" s="13">
        <f t="shared" si="23"/>
        <v>0</v>
      </c>
    </row>
    <row r="181" spans="2:15" ht="13.8" thickBot="1">
      <c r="B181" s="14">
        <v>2</v>
      </c>
      <c r="C181" s="15" t="s">
        <v>151</v>
      </c>
      <c r="D181" s="15" t="s">
        <v>154</v>
      </c>
      <c r="E181" s="15">
        <v>6</v>
      </c>
      <c r="F181" s="15">
        <v>1</v>
      </c>
      <c r="G181" s="15">
        <v>10</v>
      </c>
      <c r="H181" s="121"/>
      <c r="I181" s="121"/>
      <c r="J181" s="121"/>
      <c r="K181" s="121">
        <v>0</v>
      </c>
      <c r="L181" s="14">
        <f t="shared" si="20"/>
        <v>0</v>
      </c>
      <c r="M181" s="15">
        <f t="shared" si="21"/>
        <v>0</v>
      </c>
      <c r="N181" s="15">
        <f t="shared" si="22"/>
        <v>0</v>
      </c>
      <c r="O181" s="16">
        <f t="shared" si="23"/>
        <v>0</v>
      </c>
    </row>
    <row r="182" spans="2:15">
      <c r="B182" s="9">
        <v>2</v>
      </c>
      <c r="C182" s="10" t="s">
        <v>152</v>
      </c>
      <c r="D182" s="10" t="s">
        <v>150</v>
      </c>
      <c r="E182" s="93">
        <v>7</v>
      </c>
      <c r="F182" s="93">
        <v>8</v>
      </c>
      <c r="G182" s="10">
        <v>1</v>
      </c>
      <c r="H182" s="120">
        <v>0.73400000000003729</v>
      </c>
      <c r="I182" s="120"/>
      <c r="J182" s="120"/>
      <c r="K182" s="120">
        <v>0.73400000000003729</v>
      </c>
      <c r="L182" s="9">
        <f t="shared" si="20"/>
        <v>0.23904909314020084</v>
      </c>
      <c r="M182" s="10">
        <f t="shared" si="21"/>
        <v>0</v>
      </c>
      <c r="N182" s="10">
        <f t="shared" si="22"/>
        <v>0</v>
      </c>
      <c r="O182" s="11">
        <f t="shared" si="23"/>
        <v>0.23904909314020084</v>
      </c>
    </row>
    <row r="183" spans="2:15">
      <c r="B183" s="12">
        <v>2</v>
      </c>
      <c r="C183" s="4" t="s">
        <v>152</v>
      </c>
      <c r="D183" s="4" t="s">
        <v>150</v>
      </c>
      <c r="E183" s="4">
        <v>7</v>
      </c>
      <c r="F183" s="4">
        <v>8</v>
      </c>
      <c r="G183" s="4">
        <v>2</v>
      </c>
      <c r="H183" s="115">
        <v>0.11700000000001864</v>
      </c>
      <c r="I183" s="115">
        <v>0.43399999999996908</v>
      </c>
      <c r="J183" s="115">
        <v>2.3159999999999172</v>
      </c>
      <c r="K183" s="115">
        <v>2.866999999999905</v>
      </c>
      <c r="L183" s="12">
        <f t="shared" si="20"/>
        <v>4.8053173115616306E-2</v>
      </c>
      <c r="M183" s="4">
        <f t="shared" si="21"/>
        <v>0.15654915133177194</v>
      </c>
      <c r="N183" s="4">
        <f t="shared" si="22"/>
        <v>0.5206145218782251</v>
      </c>
      <c r="O183" s="13">
        <f t="shared" si="23"/>
        <v>0.58737417207305476</v>
      </c>
    </row>
    <row r="184" spans="2:15">
      <c r="B184" s="12">
        <v>2</v>
      </c>
      <c r="C184" s="4" t="s">
        <v>152</v>
      </c>
      <c r="D184" s="4" t="s">
        <v>150</v>
      </c>
      <c r="E184" s="4">
        <v>7</v>
      </c>
      <c r="F184" s="4">
        <v>8</v>
      </c>
      <c r="G184" s="4">
        <v>3</v>
      </c>
      <c r="H184" s="115"/>
      <c r="I184" s="115"/>
      <c r="J184" s="115"/>
      <c r="K184" s="115">
        <v>0</v>
      </c>
      <c r="L184" s="12">
        <f t="shared" si="20"/>
        <v>0</v>
      </c>
      <c r="M184" s="4">
        <f t="shared" si="21"/>
        <v>0</v>
      </c>
      <c r="N184" s="4">
        <f t="shared" si="22"/>
        <v>0</v>
      </c>
      <c r="O184" s="13">
        <f t="shared" si="23"/>
        <v>0</v>
      </c>
    </row>
    <row r="185" spans="2:15">
      <c r="B185" s="12">
        <v>2</v>
      </c>
      <c r="C185" s="4" t="s">
        <v>152</v>
      </c>
      <c r="D185" s="4" t="s">
        <v>150</v>
      </c>
      <c r="E185" s="4">
        <v>7</v>
      </c>
      <c r="F185" s="4">
        <v>8</v>
      </c>
      <c r="G185" s="4">
        <v>4</v>
      </c>
      <c r="H185" s="115"/>
      <c r="I185" s="115"/>
      <c r="J185" s="115"/>
      <c r="K185" s="115">
        <v>0</v>
      </c>
      <c r="L185" s="12">
        <f t="shared" si="20"/>
        <v>0</v>
      </c>
      <c r="M185" s="4">
        <f t="shared" si="21"/>
        <v>0</v>
      </c>
      <c r="N185" s="4">
        <f t="shared" si="22"/>
        <v>0</v>
      </c>
      <c r="O185" s="13">
        <f t="shared" si="23"/>
        <v>0</v>
      </c>
    </row>
    <row r="186" spans="2:15">
      <c r="B186" s="12">
        <v>2</v>
      </c>
      <c r="C186" s="4" t="s">
        <v>152</v>
      </c>
      <c r="D186" s="4" t="s">
        <v>150</v>
      </c>
      <c r="E186" s="4">
        <v>7</v>
      </c>
      <c r="F186" s="4">
        <v>8</v>
      </c>
      <c r="G186" s="4">
        <v>5</v>
      </c>
      <c r="H186" s="115"/>
      <c r="I186" s="115"/>
      <c r="J186" s="115"/>
      <c r="K186" s="115">
        <v>0</v>
      </c>
      <c r="L186" s="12">
        <f t="shared" si="20"/>
        <v>0</v>
      </c>
      <c r="M186" s="4">
        <f t="shared" si="21"/>
        <v>0</v>
      </c>
      <c r="N186" s="4">
        <f t="shared" si="22"/>
        <v>0</v>
      </c>
      <c r="O186" s="13">
        <f t="shared" si="23"/>
        <v>0</v>
      </c>
    </row>
    <row r="187" spans="2:15">
      <c r="B187" s="12">
        <v>2</v>
      </c>
      <c r="C187" s="4" t="s">
        <v>152</v>
      </c>
      <c r="D187" s="4" t="s">
        <v>150</v>
      </c>
      <c r="E187" s="4">
        <v>7</v>
      </c>
      <c r="F187" s="4">
        <v>8</v>
      </c>
      <c r="G187" s="4">
        <v>6</v>
      </c>
      <c r="H187" s="115"/>
      <c r="I187" s="115"/>
      <c r="J187" s="115"/>
      <c r="K187" s="115">
        <v>0</v>
      </c>
      <c r="L187" s="12">
        <f t="shared" si="20"/>
        <v>0</v>
      </c>
      <c r="M187" s="4">
        <f t="shared" si="21"/>
        <v>0</v>
      </c>
      <c r="N187" s="4">
        <f t="shared" si="22"/>
        <v>0</v>
      </c>
      <c r="O187" s="13">
        <f t="shared" si="23"/>
        <v>0</v>
      </c>
    </row>
    <row r="188" spans="2:15">
      <c r="B188" s="12">
        <v>2</v>
      </c>
      <c r="C188" s="4" t="s">
        <v>152</v>
      </c>
      <c r="D188" s="4" t="s">
        <v>150</v>
      </c>
      <c r="E188" s="4">
        <v>7</v>
      </c>
      <c r="F188" s="4">
        <v>8</v>
      </c>
      <c r="G188" s="4">
        <v>7</v>
      </c>
      <c r="H188" s="115"/>
      <c r="I188" s="115"/>
      <c r="J188" s="115"/>
      <c r="K188" s="115">
        <v>0</v>
      </c>
      <c r="L188" s="12">
        <f t="shared" si="20"/>
        <v>0</v>
      </c>
      <c r="M188" s="4">
        <f t="shared" si="21"/>
        <v>0</v>
      </c>
      <c r="N188" s="4">
        <f t="shared" si="22"/>
        <v>0</v>
      </c>
      <c r="O188" s="13">
        <f t="shared" si="23"/>
        <v>0</v>
      </c>
    </row>
    <row r="189" spans="2:15">
      <c r="B189" s="12">
        <v>2</v>
      </c>
      <c r="C189" s="4" t="s">
        <v>152</v>
      </c>
      <c r="D189" s="4" t="s">
        <v>150</v>
      </c>
      <c r="E189" s="4">
        <v>7</v>
      </c>
      <c r="F189" s="4">
        <v>8</v>
      </c>
      <c r="G189" s="4">
        <v>8</v>
      </c>
      <c r="H189" s="115"/>
      <c r="I189" s="115"/>
      <c r="J189" s="115"/>
      <c r="K189" s="115">
        <v>0</v>
      </c>
      <c r="L189" s="12">
        <f t="shared" si="20"/>
        <v>0</v>
      </c>
      <c r="M189" s="4">
        <f t="shared" si="21"/>
        <v>0</v>
      </c>
      <c r="N189" s="4">
        <f t="shared" si="22"/>
        <v>0</v>
      </c>
      <c r="O189" s="13">
        <f t="shared" si="23"/>
        <v>0</v>
      </c>
    </row>
    <row r="190" spans="2:15">
      <c r="B190" s="12">
        <v>2</v>
      </c>
      <c r="C190" s="4" t="s">
        <v>152</v>
      </c>
      <c r="D190" s="4" t="s">
        <v>150</v>
      </c>
      <c r="E190" s="4">
        <v>7</v>
      </c>
      <c r="F190" s="4">
        <v>8</v>
      </c>
      <c r="G190" s="4">
        <v>9</v>
      </c>
      <c r="H190" s="115"/>
      <c r="I190" s="115"/>
      <c r="J190" s="115"/>
      <c r="K190" s="115">
        <v>0</v>
      </c>
      <c r="L190" s="12">
        <f t="shared" si="20"/>
        <v>0</v>
      </c>
      <c r="M190" s="4">
        <f t="shared" si="21"/>
        <v>0</v>
      </c>
      <c r="N190" s="4">
        <f t="shared" si="22"/>
        <v>0</v>
      </c>
      <c r="O190" s="13">
        <f t="shared" si="23"/>
        <v>0</v>
      </c>
    </row>
    <row r="191" spans="2:15" ht="13.8" thickBot="1">
      <c r="B191" s="14">
        <v>2</v>
      </c>
      <c r="C191" s="15" t="s">
        <v>152</v>
      </c>
      <c r="D191" s="15" t="s">
        <v>150</v>
      </c>
      <c r="E191" s="15">
        <v>7</v>
      </c>
      <c r="F191" s="15">
        <v>8</v>
      </c>
      <c r="G191" s="15">
        <v>10</v>
      </c>
      <c r="H191" s="121"/>
      <c r="I191" s="121"/>
      <c r="J191" s="121"/>
      <c r="K191" s="121">
        <v>0</v>
      </c>
      <c r="L191" s="14">
        <f t="shared" si="20"/>
        <v>0</v>
      </c>
      <c r="M191" s="15">
        <f t="shared" si="21"/>
        <v>0</v>
      </c>
      <c r="N191" s="15">
        <f t="shared" si="22"/>
        <v>0</v>
      </c>
      <c r="O191" s="16">
        <f t="shared" si="23"/>
        <v>0</v>
      </c>
    </row>
    <row r="192" spans="2:15">
      <c r="B192" s="9">
        <v>2</v>
      </c>
      <c r="C192" s="10" t="s">
        <v>152</v>
      </c>
      <c r="D192" s="10" t="s">
        <v>150</v>
      </c>
      <c r="E192" s="93">
        <v>8</v>
      </c>
      <c r="F192" s="93">
        <v>6</v>
      </c>
      <c r="G192" s="10">
        <v>1</v>
      </c>
      <c r="H192" s="120"/>
      <c r="I192" s="120"/>
      <c r="J192" s="120">
        <v>0.19999999999998863</v>
      </c>
      <c r="K192" s="120">
        <v>0.19999999999998863</v>
      </c>
      <c r="L192" s="9">
        <f t="shared" si="20"/>
        <v>0</v>
      </c>
      <c r="M192" s="10">
        <f t="shared" si="21"/>
        <v>0</v>
      </c>
      <c r="N192" s="10">
        <f t="shared" si="22"/>
        <v>7.918124604762071E-2</v>
      </c>
      <c r="O192" s="11">
        <f t="shared" si="23"/>
        <v>7.918124604762071E-2</v>
      </c>
    </row>
    <row r="193" spans="2:15">
      <c r="B193" s="12">
        <v>2</v>
      </c>
      <c r="C193" s="4" t="s">
        <v>152</v>
      </c>
      <c r="D193" s="4" t="s">
        <v>150</v>
      </c>
      <c r="E193" s="4">
        <v>8</v>
      </c>
      <c r="F193" s="4">
        <v>6</v>
      </c>
      <c r="G193" s="4">
        <v>2</v>
      </c>
      <c r="H193" s="115"/>
      <c r="I193" s="115">
        <v>0.28300000000001546</v>
      </c>
      <c r="J193" s="115">
        <v>2.4330000000002201</v>
      </c>
      <c r="K193" s="115">
        <v>2.7160000000002356</v>
      </c>
      <c r="L193" s="12">
        <f t="shared" si="20"/>
        <v>0</v>
      </c>
      <c r="M193" s="4">
        <f t="shared" si="21"/>
        <v>0.10822665637493374</v>
      </c>
      <c r="N193" s="4">
        <f t="shared" si="22"/>
        <v>0.53567380342577797</v>
      </c>
      <c r="O193" s="13">
        <f t="shared" si="23"/>
        <v>0.57007570532163165</v>
      </c>
    </row>
    <row r="194" spans="2:15">
      <c r="B194" s="12">
        <v>2</v>
      </c>
      <c r="C194" s="4" t="s">
        <v>152</v>
      </c>
      <c r="D194" s="4" t="s">
        <v>150</v>
      </c>
      <c r="E194" s="4">
        <v>8</v>
      </c>
      <c r="F194" s="4">
        <v>6</v>
      </c>
      <c r="G194" s="4">
        <v>3</v>
      </c>
      <c r="H194" s="115"/>
      <c r="I194" s="115"/>
      <c r="J194" s="115"/>
      <c r="K194" s="115">
        <v>0</v>
      </c>
      <c r="L194" s="12">
        <f t="shared" si="20"/>
        <v>0</v>
      </c>
      <c r="M194" s="4">
        <f t="shared" si="21"/>
        <v>0</v>
      </c>
      <c r="N194" s="4">
        <f t="shared" si="22"/>
        <v>0</v>
      </c>
      <c r="O194" s="13">
        <f t="shared" si="23"/>
        <v>0</v>
      </c>
    </row>
    <row r="195" spans="2:15">
      <c r="B195" s="12">
        <v>2</v>
      </c>
      <c r="C195" s="4" t="s">
        <v>152</v>
      </c>
      <c r="D195" s="4" t="s">
        <v>150</v>
      </c>
      <c r="E195" s="4">
        <v>8</v>
      </c>
      <c r="F195" s="4">
        <v>6</v>
      </c>
      <c r="G195" s="4">
        <v>4</v>
      </c>
      <c r="H195" s="115"/>
      <c r="I195" s="115"/>
      <c r="J195" s="115"/>
      <c r="K195" s="115">
        <v>0</v>
      </c>
      <c r="L195" s="12">
        <f t="shared" si="20"/>
        <v>0</v>
      </c>
      <c r="M195" s="4">
        <f t="shared" si="21"/>
        <v>0</v>
      </c>
      <c r="N195" s="4">
        <f t="shared" si="22"/>
        <v>0</v>
      </c>
      <c r="O195" s="13">
        <f t="shared" si="23"/>
        <v>0</v>
      </c>
    </row>
    <row r="196" spans="2:15">
      <c r="B196" s="12">
        <v>2</v>
      </c>
      <c r="C196" s="4" t="s">
        <v>152</v>
      </c>
      <c r="D196" s="4" t="s">
        <v>150</v>
      </c>
      <c r="E196" s="4">
        <v>8</v>
      </c>
      <c r="F196" s="4">
        <v>6</v>
      </c>
      <c r="G196" s="4">
        <v>5</v>
      </c>
      <c r="H196" s="115"/>
      <c r="I196" s="115"/>
      <c r="J196" s="115"/>
      <c r="K196" s="115">
        <v>0</v>
      </c>
      <c r="L196" s="12">
        <f t="shared" si="20"/>
        <v>0</v>
      </c>
      <c r="M196" s="4">
        <f t="shared" si="21"/>
        <v>0</v>
      </c>
      <c r="N196" s="4">
        <f t="shared" si="22"/>
        <v>0</v>
      </c>
      <c r="O196" s="13">
        <f t="shared" si="23"/>
        <v>0</v>
      </c>
    </row>
    <row r="197" spans="2:15">
      <c r="B197" s="12">
        <v>2</v>
      </c>
      <c r="C197" s="4" t="s">
        <v>152</v>
      </c>
      <c r="D197" s="4" t="s">
        <v>150</v>
      </c>
      <c r="E197" s="4">
        <v>8</v>
      </c>
      <c r="F197" s="4">
        <v>6</v>
      </c>
      <c r="G197" s="4">
        <v>6</v>
      </c>
      <c r="H197" s="115"/>
      <c r="I197" s="115"/>
      <c r="J197" s="115"/>
      <c r="K197" s="115">
        <v>0</v>
      </c>
      <c r="L197" s="12">
        <f t="shared" si="20"/>
        <v>0</v>
      </c>
      <c r="M197" s="4">
        <f t="shared" si="21"/>
        <v>0</v>
      </c>
      <c r="N197" s="4">
        <f t="shared" si="22"/>
        <v>0</v>
      </c>
      <c r="O197" s="13">
        <f t="shared" si="23"/>
        <v>0</v>
      </c>
    </row>
    <row r="198" spans="2:15">
      <c r="B198" s="12">
        <v>2</v>
      </c>
      <c r="C198" s="4" t="s">
        <v>152</v>
      </c>
      <c r="D198" s="4" t="s">
        <v>150</v>
      </c>
      <c r="E198" s="4">
        <v>8</v>
      </c>
      <c r="F198" s="4">
        <v>6</v>
      </c>
      <c r="G198" s="4">
        <v>7</v>
      </c>
      <c r="H198" s="115"/>
      <c r="I198" s="115"/>
      <c r="J198" s="115"/>
      <c r="K198" s="115">
        <v>0</v>
      </c>
      <c r="L198" s="12">
        <f t="shared" si="20"/>
        <v>0</v>
      </c>
      <c r="M198" s="4">
        <f t="shared" si="21"/>
        <v>0</v>
      </c>
      <c r="N198" s="4">
        <f t="shared" si="22"/>
        <v>0</v>
      </c>
      <c r="O198" s="13">
        <f t="shared" si="23"/>
        <v>0</v>
      </c>
    </row>
    <row r="199" spans="2:15">
      <c r="B199" s="12">
        <v>2</v>
      </c>
      <c r="C199" s="4" t="s">
        <v>152</v>
      </c>
      <c r="D199" s="4" t="s">
        <v>150</v>
      </c>
      <c r="E199" s="4">
        <v>8</v>
      </c>
      <c r="F199" s="4">
        <v>6</v>
      </c>
      <c r="G199" s="4">
        <v>8</v>
      </c>
      <c r="H199" s="115"/>
      <c r="I199" s="115"/>
      <c r="J199" s="115"/>
      <c r="K199" s="115">
        <v>0</v>
      </c>
      <c r="L199" s="12">
        <f t="shared" si="20"/>
        <v>0</v>
      </c>
      <c r="M199" s="4">
        <f t="shared" si="21"/>
        <v>0</v>
      </c>
      <c r="N199" s="4">
        <f t="shared" si="22"/>
        <v>0</v>
      </c>
      <c r="O199" s="13">
        <f t="shared" si="23"/>
        <v>0</v>
      </c>
    </row>
    <row r="200" spans="2:15">
      <c r="B200" s="12">
        <v>2</v>
      </c>
      <c r="C200" s="4" t="s">
        <v>152</v>
      </c>
      <c r="D200" s="4" t="s">
        <v>150</v>
      </c>
      <c r="E200" s="4">
        <v>8</v>
      </c>
      <c r="F200" s="4">
        <v>6</v>
      </c>
      <c r="G200" s="4">
        <v>9</v>
      </c>
      <c r="H200" s="115"/>
      <c r="I200" s="115"/>
      <c r="J200" s="115"/>
      <c r="K200" s="115">
        <v>0</v>
      </c>
      <c r="L200" s="12">
        <f t="shared" si="20"/>
        <v>0</v>
      </c>
      <c r="M200" s="4">
        <f t="shared" si="21"/>
        <v>0</v>
      </c>
      <c r="N200" s="4">
        <f t="shared" si="22"/>
        <v>0</v>
      </c>
      <c r="O200" s="13">
        <f t="shared" si="23"/>
        <v>0</v>
      </c>
    </row>
    <row r="201" spans="2:15" ht="13.8" thickBot="1">
      <c r="B201" s="14">
        <v>2</v>
      </c>
      <c r="C201" s="15" t="s">
        <v>152</v>
      </c>
      <c r="D201" s="15" t="s">
        <v>150</v>
      </c>
      <c r="E201" s="15">
        <v>8</v>
      </c>
      <c r="F201" s="15">
        <v>6</v>
      </c>
      <c r="G201" s="15">
        <v>10</v>
      </c>
      <c r="H201" s="121"/>
      <c r="I201" s="121"/>
      <c r="J201" s="121"/>
      <c r="K201" s="121">
        <v>0</v>
      </c>
      <c r="L201" s="14">
        <f t="shared" si="20"/>
        <v>0</v>
      </c>
      <c r="M201" s="15">
        <f t="shared" si="21"/>
        <v>0</v>
      </c>
      <c r="N201" s="15">
        <f t="shared" si="22"/>
        <v>0</v>
      </c>
      <c r="O201" s="16">
        <f t="shared" si="23"/>
        <v>0</v>
      </c>
    </row>
    <row r="202" spans="2:15">
      <c r="B202" s="9">
        <v>2</v>
      </c>
      <c r="C202" s="10" t="s">
        <v>152</v>
      </c>
      <c r="D202" s="10" t="s">
        <v>149</v>
      </c>
      <c r="E202" s="93">
        <v>9</v>
      </c>
      <c r="F202" s="93">
        <v>10</v>
      </c>
      <c r="G202" s="10">
        <v>1</v>
      </c>
      <c r="H202" s="120"/>
      <c r="I202" s="120"/>
      <c r="J202" s="120">
        <v>0.89899999999994407</v>
      </c>
      <c r="K202" s="120">
        <v>0.89899999999994407</v>
      </c>
      <c r="L202" s="9">
        <f t="shared" si="20"/>
        <v>0</v>
      </c>
      <c r="M202" s="10">
        <f t="shared" si="21"/>
        <v>0</v>
      </c>
      <c r="N202" s="10">
        <f t="shared" si="22"/>
        <v>0.27852496473700472</v>
      </c>
      <c r="O202" s="11">
        <f t="shared" si="23"/>
        <v>0.27852496473700472</v>
      </c>
    </row>
    <row r="203" spans="2:15">
      <c r="B203" s="12">
        <v>2</v>
      </c>
      <c r="C203" s="4" t="s">
        <v>152</v>
      </c>
      <c r="D203" s="4" t="s">
        <v>149</v>
      </c>
      <c r="E203" s="4">
        <v>9</v>
      </c>
      <c r="F203" s="4">
        <v>10</v>
      </c>
      <c r="G203" s="4">
        <v>2</v>
      </c>
      <c r="H203" s="115">
        <v>1.18100000000004</v>
      </c>
      <c r="I203" s="115">
        <v>0.66599999999993997</v>
      </c>
      <c r="J203" s="115">
        <v>1.8149999999999977</v>
      </c>
      <c r="K203" s="115">
        <v>3.6619999999999777</v>
      </c>
      <c r="L203" s="12">
        <f t="shared" si="20"/>
        <v>0.33865566557870824</v>
      </c>
      <c r="M203" s="4">
        <f t="shared" si="21"/>
        <v>0.22167499707075314</v>
      </c>
      <c r="N203" s="4">
        <f t="shared" si="22"/>
        <v>0.44947839918736471</v>
      </c>
      <c r="O203" s="13">
        <f t="shared" si="23"/>
        <v>0.66857226918455581</v>
      </c>
    </row>
    <row r="204" spans="2:15">
      <c r="B204" s="12">
        <v>2</v>
      </c>
      <c r="C204" s="4" t="s">
        <v>152</v>
      </c>
      <c r="D204" s="4" t="s">
        <v>149</v>
      </c>
      <c r="E204" s="4">
        <v>9</v>
      </c>
      <c r="F204" s="4">
        <v>10</v>
      </c>
      <c r="G204" s="4">
        <v>3</v>
      </c>
      <c r="H204" s="115"/>
      <c r="I204" s="115">
        <v>0.10000000000002274</v>
      </c>
      <c r="J204" s="115"/>
      <c r="K204" s="115">
        <v>0.10000000000002274</v>
      </c>
      <c r="L204" s="12">
        <f t="shared" si="20"/>
        <v>0</v>
      </c>
      <c r="M204" s="4">
        <f t="shared" si="21"/>
        <v>4.1392685158234015E-2</v>
      </c>
      <c r="N204" s="4">
        <f t="shared" si="22"/>
        <v>0</v>
      </c>
      <c r="O204" s="13">
        <f t="shared" si="23"/>
        <v>4.1392685158234015E-2</v>
      </c>
    </row>
    <row r="205" spans="2:15">
      <c r="B205" s="12">
        <v>2</v>
      </c>
      <c r="C205" s="4" t="s">
        <v>152</v>
      </c>
      <c r="D205" s="4" t="s">
        <v>149</v>
      </c>
      <c r="E205" s="4">
        <v>9</v>
      </c>
      <c r="F205" s="4">
        <v>10</v>
      </c>
      <c r="G205" s="4">
        <v>4</v>
      </c>
      <c r="H205" s="115"/>
      <c r="I205" s="115"/>
      <c r="J205" s="115"/>
      <c r="K205" s="115">
        <v>0</v>
      </c>
      <c r="L205" s="12">
        <f t="shared" si="20"/>
        <v>0</v>
      </c>
      <c r="M205" s="4">
        <f t="shared" si="21"/>
        <v>0</v>
      </c>
      <c r="N205" s="4">
        <f t="shared" si="22"/>
        <v>0</v>
      </c>
      <c r="O205" s="13">
        <f t="shared" si="23"/>
        <v>0</v>
      </c>
    </row>
    <row r="206" spans="2:15">
      <c r="B206" s="12">
        <v>2</v>
      </c>
      <c r="C206" s="4" t="s">
        <v>152</v>
      </c>
      <c r="D206" s="4" t="s">
        <v>149</v>
      </c>
      <c r="E206" s="4">
        <v>9</v>
      </c>
      <c r="F206" s="4">
        <v>10</v>
      </c>
      <c r="G206" s="4">
        <v>5</v>
      </c>
      <c r="H206" s="115"/>
      <c r="I206" s="115"/>
      <c r="J206" s="115"/>
      <c r="K206" s="115">
        <v>0</v>
      </c>
      <c r="L206" s="12">
        <f t="shared" si="20"/>
        <v>0</v>
      </c>
      <c r="M206" s="4">
        <f t="shared" si="21"/>
        <v>0</v>
      </c>
      <c r="N206" s="4">
        <f t="shared" si="22"/>
        <v>0</v>
      </c>
      <c r="O206" s="13">
        <f t="shared" si="23"/>
        <v>0</v>
      </c>
    </row>
    <row r="207" spans="2:15">
      <c r="B207" s="12">
        <v>2</v>
      </c>
      <c r="C207" s="4" t="s">
        <v>152</v>
      </c>
      <c r="D207" s="4" t="s">
        <v>149</v>
      </c>
      <c r="E207" s="4">
        <v>9</v>
      </c>
      <c r="F207" s="4">
        <v>10</v>
      </c>
      <c r="G207" s="4">
        <v>6</v>
      </c>
      <c r="H207" s="115"/>
      <c r="I207" s="115"/>
      <c r="J207" s="115"/>
      <c r="K207" s="115">
        <v>0</v>
      </c>
      <c r="L207" s="12">
        <f t="shared" si="20"/>
        <v>0</v>
      </c>
      <c r="M207" s="4">
        <f t="shared" si="21"/>
        <v>0</v>
      </c>
      <c r="N207" s="4">
        <f t="shared" si="22"/>
        <v>0</v>
      </c>
      <c r="O207" s="13">
        <f t="shared" si="23"/>
        <v>0</v>
      </c>
    </row>
    <row r="208" spans="2:15">
      <c r="B208" s="12">
        <v>2</v>
      </c>
      <c r="C208" s="4" t="s">
        <v>152</v>
      </c>
      <c r="D208" s="4" t="s">
        <v>149</v>
      </c>
      <c r="E208" s="4">
        <v>9</v>
      </c>
      <c r="F208" s="4">
        <v>10</v>
      </c>
      <c r="G208" s="4">
        <v>7</v>
      </c>
      <c r="H208" s="115"/>
      <c r="I208" s="115"/>
      <c r="J208" s="115"/>
      <c r="K208" s="115">
        <v>0</v>
      </c>
      <c r="L208" s="12">
        <f t="shared" si="20"/>
        <v>0</v>
      </c>
      <c r="M208" s="4">
        <f t="shared" si="21"/>
        <v>0</v>
      </c>
      <c r="N208" s="4">
        <f t="shared" si="22"/>
        <v>0</v>
      </c>
      <c r="O208" s="13">
        <f t="shared" si="23"/>
        <v>0</v>
      </c>
    </row>
    <row r="209" spans="2:15">
      <c r="B209" s="12">
        <v>2</v>
      </c>
      <c r="C209" s="4" t="s">
        <v>152</v>
      </c>
      <c r="D209" s="4" t="s">
        <v>149</v>
      </c>
      <c r="E209" s="4">
        <v>9</v>
      </c>
      <c r="F209" s="4">
        <v>10</v>
      </c>
      <c r="G209" s="4">
        <v>8</v>
      </c>
      <c r="H209" s="115"/>
      <c r="I209" s="115"/>
      <c r="J209" s="115"/>
      <c r="K209" s="115">
        <v>0</v>
      </c>
      <c r="L209" s="12">
        <f t="shared" si="20"/>
        <v>0</v>
      </c>
      <c r="M209" s="4">
        <f t="shared" si="21"/>
        <v>0</v>
      </c>
      <c r="N209" s="4">
        <f t="shared" si="22"/>
        <v>0</v>
      </c>
      <c r="O209" s="13">
        <f t="shared" si="23"/>
        <v>0</v>
      </c>
    </row>
    <row r="210" spans="2:15">
      <c r="B210" s="12">
        <v>2</v>
      </c>
      <c r="C210" s="4" t="s">
        <v>152</v>
      </c>
      <c r="D210" s="4" t="s">
        <v>149</v>
      </c>
      <c r="E210" s="4">
        <v>9</v>
      </c>
      <c r="F210" s="4">
        <v>10</v>
      </c>
      <c r="G210" s="4">
        <v>9</v>
      </c>
      <c r="H210" s="115"/>
      <c r="I210" s="115"/>
      <c r="J210" s="115"/>
      <c r="K210" s="115">
        <v>0</v>
      </c>
      <c r="L210" s="12">
        <f t="shared" si="20"/>
        <v>0</v>
      </c>
      <c r="M210" s="4">
        <f t="shared" si="21"/>
        <v>0</v>
      </c>
      <c r="N210" s="4">
        <f t="shared" si="22"/>
        <v>0</v>
      </c>
      <c r="O210" s="13">
        <f t="shared" si="23"/>
        <v>0</v>
      </c>
    </row>
    <row r="211" spans="2:15" ht="13.8" thickBot="1">
      <c r="B211" s="14">
        <v>2</v>
      </c>
      <c r="C211" s="15" t="s">
        <v>152</v>
      </c>
      <c r="D211" s="15" t="s">
        <v>149</v>
      </c>
      <c r="E211" s="15">
        <v>9</v>
      </c>
      <c r="F211" s="15">
        <v>10</v>
      </c>
      <c r="G211" s="15">
        <v>10</v>
      </c>
      <c r="H211" s="121"/>
      <c r="I211" s="121"/>
      <c r="J211" s="121"/>
      <c r="K211" s="121">
        <v>0</v>
      </c>
      <c r="L211" s="14">
        <f t="shared" si="20"/>
        <v>0</v>
      </c>
      <c r="M211" s="15">
        <f t="shared" si="21"/>
        <v>0</v>
      </c>
      <c r="N211" s="15">
        <f t="shared" si="22"/>
        <v>0</v>
      </c>
      <c r="O211" s="16">
        <f t="shared" si="23"/>
        <v>0</v>
      </c>
    </row>
    <row r="212" spans="2:15">
      <c r="B212" s="9">
        <v>2</v>
      </c>
      <c r="C212" s="10" t="s">
        <v>152</v>
      </c>
      <c r="D212" s="10" t="s">
        <v>149</v>
      </c>
      <c r="E212" s="93">
        <v>10</v>
      </c>
      <c r="F212" s="93">
        <v>12</v>
      </c>
      <c r="G212" s="10">
        <v>1</v>
      </c>
      <c r="H212" s="120">
        <v>1.0650000000000546</v>
      </c>
      <c r="I212" s="120">
        <v>1.3830000000000382</v>
      </c>
      <c r="J212" s="120">
        <v>0.30100000000004457</v>
      </c>
      <c r="K212" s="120">
        <v>2.7490000000001373</v>
      </c>
      <c r="L212" s="9">
        <f t="shared" si="20"/>
        <v>0.31492005599243128</v>
      </c>
      <c r="M212" s="10">
        <f t="shared" si="21"/>
        <v>0.37712404234646307</v>
      </c>
      <c r="N212" s="10">
        <f t="shared" si="22"/>
        <v>0.11427729656160113</v>
      </c>
      <c r="O212" s="11">
        <f t="shared" si="23"/>
        <v>0.57391544042156661</v>
      </c>
    </row>
    <row r="213" spans="2:15">
      <c r="B213" s="12">
        <v>2</v>
      </c>
      <c r="C213" s="4" t="s">
        <v>152</v>
      </c>
      <c r="D213" s="4" t="s">
        <v>149</v>
      </c>
      <c r="E213" s="4">
        <v>10</v>
      </c>
      <c r="F213" s="4">
        <v>12</v>
      </c>
      <c r="G213" s="4">
        <v>2</v>
      </c>
      <c r="H213" s="115"/>
      <c r="I213" s="115"/>
      <c r="J213" s="115"/>
      <c r="K213" s="115">
        <v>0</v>
      </c>
      <c r="L213" s="12">
        <f t="shared" si="20"/>
        <v>0</v>
      </c>
      <c r="M213" s="4">
        <f t="shared" si="21"/>
        <v>0</v>
      </c>
      <c r="N213" s="4">
        <f t="shared" si="22"/>
        <v>0</v>
      </c>
      <c r="O213" s="13">
        <f t="shared" si="23"/>
        <v>0</v>
      </c>
    </row>
    <row r="214" spans="2:15">
      <c r="B214" s="12">
        <v>2</v>
      </c>
      <c r="C214" s="4" t="s">
        <v>152</v>
      </c>
      <c r="D214" s="4" t="s">
        <v>149</v>
      </c>
      <c r="E214" s="4">
        <v>10</v>
      </c>
      <c r="F214" s="4">
        <v>12</v>
      </c>
      <c r="G214" s="4">
        <v>3</v>
      </c>
      <c r="H214" s="115"/>
      <c r="I214" s="115"/>
      <c r="J214" s="115"/>
      <c r="K214" s="115">
        <v>0</v>
      </c>
      <c r="L214" s="12">
        <f t="shared" si="20"/>
        <v>0</v>
      </c>
      <c r="M214" s="4">
        <f t="shared" si="21"/>
        <v>0</v>
      </c>
      <c r="N214" s="4">
        <f t="shared" si="22"/>
        <v>0</v>
      </c>
      <c r="O214" s="13">
        <f t="shared" si="23"/>
        <v>0</v>
      </c>
    </row>
    <row r="215" spans="2:15">
      <c r="B215" s="12">
        <v>2</v>
      </c>
      <c r="C215" s="4" t="s">
        <v>152</v>
      </c>
      <c r="D215" s="4" t="s">
        <v>149</v>
      </c>
      <c r="E215" s="4">
        <v>10</v>
      </c>
      <c r="F215" s="4">
        <v>12</v>
      </c>
      <c r="G215" s="4">
        <v>4</v>
      </c>
      <c r="H215" s="115"/>
      <c r="I215" s="115"/>
      <c r="J215" s="115"/>
      <c r="K215" s="115">
        <v>0</v>
      </c>
      <c r="L215" s="12">
        <f t="shared" si="20"/>
        <v>0</v>
      </c>
      <c r="M215" s="4">
        <f t="shared" si="21"/>
        <v>0</v>
      </c>
      <c r="N215" s="4">
        <f t="shared" si="22"/>
        <v>0</v>
      </c>
      <c r="O215" s="13">
        <f t="shared" si="23"/>
        <v>0</v>
      </c>
    </row>
    <row r="216" spans="2:15">
      <c r="B216" s="12">
        <v>2</v>
      </c>
      <c r="C216" s="4" t="s">
        <v>152</v>
      </c>
      <c r="D216" s="4" t="s">
        <v>149</v>
      </c>
      <c r="E216" s="4">
        <v>10</v>
      </c>
      <c r="F216" s="4">
        <v>12</v>
      </c>
      <c r="G216" s="4">
        <v>5</v>
      </c>
      <c r="H216" s="115"/>
      <c r="I216" s="115"/>
      <c r="J216" s="115"/>
      <c r="K216" s="115">
        <v>0</v>
      </c>
      <c r="L216" s="12">
        <f t="shared" si="20"/>
        <v>0</v>
      </c>
      <c r="M216" s="4">
        <f t="shared" si="21"/>
        <v>0</v>
      </c>
      <c r="N216" s="4">
        <f t="shared" si="22"/>
        <v>0</v>
      </c>
      <c r="O216" s="13">
        <f t="shared" si="23"/>
        <v>0</v>
      </c>
    </row>
    <row r="217" spans="2:15">
      <c r="B217" s="12">
        <v>2</v>
      </c>
      <c r="C217" s="4" t="s">
        <v>152</v>
      </c>
      <c r="D217" s="4" t="s">
        <v>149</v>
      </c>
      <c r="E217" s="4">
        <v>10</v>
      </c>
      <c r="F217" s="4">
        <v>12</v>
      </c>
      <c r="G217" s="4">
        <v>6</v>
      </c>
      <c r="H217" s="115"/>
      <c r="I217" s="115"/>
      <c r="J217" s="115"/>
      <c r="K217" s="115">
        <v>0</v>
      </c>
      <c r="L217" s="12">
        <f t="shared" si="20"/>
        <v>0</v>
      </c>
      <c r="M217" s="4">
        <f t="shared" si="21"/>
        <v>0</v>
      </c>
      <c r="N217" s="4">
        <f t="shared" si="22"/>
        <v>0</v>
      </c>
      <c r="O217" s="13">
        <f t="shared" si="23"/>
        <v>0</v>
      </c>
    </row>
    <row r="218" spans="2:15">
      <c r="B218" s="12">
        <v>2</v>
      </c>
      <c r="C218" s="4" t="s">
        <v>152</v>
      </c>
      <c r="D218" s="4" t="s">
        <v>149</v>
      </c>
      <c r="E218" s="4">
        <v>10</v>
      </c>
      <c r="F218" s="4">
        <v>12</v>
      </c>
      <c r="G218" s="4">
        <v>7</v>
      </c>
      <c r="H218" s="115"/>
      <c r="I218" s="115"/>
      <c r="J218" s="115"/>
      <c r="K218" s="115">
        <v>0</v>
      </c>
      <c r="L218" s="12">
        <f t="shared" si="20"/>
        <v>0</v>
      </c>
      <c r="M218" s="4">
        <f t="shared" si="21"/>
        <v>0</v>
      </c>
      <c r="N218" s="4">
        <f t="shared" si="22"/>
        <v>0</v>
      </c>
      <c r="O218" s="13">
        <f t="shared" si="23"/>
        <v>0</v>
      </c>
    </row>
    <row r="219" spans="2:15">
      <c r="B219" s="12">
        <v>2</v>
      </c>
      <c r="C219" s="4" t="s">
        <v>152</v>
      </c>
      <c r="D219" s="4" t="s">
        <v>149</v>
      </c>
      <c r="E219" s="4">
        <v>10</v>
      </c>
      <c r="F219" s="4">
        <v>12</v>
      </c>
      <c r="G219" s="4">
        <v>8</v>
      </c>
      <c r="H219" s="115"/>
      <c r="I219" s="115"/>
      <c r="J219" s="115"/>
      <c r="K219" s="115">
        <v>0</v>
      </c>
      <c r="L219" s="12">
        <f t="shared" si="20"/>
        <v>0</v>
      </c>
      <c r="M219" s="4">
        <f t="shared" si="21"/>
        <v>0</v>
      </c>
      <c r="N219" s="4">
        <f t="shared" si="22"/>
        <v>0</v>
      </c>
      <c r="O219" s="13">
        <f t="shared" si="23"/>
        <v>0</v>
      </c>
    </row>
    <row r="220" spans="2:15">
      <c r="B220" s="12">
        <v>2</v>
      </c>
      <c r="C220" s="4" t="s">
        <v>152</v>
      </c>
      <c r="D220" s="4" t="s">
        <v>149</v>
      </c>
      <c r="E220" s="4">
        <v>10</v>
      </c>
      <c r="F220" s="4">
        <v>12</v>
      </c>
      <c r="G220" s="4">
        <v>9</v>
      </c>
      <c r="H220" s="115"/>
      <c r="I220" s="115"/>
      <c r="J220" s="115"/>
      <c r="K220" s="115">
        <v>0</v>
      </c>
      <c r="L220" s="12">
        <f t="shared" si="20"/>
        <v>0</v>
      </c>
      <c r="M220" s="4">
        <f t="shared" si="21"/>
        <v>0</v>
      </c>
      <c r="N220" s="4">
        <f t="shared" si="22"/>
        <v>0</v>
      </c>
      <c r="O220" s="13">
        <f t="shared" si="23"/>
        <v>0</v>
      </c>
    </row>
    <row r="221" spans="2:15" ht="13.8" thickBot="1">
      <c r="B221" s="14">
        <v>2</v>
      </c>
      <c r="C221" s="15" t="s">
        <v>152</v>
      </c>
      <c r="D221" s="15" t="s">
        <v>149</v>
      </c>
      <c r="E221" s="15">
        <v>10</v>
      </c>
      <c r="F221" s="15">
        <v>12</v>
      </c>
      <c r="G221" s="15">
        <v>10</v>
      </c>
      <c r="H221" s="121"/>
      <c r="I221" s="121"/>
      <c r="J221" s="121"/>
      <c r="K221" s="121">
        <v>0</v>
      </c>
      <c r="L221" s="14">
        <f t="shared" si="20"/>
        <v>0</v>
      </c>
      <c r="M221" s="15">
        <f t="shared" si="21"/>
        <v>0</v>
      </c>
      <c r="N221" s="15">
        <f t="shared" si="22"/>
        <v>0</v>
      </c>
      <c r="O221" s="16">
        <f t="shared" si="23"/>
        <v>0</v>
      </c>
    </row>
    <row r="222" spans="2:15">
      <c r="B222" s="9">
        <v>2</v>
      </c>
      <c r="C222" s="10" t="s">
        <v>152</v>
      </c>
      <c r="D222" s="10" t="s">
        <v>154</v>
      </c>
      <c r="E222" s="93">
        <v>11</v>
      </c>
      <c r="F222" s="93">
        <v>4</v>
      </c>
      <c r="G222" s="10">
        <v>1</v>
      </c>
      <c r="H222" s="120">
        <v>0.10000000000002274</v>
      </c>
      <c r="I222" s="120">
        <v>0.68300000000004957</v>
      </c>
      <c r="J222" s="120"/>
      <c r="K222" s="120">
        <v>0.7830000000000723</v>
      </c>
      <c r="L222" s="9">
        <f t="shared" si="20"/>
        <v>4.1392685158234015E-2</v>
      </c>
      <c r="M222" s="10">
        <f t="shared" si="21"/>
        <v>0.22608411597583664</v>
      </c>
      <c r="N222" s="10">
        <f t="shared" si="22"/>
        <v>0</v>
      </c>
      <c r="O222" s="11">
        <f t="shared" si="23"/>
        <v>0.25115134317537219</v>
      </c>
    </row>
    <row r="223" spans="2:15">
      <c r="B223" s="12">
        <v>2</v>
      </c>
      <c r="C223" s="4" t="s">
        <v>152</v>
      </c>
      <c r="D223" s="4" t="s">
        <v>154</v>
      </c>
      <c r="E223" s="4">
        <v>11</v>
      </c>
      <c r="F223" s="4">
        <v>4</v>
      </c>
      <c r="G223" s="4">
        <v>2</v>
      </c>
      <c r="H223" s="115">
        <v>0.24999999999994316</v>
      </c>
      <c r="I223" s="115"/>
      <c r="J223" s="115">
        <v>0.30000000000001137</v>
      </c>
      <c r="K223" s="115">
        <v>0.54999999999995453</v>
      </c>
      <c r="L223" s="12">
        <f t="shared" si="20"/>
        <v>9.6910013008036672E-2</v>
      </c>
      <c r="M223" s="4">
        <f t="shared" si="21"/>
        <v>0</v>
      </c>
      <c r="N223" s="4">
        <f t="shared" si="22"/>
        <v>0.11394335230684056</v>
      </c>
      <c r="O223" s="13">
        <f t="shared" si="23"/>
        <v>0.19033169817027873</v>
      </c>
    </row>
    <row r="224" spans="2:15">
      <c r="B224" s="12">
        <v>2</v>
      </c>
      <c r="C224" s="4" t="s">
        <v>152</v>
      </c>
      <c r="D224" s="4" t="s">
        <v>154</v>
      </c>
      <c r="E224" s="4">
        <v>11</v>
      </c>
      <c r="F224" s="4">
        <v>4</v>
      </c>
      <c r="G224" s="4">
        <v>3</v>
      </c>
      <c r="H224" s="115">
        <v>0.55100000000004457</v>
      </c>
      <c r="I224" s="115">
        <v>0.61599999999998545</v>
      </c>
      <c r="J224" s="115">
        <v>1.4680000000000177</v>
      </c>
      <c r="K224" s="115">
        <v>2.6350000000000477</v>
      </c>
      <c r="L224" s="12">
        <f t="shared" si="20"/>
        <v>0.19061179781361742</v>
      </c>
      <c r="M224" s="4">
        <f t="shared" si="21"/>
        <v>0.20844135643856346</v>
      </c>
      <c r="N224" s="4">
        <f t="shared" si="22"/>
        <v>0.39234515536120718</v>
      </c>
      <c r="O224" s="13">
        <f t="shared" si="23"/>
        <v>0.56050441519506233</v>
      </c>
    </row>
    <row r="225" spans="2:15">
      <c r="B225" s="12">
        <v>2</v>
      </c>
      <c r="C225" s="4" t="s">
        <v>152</v>
      </c>
      <c r="D225" s="4" t="s">
        <v>154</v>
      </c>
      <c r="E225" s="4">
        <v>11</v>
      </c>
      <c r="F225" s="4">
        <v>4</v>
      </c>
      <c r="G225" s="4">
        <v>4</v>
      </c>
      <c r="H225" s="115">
        <v>0.39900000000000091</v>
      </c>
      <c r="I225" s="115"/>
      <c r="J225" s="115"/>
      <c r="K225" s="115">
        <v>0.39900000000000091</v>
      </c>
      <c r="L225" s="12">
        <f t="shared" si="20"/>
        <v>0.1458177144918279</v>
      </c>
      <c r="M225" s="4">
        <f t="shared" si="21"/>
        <v>0</v>
      </c>
      <c r="N225" s="4">
        <f t="shared" si="22"/>
        <v>0</v>
      </c>
      <c r="O225" s="13">
        <f t="shared" si="23"/>
        <v>0.1458177144918279</v>
      </c>
    </row>
    <row r="226" spans="2:15">
      <c r="B226" s="12">
        <v>2</v>
      </c>
      <c r="C226" s="4" t="s">
        <v>152</v>
      </c>
      <c r="D226" s="4" t="s">
        <v>154</v>
      </c>
      <c r="E226" s="4">
        <v>11</v>
      </c>
      <c r="F226" s="4">
        <v>4</v>
      </c>
      <c r="G226" s="4">
        <v>5</v>
      </c>
      <c r="H226" s="115"/>
      <c r="I226" s="115"/>
      <c r="J226" s="115">
        <v>0.19999999999998863</v>
      </c>
      <c r="K226" s="115">
        <v>0.19999999999998863</v>
      </c>
      <c r="L226" s="12">
        <f t="shared" si="20"/>
        <v>0</v>
      </c>
      <c r="M226" s="4">
        <f t="shared" si="21"/>
        <v>0</v>
      </c>
      <c r="N226" s="4">
        <f t="shared" si="22"/>
        <v>7.918124604762071E-2</v>
      </c>
      <c r="O226" s="13">
        <f t="shared" si="23"/>
        <v>7.918124604762071E-2</v>
      </c>
    </row>
    <row r="227" spans="2:15">
      <c r="B227" s="12">
        <v>2</v>
      </c>
      <c r="C227" s="4" t="s">
        <v>152</v>
      </c>
      <c r="D227" s="4" t="s">
        <v>154</v>
      </c>
      <c r="E227" s="4">
        <v>11</v>
      </c>
      <c r="F227" s="4">
        <v>4</v>
      </c>
      <c r="G227" s="4">
        <v>6</v>
      </c>
      <c r="H227" s="115"/>
      <c r="I227" s="115"/>
      <c r="J227" s="115"/>
      <c r="K227" s="115">
        <v>0</v>
      </c>
      <c r="L227" s="12">
        <f t="shared" si="20"/>
        <v>0</v>
      </c>
      <c r="M227" s="4">
        <f t="shared" si="21"/>
        <v>0</v>
      </c>
      <c r="N227" s="4">
        <f t="shared" si="22"/>
        <v>0</v>
      </c>
      <c r="O227" s="13">
        <f t="shared" si="23"/>
        <v>0</v>
      </c>
    </row>
    <row r="228" spans="2:15">
      <c r="B228" s="12">
        <v>2</v>
      </c>
      <c r="C228" s="4" t="s">
        <v>152</v>
      </c>
      <c r="D228" s="4" t="s">
        <v>154</v>
      </c>
      <c r="E228" s="4">
        <v>11</v>
      </c>
      <c r="F228" s="4">
        <v>4</v>
      </c>
      <c r="G228" s="4">
        <v>7</v>
      </c>
      <c r="H228" s="115"/>
      <c r="I228" s="115"/>
      <c r="J228" s="115"/>
      <c r="K228" s="115">
        <v>0</v>
      </c>
      <c r="L228" s="12">
        <f t="shared" si="20"/>
        <v>0</v>
      </c>
      <c r="M228" s="4">
        <f t="shared" si="21"/>
        <v>0</v>
      </c>
      <c r="N228" s="4">
        <f t="shared" si="22"/>
        <v>0</v>
      </c>
      <c r="O228" s="13">
        <f t="shared" si="23"/>
        <v>0</v>
      </c>
    </row>
    <row r="229" spans="2:15">
      <c r="B229" s="12">
        <v>2</v>
      </c>
      <c r="C229" s="4" t="s">
        <v>152</v>
      </c>
      <c r="D229" s="4" t="s">
        <v>154</v>
      </c>
      <c r="E229" s="4">
        <v>11</v>
      </c>
      <c r="F229" s="4">
        <v>4</v>
      </c>
      <c r="G229" s="4">
        <v>8</v>
      </c>
      <c r="H229" s="115"/>
      <c r="I229" s="115"/>
      <c r="J229" s="115"/>
      <c r="K229" s="115">
        <v>0</v>
      </c>
      <c r="L229" s="12">
        <f t="shared" si="20"/>
        <v>0</v>
      </c>
      <c r="M229" s="4">
        <f t="shared" si="21"/>
        <v>0</v>
      </c>
      <c r="N229" s="4">
        <f t="shared" si="22"/>
        <v>0</v>
      </c>
      <c r="O229" s="13">
        <f t="shared" si="23"/>
        <v>0</v>
      </c>
    </row>
    <row r="230" spans="2:15">
      <c r="B230" s="12">
        <v>2</v>
      </c>
      <c r="C230" s="4" t="s">
        <v>152</v>
      </c>
      <c r="D230" s="4" t="s">
        <v>154</v>
      </c>
      <c r="E230" s="4">
        <v>11</v>
      </c>
      <c r="F230" s="4">
        <v>4</v>
      </c>
      <c r="G230" s="4">
        <v>9</v>
      </c>
      <c r="H230" s="115"/>
      <c r="I230" s="115"/>
      <c r="J230" s="115"/>
      <c r="K230" s="115">
        <v>0</v>
      </c>
      <c r="L230" s="12">
        <f t="shared" si="20"/>
        <v>0</v>
      </c>
      <c r="M230" s="4">
        <f t="shared" si="21"/>
        <v>0</v>
      </c>
      <c r="N230" s="4">
        <f t="shared" si="22"/>
        <v>0</v>
      </c>
      <c r="O230" s="13">
        <f t="shared" si="23"/>
        <v>0</v>
      </c>
    </row>
    <row r="231" spans="2:15" ht="13.8" thickBot="1">
      <c r="B231" s="14">
        <v>2</v>
      </c>
      <c r="C231" s="15" t="s">
        <v>152</v>
      </c>
      <c r="D231" s="15" t="s">
        <v>154</v>
      </c>
      <c r="E231" s="15">
        <v>11</v>
      </c>
      <c r="F231" s="15">
        <v>4</v>
      </c>
      <c r="G231" s="15">
        <v>10</v>
      </c>
      <c r="H231" s="121"/>
      <c r="I231" s="121"/>
      <c r="J231" s="121"/>
      <c r="K231" s="121">
        <v>0</v>
      </c>
      <c r="L231" s="14">
        <f t="shared" ref="L231:L294" si="24">LOG10(H231+1)</f>
        <v>0</v>
      </c>
      <c r="M231" s="15">
        <f t="shared" ref="M231:M294" si="25">LOG10(I231+1)</f>
        <v>0</v>
      </c>
      <c r="N231" s="15">
        <f t="shared" ref="N231:N294" si="26">LOG10(J231+1)</f>
        <v>0</v>
      </c>
      <c r="O231" s="16">
        <f t="shared" ref="O231:O294" si="27">LOG10(K231+1)</f>
        <v>0</v>
      </c>
    </row>
    <row r="232" spans="2:15">
      <c r="B232" s="9">
        <v>2</v>
      </c>
      <c r="C232" s="10" t="s">
        <v>152</v>
      </c>
      <c r="D232" s="10" t="s">
        <v>154</v>
      </c>
      <c r="E232" s="93">
        <v>12</v>
      </c>
      <c r="F232" s="93">
        <v>2</v>
      </c>
      <c r="G232" s="10">
        <v>1</v>
      </c>
      <c r="H232" s="120"/>
      <c r="I232" s="120"/>
      <c r="J232" s="120">
        <v>0.63299999999998136</v>
      </c>
      <c r="K232" s="120">
        <v>0.63299999999998136</v>
      </c>
      <c r="L232" s="9">
        <f t="shared" si="24"/>
        <v>0</v>
      </c>
      <c r="M232" s="10">
        <f t="shared" si="25"/>
        <v>0</v>
      </c>
      <c r="N232" s="10">
        <f t="shared" si="26"/>
        <v>0.2129861847366632</v>
      </c>
      <c r="O232" s="11">
        <f t="shared" si="27"/>
        <v>0.2129861847366632</v>
      </c>
    </row>
    <row r="233" spans="2:15">
      <c r="B233" s="12">
        <v>2</v>
      </c>
      <c r="C233" s="4" t="s">
        <v>152</v>
      </c>
      <c r="D233" s="4" t="s">
        <v>154</v>
      </c>
      <c r="E233" s="4">
        <v>12</v>
      </c>
      <c r="F233" s="4">
        <v>2</v>
      </c>
      <c r="G233" s="4">
        <v>2</v>
      </c>
      <c r="H233" s="115">
        <v>3.6319999999999197</v>
      </c>
      <c r="I233" s="115">
        <v>0.34999999999999432</v>
      </c>
      <c r="J233" s="115">
        <v>0.66599999999999682</v>
      </c>
      <c r="K233" s="115">
        <v>4.6479999999999109</v>
      </c>
      <c r="L233" s="12">
        <f t="shared" si="24"/>
        <v>0.66576855071937224</v>
      </c>
      <c r="M233" s="4">
        <f t="shared" si="25"/>
        <v>0.13033376849500428</v>
      </c>
      <c r="N233" s="4">
        <f t="shared" si="26"/>
        <v>0.22167499707076796</v>
      </c>
      <c r="O233" s="13">
        <f t="shared" si="27"/>
        <v>0.75189468804374049</v>
      </c>
    </row>
    <row r="234" spans="2:15">
      <c r="B234" s="12">
        <v>2</v>
      </c>
      <c r="C234" s="4" t="s">
        <v>152</v>
      </c>
      <c r="D234" s="4" t="s">
        <v>154</v>
      </c>
      <c r="E234" s="4">
        <v>12</v>
      </c>
      <c r="F234" s="4">
        <v>2</v>
      </c>
      <c r="G234" s="4">
        <v>3</v>
      </c>
      <c r="H234" s="115">
        <v>1.7340000000000657</v>
      </c>
      <c r="I234" s="115">
        <v>0.71599999999997976</v>
      </c>
      <c r="J234" s="115">
        <v>0.75</v>
      </c>
      <c r="K234" s="115">
        <v>3.2000000000000455</v>
      </c>
      <c r="L234" s="12">
        <f t="shared" si="24"/>
        <v>0.43679851023181393</v>
      </c>
      <c r="M234" s="4">
        <f t="shared" si="25"/>
        <v>0.23451728351268153</v>
      </c>
      <c r="N234" s="4">
        <f t="shared" si="26"/>
        <v>0.24303804868629444</v>
      </c>
      <c r="O234" s="13">
        <f t="shared" si="27"/>
        <v>0.62324929039790522</v>
      </c>
    </row>
    <row r="235" spans="2:15">
      <c r="B235" s="12">
        <v>2</v>
      </c>
      <c r="C235" s="4" t="s">
        <v>152</v>
      </c>
      <c r="D235" s="4" t="s">
        <v>154</v>
      </c>
      <c r="E235" s="4">
        <v>12</v>
      </c>
      <c r="F235" s="4">
        <v>2</v>
      </c>
      <c r="G235" s="4">
        <v>4</v>
      </c>
      <c r="H235" s="115"/>
      <c r="I235" s="115"/>
      <c r="J235" s="115"/>
      <c r="K235" s="115">
        <v>0</v>
      </c>
      <c r="L235" s="12">
        <f t="shared" si="24"/>
        <v>0</v>
      </c>
      <c r="M235" s="4">
        <f t="shared" si="25"/>
        <v>0</v>
      </c>
      <c r="N235" s="4">
        <f t="shared" si="26"/>
        <v>0</v>
      </c>
      <c r="O235" s="13">
        <f t="shared" si="27"/>
        <v>0</v>
      </c>
    </row>
    <row r="236" spans="2:15">
      <c r="B236" s="12">
        <v>2</v>
      </c>
      <c r="C236" s="4" t="s">
        <v>152</v>
      </c>
      <c r="D236" s="4" t="s">
        <v>154</v>
      </c>
      <c r="E236" s="4">
        <v>12</v>
      </c>
      <c r="F236" s="4">
        <v>2</v>
      </c>
      <c r="G236" s="4">
        <v>5</v>
      </c>
      <c r="H236" s="115"/>
      <c r="I236" s="115"/>
      <c r="J236" s="115"/>
      <c r="K236" s="115">
        <v>0</v>
      </c>
      <c r="L236" s="12">
        <f t="shared" si="24"/>
        <v>0</v>
      </c>
      <c r="M236" s="4">
        <f t="shared" si="25"/>
        <v>0</v>
      </c>
      <c r="N236" s="4">
        <f t="shared" si="26"/>
        <v>0</v>
      </c>
      <c r="O236" s="13">
        <f t="shared" si="27"/>
        <v>0</v>
      </c>
    </row>
    <row r="237" spans="2:15">
      <c r="B237" s="12">
        <v>2</v>
      </c>
      <c r="C237" s="4" t="s">
        <v>152</v>
      </c>
      <c r="D237" s="4" t="s">
        <v>154</v>
      </c>
      <c r="E237" s="4">
        <v>12</v>
      </c>
      <c r="F237" s="4">
        <v>2</v>
      </c>
      <c r="G237" s="4">
        <v>6</v>
      </c>
      <c r="H237" s="115"/>
      <c r="I237" s="115"/>
      <c r="J237" s="115"/>
      <c r="K237" s="115">
        <v>0</v>
      </c>
      <c r="L237" s="12">
        <f t="shared" si="24"/>
        <v>0</v>
      </c>
      <c r="M237" s="4">
        <f t="shared" si="25"/>
        <v>0</v>
      </c>
      <c r="N237" s="4">
        <f t="shared" si="26"/>
        <v>0</v>
      </c>
      <c r="O237" s="13">
        <f t="shared" si="27"/>
        <v>0</v>
      </c>
    </row>
    <row r="238" spans="2:15">
      <c r="B238" s="12">
        <v>2</v>
      </c>
      <c r="C238" s="4" t="s">
        <v>152</v>
      </c>
      <c r="D238" s="4" t="s">
        <v>154</v>
      </c>
      <c r="E238" s="4">
        <v>12</v>
      </c>
      <c r="F238" s="4">
        <v>2</v>
      </c>
      <c r="G238" s="4">
        <v>7</v>
      </c>
      <c r="H238" s="115"/>
      <c r="I238" s="115"/>
      <c r="J238" s="115"/>
      <c r="K238" s="115">
        <v>0</v>
      </c>
      <c r="L238" s="12">
        <f t="shared" si="24"/>
        <v>0</v>
      </c>
      <c r="M238" s="4">
        <f t="shared" si="25"/>
        <v>0</v>
      </c>
      <c r="N238" s="4">
        <f t="shared" si="26"/>
        <v>0</v>
      </c>
      <c r="O238" s="13">
        <f t="shared" si="27"/>
        <v>0</v>
      </c>
    </row>
    <row r="239" spans="2:15">
      <c r="B239" s="12">
        <v>2</v>
      </c>
      <c r="C239" s="4" t="s">
        <v>152</v>
      </c>
      <c r="D239" s="4" t="s">
        <v>154</v>
      </c>
      <c r="E239" s="4">
        <v>12</v>
      </c>
      <c r="F239" s="4">
        <v>2</v>
      </c>
      <c r="G239" s="4">
        <v>8</v>
      </c>
      <c r="H239" s="115"/>
      <c r="I239" s="115"/>
      <c r="J239" s="115"/>
      <c r="K239" s="115">
        <v>0</v>
      </c>
      <c r="L239" s="12">
        <f t="shared" si="24"/>
        <v>0</v>
      </c>
      <c r="M239" s="4">
        <f t="shared" si="25"/>
        <v>0</v>
      </c>
      <c r="N239" s="4">
        <f t="shared" si="26"/>
        <v>0</v>
      </c>
      <c r="O239" s="13">
        <f t="shared" si="27"/>
        <v>0</v>
      </c>
    </row>
    <row r="240" spans="2:15">
      <c r="B240" s="12">
        <v>2</v>
      </c>
      <c r="C240" s="4" t="s">
        <v>152</v>
      </c>
      <c r="D240" s="4" t="s">
        <v>154</v>
      </c>
      <c r="E240" s="4">
        <v>12</v>
      </c>
      <c r="F240" s="4">
        <v>2</v>
      </c>
      <c r="G240" s="4">
        <v>9</v>
      </c>
      <c r="H240" s="115"/>
      <c r="I240" s="115"/>
      <c r="J240" s="115"/>
      <c r="K240" s="115">
        <v>0</v>
      </c>
      <c r="L240" s="12">
        <f t="shared" si="24"/>
        <v>0</v>
      </c>
      <c r="M240" s="4">
        <f t="shared" si="25"/>
        <v>0</v>
      </c>
      <c r="N240" s="4">
        <f t="shared" si="26"/>
        <v>0</v>
      </c>
      <c r="O240" s="13">
        <f t="shared" si="27"/>
        <v>0</v>
      </c>
    </row>
    <row r="241" spans="2:15" ht="13.8" thickBot="1">
      <c r="B241" s="14">
        <v>2</v>
      </c>
      <c r="C241" s="15" t="s">
        <v>152</v>
      </c>
      <c r="D241" s="15" t="s">
        <v>154</v>
      </c>
      <c r="E241" s="15">
        <v>12</v>
      </c>
      <c r="F241" s="15">
        <v>2</v>
      </c>
      <c r="G241" s="15">
        <v>10</v>
      </c>
      <c r="H241" s="121"/>
      <c r="I241" s="121"/>
      <c r="J241" s="121"/>
      <c r="K241" s="121">
        <v>0</v>
      </c>
      <c r="L241" s="14">
        <f t="shared" si="24"/>
        <v>0</v>
      </c>
      <c r="M241" s="15">
        <f t="shared" si="25"/>
        <v>0</v>
      </c>
      <c r="N241" s="15">
        <f t="shared" si="26"/>
        <v>0</v>
      </c>
      <c r="O241" s="16">
        <f t="shared" si="27"/>
        <v>0</v>
      </c>
    </row>
    <row r="242" spans="2:15">
      <c r="B242" s="9">
        <v>3</v>
      </c>
      <c r="C242" s="10" t="s">
        <v>151</v>
      </c>
      <c r="D242" s="10" t="s">
        <v>149</v>
      </c>
      <c r="E242" s="93">
        <v>1</v>
      </c>
      <c r="F242" s="93">
        <v>3</v>
      </c>
      <c r="G242" s="10">
        <v>1</v>
      </c>
      <c r="H242" s="120">
        <v>0.5670000000000357</v>
      </c>
      <c r="I242" s="120">
        <v>1.2190000000000225</v>
      </c>
      <c r="J242" s="120">
        <v>2.1010000000000275</v>
      </c>
      <c r="K242" s="120">
        <v>3.8870000000000857</v>
      </c>
      <c r="L242" s="9">
        <f t="shared" si="24"/>
        <v>0.19506899646860001</v>
      </c>
      <c r="M242" s="10">
        <f t="shared" si="25"/>
        <v>0.34615730223201274</v>
      </c>
      <c r="N242" s="10">
        <f t="shared" si="26"/>
        <v>0.49150176623733022</v>
      </c>
      <c r="O242" s="11">
        <f t="shared" si="27"/>
        <v>0.68904233902817946</v>
      </c>
    </row>
    <row r="243" spans="2:15">
      <c r="B243" s="12">
        <v>3</v>
      </c>
      <c r="C243" s="4" t="s">
        <v>151</v>
      </c>
      <c r="D243" s="4" t="s">
        <v>149</v>
      </c>
      <c r="E243" s="4">
        <v>1</v>
      </c>
      <c r="F243" s="4">
        <v>3</v>
      </c>
      <c r="G243" s="4">
        <v>2</v>
      </c>
      <c r="H243" s="115">
        <v>0.26599999999999113</v>
      </c>
      <c r="I243" s="115"/>
      <c r="J243" s="115"/>
      <c r="K243" s="115">
        <v>0.26599999999999113</v>
      </c>
      <c r="L243" s="12">
        <f t="shared" si="24"/>
        <v>0.10243370568133325</v>
      </c>
      <c r="M243" s="4">
        <f t="shared" si="25"/>
        <v>0</v>
      </c>
      <c r="N243" s="4">
        <f t="shared" si="26"/>
        <v>0</v>
      </c>
      <c r="O243" s="13">
        <f t="shared" si="27"/>
        <v>0.10243370568133325</v>
      </c>
    </row>
    <row r="244" spans="2:15">
      <c r="B244" s="12">
        <v>3</v>
      </c>
      <c r="C244" s="4" t="s">
        <v>151</v>
      </c>
      <c r="D244" s="4" t="s">
        <v>149</v>
      </c>
      <c r="E244" s="4">
        <v>1</v>
      </c>
      <c r="F244" s="4">
        <v>3</v>
      </c>
      <c r="G244" s="4">
        <v>3</v>
      </c>
      <c r="H244" s="115"/>
      <c r="I244" s="115">
        <v>0.28300000000001546</v>
      </c>
      <c r="J244" s="115"/>
      <c r="K244" s="115">
        <v>0.28300000000001546</v>
      </c>
      <c r="L244" s="12">
        <f t="shared" si="24"/>
        <v>0</v>
      </c>
      <c r="M244" s="4">
        <f t="shared" si="25"/>
        <v>0.10822665637493374</v>
      </c>
      <c r="N244" s="4">
        <f t="shared" si="26"/>
        <v>0</v>
      </c>
      <c r="O244" s="13">
        <f t="shared" si="27"/>
        <v>0.10822665637493374</v>
      </c>
    </row>
    <row r="245" spans="2:15">
      <c r="B245" s="12">
        <v>3</v>
      </c>
      <c r="C245" s="4" t="s">
        <v>151</v>
      </c>
      <c r="D245" s="4" t="s">
        <v>149</v>
      </c>
      <c r="E245" s="4">
        <v>1</v>
      </c>
      <c r="F245" s="4">
        <v>3</v>
      </c>
      <c r="G245" s="4">
        <v>4</v>
      </c>
      <c r="H245" s="115"/>
      <c r="I245" s="115"/>
      <c r="J245" s="115"/>
      <c r="K245" s="115">
        <v>0</v>
      </c>
      <c r="L245" s="12">
        <f t="shared" si="24"/>
        <v>0</v>
      </c>
      <c r="M245" s="4">
        <f t="shared" si="25"/>
        <v>0</v>
      </c>
      <c r="N245" s="4">
        <f t="shared" si="26"/>
        <v>0</v>
      </c>
      <c r="O245" s="13">
        <f t="shared" si="27"/>
        <v>0</v>
      </c>
    </row>
    <row r="246" spans="2:15">
      <c r="B246" s="12">
        <v>3</v>
      </c>
      <c r="C246" s="4" t="s">
        <v>151</v>
      </c>
      <c r="D246" s="4" t="s">
        <v>149</v>
      </c>
      <c r="E246" s="4">
        <v>1</v>
      </c>
      <c r="F246" s="4">
        <v>3</v>
      </c>
      <c r="G246" s="4">
        <v>5</v>
      </c>
      <c r="H246" s="115"/>
      <c r="I246" s="115"/>
      <c r="J246" s="115"/>
      <c r="K246" s="115">
        <v>0</v>
      </c>
      <c r="L246" s="12">
        <f t="shared" si="24"/>
        <v>0</v>
      </c>
      <c r="M246" s="4">
        <f t="shared" si="25"/>
        <v>0</v>
      </c>
      <c r="N246" s="4">
        <f t="shared" si="26"/>
        <v>0</v>
      </c>
      <c r="O246" s="13">
        <f t="shared" si="27"/>
        <v>0</v>
      </c>
    </row>
    <row r="247" spans="2:15">
      <c r="B247" s="12">
        <v>3</v>
      </c>
      <c r="C247" s="4" t="s">
        <v>151</v>
      </c>
      <c r="D247" s="4" t="s">
        <v>149</v>
      </c>
      <c r="E247" s="4">
        <v>1</v>
      </c>
      <c r="F247" s="4">
        <v>3</v>
      </c>
      <c r="G247" s="4">
        <v>6</v>
      </c>
      <c r="H247" s="115"/>
      <c r="I247" s="115"/>
      <c r="J247" s="115"/>
      <c r="K247" s="115">
        <v>0</v>
      </c>
      <c r="L247" s="12">
        <f t="shared" si="24"/>
        <v>0</v>
      </c>
      <c r="M247" s="4">
        <f t="shared" si="25"/>
        <v>0</v>
      </c>
      <c r="N247" s="4">
        <f t="shared" si="26"/>
        <v>0</v>
      </c>
      <c r="O247" s="13">
        <f t="shared" si="27"/>
        <v>0</v>
      </c>
    </row>
    <row r="248" spans="2:15">
      <c r="B248" s="12">
        <v>3</v>
      </c>
      <c r="C248" s="4" t="s">
        <v>151</v>
      </c>
      <c r="D248" s="4" t="s">
        <v>149</v>
      </c>
      <c r="E248" s="4">
        <v>1</v>
      </c>
      <c r="F248" s="4">
        <v>3</v>
      </c>
      <c r="G248" s="4">
        <v>7</v>
      </c>
      <c r="H248" s="115"/>
      <c r="I248" s="115"/>
      <c r="J248" s="115"/>
      <c r="K248" s="115">
        <v>0</v>
      </c>
      <c r="L248" s="12">
        <f t="shared" si="24"/>
        <v>0</v>
      </c>
      <c r="M248" s="4">
        <f t="shared" si="25"/>
        <v>0</v>
      </c>
      <c r="N248" s="4">
        <f t="shared" si="26"/>
        <v>0</v>
      </c>
      <c r="O248" s="13">
        <f t="shared" si="27"/>
        <v>0</v>
      </c>
    </row>
    <row r="249" spans="2:15">
      <c r="B249" s="12">
        <v>3</v>
      </c>
      <c r="C249" s="4" t="s">
        <v>151</v>
      </c>
      <c r="D249" s="4" t="s">
        <v>149</v>
      </c>
      <c r="E249" s="4">
        <v>1</v>
      </c>
      <c r="F249" s="4">
        <v>3</v>
      </c>
      <c r="G249" s="4">
        <v>8</v>
      </c>
      <c r="H249" s="115"/>
      <c r="I249" s="115"/>
      <c r="J249" s="115"/>
      <c r="K249" s="115">
        <v>0</v>
      </c>
      <c r="L249" s="12">
        <f t="shared" si="24"/>
        <v>0</v>
      </c>
      <c r="M249" s="4">
        <f t="shared" si="25"/>
        <v>0</v>
      </c>
      <c r="N249" s="4">
        <f t="shared" si="26"/>
        <v>0</v>
      </c>
      <c r="O249" s="13">
        <f t="shared" si="27"/>
        <v>0</v>
      </c>
    </row>
    <row r="250" spans="2:15">
      <c r="B250" s="12">
        <v>3</v>
      </c>
      <c r="C250" s="4" t="s">
        <v>151</v>
      </c>
      <c r="D250" s="4" t="s">
        <v>149</v>
      </c>
      <c r="E250" s="4">
        <v>1</v>
      </c>
      <c r="F250" s="4">
        <v>3</v>
      </c>
      <c r="G250" s="4">
        <v>9</v>
      </c>
      <c r="H250" s="115"/>
      <c r="I250" s="115"/>
      <c r="J250" s="115"/>
      <c r="K250" s="115">
        <v>0</v>
      </c>
      <c r="L250" s="12">
        <f t="shared" si="24"/>
        <v>0</v>
      </c>
      <c r="M250" s="4">
        <f t="shared" si="25"/>
        <v>0</v>
      </c>
      <c r="N250" s="4">
        <f t="shared" si="26"/>
        <v>0</v>
      </c>
      <c r="O250" s="13">
        <f t="shared" si="27"/>
        <v>0</v>
      </c>
    </row>
    <row r="251" spans="2:15" ht="13.8" thickBot="1">
      <c r="B251" s="14">
        <v>3</v>
      </c>
      <c r="C251" s="15" t="s">
        <v>151</v>
      </c>
      <c r="D251" s="15" t="s">
        <v>149</v>
      </c>
      <c r="E251" s="15">
        <v>1</v>
      </c>
      <c r="F251" s="15">
        <v>3</v>
      </c>
      <c r="G251" s="15">
        <v>10</v>
      </c>
      <c r="H251" s="121"/>
      <c r="I251" s="121"/>
      <c r="J251" s="121"/>
      <c r="K251" s="121">
        <v>0</v>
      </c>
      <c r="L251" s="14">
        <f t="shared" si="24"/>
        <v>0</v>
      </c>
      <c r="M251" s="15">
        <f t="shared" si="25"/>
        <v>0</v>
      </c>
      <c r="N251" s="15">
        <f t="shared" si="26"/>
        <v>0</v>
      </c>
      <c r="O251" s="16">
        <f t="shared" si="27"/>
        <v>0</v>
      </c>
    </row>
    <row r="252" spans="2:15">
      <c r="B252" s="9">
        <v>3</v>
      </c>
      <c r="C252" s="10" t="s">
        <v>151</v>
      </c>
      <c r="D252" s="10" t="s">
        <v>150</v>
      </c>
      <c r="E252" s="93">
        <v>2</v>
      </c>
      <c r="F252" s="93">
        <v>9</v>
      </c>
      <c r="G252" s="10">
        <v>1</v>
      </c>
      <c r="H252" s="120">
        <v>1.93100000000004</v>
      </c>
      <c r="I252" s="120">
        <v>1.5829999999998563</v>
      </c>
      <c r="J252" s="120">
        <v>14.313999999999965</v>
      </c>
      <c r="K252" s="120">
        <v>17.827999999999861</v>
      </c>
      <c r="L252" s="9">
        <f t="shared" si="24"/>
        <v>0.46701581843844142</v>
      </c>
      <c r="M252" s="10">
        <f t="shared" si="25"/>
        <v>0.41212440617329305</v>
      </c>
      <c r="N252" s="10">
        <f t="shared" si="26"/>
        <v>1.1850886427579186</v>
      </c>
      <c r="O252" s="11">
        <f t="shared" si="27"/>
        <v>1.2748041896345583</v>
      </c>
    </row>
    <row r="253" spans="2:15">
      <c r="B253" s="12">
        <v>3</v>
      </c>
      <c r="C253" s="4" t="s">
        <v>151</v>
      </c>
      <c r="D253" s="4" t="s">
        <v>150</v>
      </c>
      <c r="E253" s="4">
        <v>2</v>
      </c>
      <c r="F253" s="4">
        <v>9</v>
      </c>
      <c r="G253" s="4">
        <v>2</v>
      </c>
      <c r="H253" s="115"/>
      <c r="I253" s="115"/>
      <c r="J253" s="115"/>
      <c r="K253" s="115">
        <v>0</v>
      </c>
      <c r="L253" s="12">
        <f t="shared" si="24"/>
        <v>0</v>
      </c>
      <c r="M253" s="4">
        <f t="shared" si="25"/>
        <v>0</v>
      </c>
      <c r="N253" s="4">
        <f t="shared" si="26"/>
        <v>0</v>
      </c>
      <c r="O253" s="13">
        <f t="shared" si="27"/>
        <v>0</v>
      </c>
    </row>
    <row r="254" spans="2:15">
      <c r="B254" s="12">
        <v>3</v>
      </c>
      <c r="C254" s="4" t="s">
        <v>151</v>
      </c>
      <c r="D254" s="4" t="s">
        <v>150</v>
      </c>
      <c r="E254" s="4">
        <v>2</v>
      </c>
      <c r="F254" s="4">
        <v>9</v>
      </c>
      <c r="G254" s="4">
        <v>3</v>
      </c>
      <c r="H254" s="115"/>
      <c r="I254" s="115"/>
      <c r="J254" s="115"/>
      <c r="K254" s="115">
        <v>0</v>
      </c>
      <c r="L254" s="12">
        <f t="shared" si="24"/>
        <v>0</v>
      </c>
      <c r="M254" s="4">
        <f t="shared" si="25"/>
        <v>0</v>
      </c>
      <c r="N254" s="4">
        <f t="shared" si="26"/>
        <v>0</v>
      </c>
      <c r="O254" s="13">
        <f t="shared" si="27"/>
        <v>0</v>
      </c>
    </row>
    <row r="255" spans="2:15">
      <c r="B255" s="12">
        <v>3</v>
      </c>
      <c r="C255" s="4" t="s">
        <v>151</v>
      </c>
      <c r="D255" s="4" t="s">
        <v>150</v>
      </c>
      <c r="E255" s="4">
        <v>2</v>
      </c>
      <c r="F255" s="4">
        <v>9</v>
      </c>
      <c r="G255" s="4">
        <v>4</v>
      </c>
      <c r="H255" s="115"/>
      <c r="I255" s="115"/>
      <c r="J255" s="115"/>
      <c r="K255" s="115">
        <v>0</v>
      </c>
      <c r="L255" s="12">
        <f t="shared" si="24"/>
        <v>0</v>
      </c>
      <c r="M255" s="4">
        <f t="shared" si="25"/>
        <v>0</v>
      </c>
      <c r="N255" s="4">
        <f t="shared" si="26"/>
        <v>0</v>
      </c>
      <c r="O255" s="13">
        <f t="shared" si="27"/>
        <v>0</v>
      </c>
    </row>
    <row r="256" spans="2:15">
      <c r="B256" s="12">
        <v>3</v>
      </c>
      <c r="C256" s="4" t="s">
        <v>151</v>
      </c>
      <c r="D256" s="4" t="s">
        <v>150</v>
      </c>
      <c r="E256" s="4">
        <v>2</v>
      </c>
      <c r="F256" s="4">
        <v>9</v>
      </c>
      <c r="G256" s="4">
        <v>5</v>
      </c>
      <c r="H256" s="115"/>
      <c r="I256" s="115"/>
      <c r="J256" s="115"/>
      <c r="K256" s="115">
        <v>0</v>
      </c>
      <c r="L256" s="12">
        <f t="shared" si="24"/>
        <v>0</v>
      </c>
      <c r="M256" s="4">
        <f t="shared" si="25"/>
        <v>0</v>
      </c>
      <c r="N256" s="4">
        <f t="shared" si="26"/>
        <v>0</v>
      </c>
      <c r="O256" s="13">
        <f t="shared" si="27"/>
        <v>0</v>
      </c>
    </row>
    <row r="257" spans="2:15">
      <c r="B257" s="12">
        <v>3</v>
      </c>
      <c r="C257" s="4" t="s">
        <v>151</v>
      </c>
      <c r="D257" s="4" t="s">
        <v>150</v>
      </c>
      <c r="E257" s="4">
        <v>2</v>
      </c>
      <c r="F257" s="4">
        <v>9</v>
      </c>
      <c r="G257" s="4">
        <v>6</v>
      </c>
      <c r="H257" s="115"/>
      <c r="I257" s="115"/>
      <c r="J257" s="115"/>
      <c r="K257" s="115">
        <v>0</v>
      </c>
      <c r="L257" s="12">
        <f t="shared" si="24"/>
        <v>0</v>
      </c>
      <c r="M257" s="4">
        <f t="shared" si="25"/>
        <v>0</v>
      </c>
      <c r="N257" s="4">
        <f t="shared" si="26"/>
        <v>0</v>
      </c>
      <c r="O257" s="13">
        <f t="shared" si="27"/>
        <v>0</v>
      </c>
    </row>
    <row r="258" spans="2:15">
      <c r="B258" s="12">
        <v>3</v>
      </c>
      <c r="C258" s="4" t="s">
        <v>151</v>
      </c>
      <c r="D258" s="4" t="s">
        <v>150</v>
      </c>
      <c r="E258" s="4">
        <v>2</v>
      </c>
      <c r="F258" s="4">
        <v>9</v>
      </c>
      <c r="G258" s="4">
        <v>7</v>
      </c>
      <c r="H258" s="115"/>
      <c r="I258" s="115"/>
      <c r="J258" s="115"/>
      <c r="K258" s="115">
        <v>0</v>
      </c>
      <c r="L258" s="12">
        <f t="shared" si="24"/>
        <v>0</v>
      </c>
      <c r="M258" s="4">
        <f t="shared" si="25"/>
        <v>0</v>
      </c>
      <c r="N258" s="4">
        <f t="shared" si="26"/>
        <v>0</v>
      </c>
      <c r="O258" s="13">
        <f t="shared" si="27"/>
        <v>0</v>
      </c>
    </row>
    <row r="259" spans="2:15">
      <c r="B259" s="12">
        <v>3</v>
      </c>
      <c r="C259" s="4" t="s">
        <v>151</v>
      </c>
      <c r="D259" s="4" t="s">
        <v>150</v>
      </c>
      <c r="E259" s="4">
        <v>2</v>
      </c>
      <c r="F259" s="4">
        <v>9</v>
      </c>
      <c r="G259" s="4">
        <v>8</v>
      </c>
      <c r="H259" s="115"/>
      <c r="I259" s="115"/>
      <c r="J259" s="115"/>
      <c r="K259" s="115">
        <v>0</v>
      </c>
      <c r="L259" s="12">
        <f t="shared" si="24"/>
        <v>0</v>
      </c>
      <c r="M259" s="4">
        <f t="shared" si="25"/>
        <v>0</v>
      </c>
      <c r="N259" s="4">
        <f t="shared" si="26"/>
        <v>0</v>
      </c>
      <c r="O259" s="13">
        <f t="shared" si="27"/>
        <v>0</v>
      </c>
    </row>
    <row r="260" spans="2:15">
      <c r="B260" s="12">
        <v>3</v>
      </c>
      <c r="C260" s="4" t="s">
        <v>151</v>
      </c>
      <c r="D260" s="4" t="s">
        <v>150</v>
      </c>
      <c r="E260" s="4">
        <v>2</v>
      </c>
      <c r="F260" s="4">
        <v>9</v>
      </c>
      <c r="G260" s="4">
        <v>9</v>
      </c>
      <c r="H260" s="115"/>
      <c r="I260" s="115"/>
      <c r="J260" s="115"/>
      <c r="K260" s="115">
        <v>0</v>
      </c>
      <c r="L260" s="12">
        <f t="shared" si="24"/>
        <v>0</v>
      </c>
      <c r="M260" s="4">
        <f t="shared" si="25"/>
        <v>0</v>
      </c>
      <c r="N260" s="4">
        <f t="shared" si="26"/>
        <v>0</v>
      </c>
      <c r="O260" s="13">
        <f t="shared" si="27"/>
        <v>0</v>
      </c>
    </row>
    <row r="261" spans="2:15" ht="13.8" thickBot="1">
      <c r="B261" s="14">
        <v>3</v>
      </c>
      <c r="C261" s="15" t="s">
        <v>151</v>
      </c>
      <c r="D261" s="15" t="s">
        <v>150</v>
      </c>
      <c r="E261" s="15">
        <v>2</v>
      </c>
      <c r="F261" s="15">
        <v>9</v>
      </c>
      <c r="G261" s="15">
        <v>10</v>
      </c>
      <c r="H261" s="121"/>
      <c r="I261" s="121"/>
      <c r="J261" s="121"/>
      <c r="K261" s="121">
        <v>0</v>
      </c>
      <c r="L261" s="14">
        <f t="shared" si="24"/>
        <v>0</v>
      </c>
      <c r="M261" s="15">
        <f t="shared" si="25"/>
        <v>0</v>
      </c>
      <c r="N261" s="15">
        <f t="shared" si="26"/>
        <v>0</v>
      </c>
      <c r="O261" s="16">
        <f t="shared" si="27"/>
        <v>0</v>
      </c>
    </row>
    <row r="262" spans="2:15">
      <c r="B262" s="9">
        <v>3</v>
      </c>
      <c r="C262" s="10" t="s">
        <v>151</v>
      </c>
      <c r="D262" s="10" t="s">
        <v>150</v>
      </c>
      <c r="E262" s="93">
        <v>3</v>
      </c>
      <c r="F262" s="93">
        <v>11</v>
      </c>
      <c r="G262" s="10">
        <v>1</v>
      </c>
      <c r="H262" s="120">
        <v>0.84900000000004638</v>
      </c>
      <c r="I262" s="120">
        <v>0.15000000000009095</v>
      </c>
      <c r="J262" s="120">
        <v>2.5889999999999418</v>
      </c>
      <c r="K262" s="120">
        <v>3.5880000000000791</v>
      </c>
      <c r="L262" s="9">
        <f t="shared" si="24"/>
        <v>0.26693691115918394</v>
      </c>
      <c r="M262" s="10">
        <f t="shared" si="25"/>
        <v>6.0697840353646032E-2</v>
      </c>
      <c r="N262" s="10">
        <f t="shared" si="26"/>
        <v>0.55497345833323275</v>
      </c>
      <c r="O262" s="11">
        <f t="shared" si="27"/>
        <v>0.66162340922923757</v>
      </c>
    </row>
    <row r="263" spans="2:15">
      <c r="B263" s="12">
        <v>3</v>
      </c>
      <c r="C263" s="4" t="s">
        <v>151</v>
      </c>
      <c r="D263" s="4" t="s">
        <v>150</v>
      </c>
      <c r="E263" s="4">
        <v>3</v>
      </c>
      <c r="F263" s="4">
        <v>11</v>
      </c>
      <c r="G263" s="4">
        <v>2</v>
      </c>
      <c r="H263" s="115">
        <v>0.7660000000000764</v>
      </c>
      <c r="I263" s="115"/>
      <c r="J263" s="115">
        <v>4.7289999999999281</v>
      </c>
      <c r="K263" s="115">
        <v>5.4950000000000045</v>
      </c>
      <c r="L263" s="12">
        <f t="shared" si="24"/>
        <v>0.24699069924156858</v>
      </c>
      <c r="M263" s="4">
        <f t="shared" si="25"/>
        <v>0</v>
      </c>
      <c r="N263" s="4">
        <f t="shared" si="26"/>
        <v>0.7580788222496071</v>
      </c>
      <c r="O263" s="13">
        <f t="shared" si="27"/>
        <v>0.81257915540904702</v>
      </c>
    </row>
    <row r="264" spans="2:15">
      <c r="B264" s="12">
        <v>3</v>
      </c>
      <c r="C264" s="4" t="s">
        <v>151</v>
      </c>
      <c r="D264" s="4" t="s">
        <v>150</v>
      </c>
      <c r="E264" s="4">
        <v>3</v>
      </c>
      <c r="F264" s="4">
        <v>11</v>
      </c>
      <c r="G264" s="4">
        <v>3</v>
      </c>
      <c r="H264" s="115">
        <v>0.49900000000002365</v>
      </c>
      <c r="I264" s="115"/>
      <c r="J264" s="115">
        <v>0.28399999999999181</v>
      </c>
      <c r="K264" s="115">
        <v>0.78300000000001546</v>
      </c>
      <c r="L264" s="12">
        <f t="shared" si="24"/>
        <v>0.17580163284828632</v>
      </c>
      <c r="M264" s="4">
        <f t="shared" si="25"/>
        <v>0</v>
      </c>
      <c r="N264" s="4">
        <f t="shared" si="26"/>
        <v>0.10856502373283169</v>
      </c>
      <c r="O264" s="13">
        <f t="shared" si="27"/>
        <v>0.25115134317535837</v>
      </c>
    </row>
    <row r="265" spans="2:15">
      <c r="B265" s="12">
        <v>3</v>
      </c>
      <c r="C265" s="4" t="s">
        <v>151</v>
      </c>
      <c r="D265" s="4" t="s">
        <v>150</v>
      </c>
      <c r="E265" s="4">
        <v>3</v>
      </c>
      <c r="F265" s="4">
        <v>11</v>
      </c>
      <c r="G265" s="4">
        <v>4</v>
      </c>
      <c r="H265" s="115"/>
      <c r="I265" s="115"/>
      <c r="J265" s="115"/>
      <c r="K265" s="115">
        <v>0</v>
      </c>
      <c r="L265" s="12">
        <f t="shared" si="24"/>
        <v>0</v>
      </c>
      <c r="M265" s="4">
        <f t="shared" si="25"/>
        <v>0</v>
      </c>
      <c r="N265" s="4">
        <f t="shared" si="26"/>
        <v>0</v>
      </c>
      <c r="O265" s="13">
        <f t="shared" si="27"/>
        <v>0</v>
      </c>
    </row>
    <row r="266" spans="2:15">
      <c r="B266" s="12">
        <v>3</v>
      </c>
      <c r="C266" s="4" t="s">
        <v>151</v>
      </c>
      <c r="D266" s="4" t="s">
        <v>150</v>
      </c>
      <c r="E266" s="4">
        <v>3</v>
      </c>
      <c r="F266" s="4">
        <v>11</v>
      </c>
      <c r="G266" s="4">
        <v>5</v>
      </c>
      <c r="H266" s="115"/>
      <c r="I266" s="115"/>
      <c r="J266" s="115"/>
      <c r="K266" s="115">
        <v>0</v>
      </c>
      <c r="L266" s="12">
        <f t="shared" si="24"/>
        <v>0</v>
      </c>
      <c r="M266" s="4">
        <f t="shared" si="25"/>
        <v>0</v>
      </c>
      <c r="N266" s="4">
        <f t="shared" si="26"/>
        <v>0</v>
      </c>
      <c r="O266" s="13">
        <f t="shared" si="27"/>
        <v>0</v>
      </c>
    </row>
    <row r="267" spans="2:15">
      <c r="B267" s="12">
        <v>3</v>
      </c>
      <c r="C267" s="4" t="s">
        <v>151</v>
      </c>
      <c r="D267" s="4" t="s">
        <v>150</v>
      </c>
      <c r="E267" s="4">
        <v>3</v>
      </c>
      <c r="F267" s="4">
        <v>11</v>
      </c>
      <c r="G267" s="4">
        <v>6</v>
      </c>
      <c r="H267" s="115"/>
      <c r="I267" s="115"/>
      <c r="J267" s="115"/>
      <c r="K267" s="115">
        <v>0</v>
      </c>
      <c r="L267" s="12">
        <f t="shared" si="24"/>
        <v>0</v>
      </c>
      <c r="M267" s="4">
        <f t="shared" si="25"/>
        <v>0</v>
      </c>
      <c r="N267" s="4">
        <f t="shared" si="26"/>
        <v>0</v>
      </c>
      <c r="O267" s="13">
        <f t="shared" si="27"/>
        <v>0</v>
      </c>
    </row>
    <row r="268" spans="2:15">
      <c r="B268" s="12">
        <v>3</v>
      </c>
      <c r="C268" s="4" t="s">
        <v>151</v>
      </c>
      <c r="D268" s="4" t="s">
        <v>150</v>
      </c>
      <c r="E268" s="4">
        <v>3</v>
      </c>
      <c r="F268" s="4">
        <v>11</v>
      </c>
      <c r="G268" s="4">
        <v>7</v>
      </c>
      <c r="H268" s="115"/>
      <c r="I268" s="115"/>
      <c r="J268" s="115"/>
      <c r="K268" s="115">
        <v>0</v>
      </c>
      <c r="L268" s="12">
        <f t="shared" si="24"/>
        <v>0</v>
      </c>
      <c r="M268" s="4">
        <f t="shared" si="25"/>
        <v>0</v>
      </c>
      <c r="N268" s="4">
        <f t="shared" si="26"/>
        <v>0</v>
      </c>
      <c r="O268" s="13">
        <f t="shared" si="27"/>
        <v>0</v>
      </c>
    </row>
    <row r="269" spans="2:15">
      <c r="B269" s="12">
        <v>3</v>
      </c>
      <c r="C269" s="4" t="s">
        <v>151</v>
      </c>
      <c r="D269" s="4" t="s">
        <v>150</v>
      </c>
      <c r="E269" s="4">
        <v>3</v>
      </c>
      <c r="F269" s="4">
        <v>11</v>
      </c>
      <c r="G269" s="4">
        <v>8</v>
      </c>
      <c r="H269" s="115"/>
      <c r="I269" s="115"/>
      <c r="J269" s="115"/>
      <c r="K269" s="115">
        <v>0</v>
      </c>
      <c r="L269" s="12">
        <f t="shared" si="24"/>
        <v>0</v>
      </c>
      <c r="M269" s="4">
        <f t="shared" si="25"/>
        <v>0</v>
      </c>
      <c r="N269" s="4">
        <f t="shared" si="26"/>
        <v>0</v>
      </c>
      <c r="O269" s="13">
        <f t="shared" si="27"/>
        <v>0</v>
      </c>
    </row>
    <row r="270" spans="2:15">
      <c r="B270" s="12">
        <v>3</v>
      </c>
      <c r="C270" s="4" t="s">
        <v>151</v>
      </c>
      <c r="D270" s="4" t="s">
        <v>150</v>
      </c>
      <c r="E270" s="4">
        <v>3</v>
      </c>
      <c r="F270" s="4">
        <v>11</v>
      </c>
      <c r="G270" s="4">
        <v>9</v>
      </c>
      <c r="H270" s="115"/>
      <c r="I270" s="115"/>
      <c r="J270" s="115"/>
      <c r="K270" s="115">
        <v>0</v>
      </c>
      <c r="L270" s="12">
        <f t="shared" si="24"/>
        <v>0</v>
      </c>
      <c r="M270" s="4">
        <f t="shared" si="25"/>
        <v>0</v>
      </c>
      <c r="N270" s="4">
        <f t="shared" si="26"/>
        <v>0</v>
      </c>
      <c r="O270" s="13">
        <f t="shared" si="27"/>
        <v>0</v>
      </c>
    </row>
    <row r="271" spans="2:15" ht="13.8" thickBot="1">
      <c r="B271" s="14">
        <v>3</v>
      </c>
      <c r="C271" s="15" t="s">
        <v>151</v>
      </c>
      <c r="D271" s="15" t="s">
        <v>150</v>
      </c>
      <c r="E271" s="15">
        <v>3</v>
      </c>
      <c r="F271" s="15">
        <v>11</v>
      </c>
      <c r="G271" s="15">
        <v>10</v>
      </c>
      <c r="H271" s="121"/>
      <c r="I271" s="121"/>
      <c r="J271" s="121"/>
      <c r="K271" s="121">
        <v>0</v>
      </c>
      <c r="L271" s="14">
        <f t="shared" si="24"/>
        <v>0</v>
      </c>
      <c r="M271" s="15">
        <f t="shared" si="25"/>
        <v>0</v>
      </c>
      <c r="N271" s="15">
        <f t="shared" si="26"/>
        <v>0</v>
      </c>
      <c r="O271" s="16">
        <f t="shared" si="27"/>
        <v>0</v>
      </c>
    </row>
    <row r="272" spans="2:15">
      <c r="B272" s="9">
        <v>3</v>
      </c>
      <c r="C272" s="10" t="s">
        <v>151</v>
      </c>
      <c r="D272" s="10" t="s">
        <v>154</v>
      </c>
      <c r="E272" s="93">
        <v>4</v>
      </c>
      <c r="F272" s="93">
        <v>5</v>
      </c>
      <c r="G272" s="10">
        <v>1</v>
      </c>
      <c r="H272" s="120">
        <v>3.8460000000000605</v>
      </c>
      <c r="I272" s="120">
        <v>0.83400000000000318</v>
      </c>
      <c r="J272" s="120">
        <v>0.38399999999995771</v>
      </c>
      <c r="K272" s="120">
        <v>5.0640000000000214</v>
      </c>
      <c r="L272" s="9">
        <f t="shared" si="24"/>
        <v>0.68538340980149282</v>
      </c>
      <c r="M272" s="10">
        <f t="shared" si="25"/>
        <v>0.26339933133400306</v>
      </c>
      <c r="N272" s="10">
        <f t="shared" si="26"/>
        <v>0.14113609012072573</v>
      </c>
      <c r="O272" s="11">
        <f t="shared" si="27"/>
        <v>0.78275919262399862</v>
      </c>
    </row>
    <row r="273" spans="2:15">
      <c r="B273" s="12">
        <v>3</v>
      </c>
      <c r="C273" s="4" t="s">
        <v>151</v>
      </c>
      <c r="D273" s="4" t="s">
        <v>154</v>
      </c>
      <c r="E273" s="4">
        <v>4</v>
      </c>
      <c r="F273" s="4">
        <v>5</v>
      </c>
      <c r="G273" s="4">
        <v>2</v>
      </c>
      <c r="H273" s="115">
        <v>0.56799999999992679</v>
      </c>
      <c r="I273" s="115">
        <v>0.51600000000001955</v>
      </c>
      <c r="J273" s="115">
        <v>0.40000000000003411</v>
      </c>
      <c r="K273" s="115">
        <v>1.4839999999999804</v>
      </c>
      <c r="L273" s="12">
        <f t="shared" si="24"/>
        <v>0.19534605834839935</v>
      </c>
      <c r="M273" s="4">
        <f t="shared" si="25"/>
        <v>0.18069920129604033</v>
      </c>
      <c r="N273" s="4">
        <f t="shared" si="26"/>
        <v>0.14612803567824861</v>
      </c>
      <c r="O273" s="13">
        <f t="shared" si="27"/>
        <v>0.39515159150453916</v>
      </c>
    </row>
    <row r="274" spans="2:15">
      <c r="B274" s="12">
        <v>3</v>
      </c>
      <c r="C274" s="4" t="s">
        <v>151</v>
      </c>
      <c r="D274" s="4" t="s">
        <v>154</v>
      </c>
      <c r="E274" s="4">
        <v>4</v>
      </c>
      <c r="F274" s="4">
        <v>5</v>
      </c>
      <c r="G274" s="4">
        <v>3</v>
      </c>
      <c r="H274" s="115">
        <v>0.49900000000002365</v>
      </c>
      <c r="I274" s="115">
        <v>0.16700000000003001</v>
      </c>
      <c r="J274" s="115"/>
      <c r="K274" s="115">
        <v>0.66600000000005366</v>
      </c>
      <c r="L274" s="12">
        <f t="shared" si="24"/>
        <v>0.17580163284828632</v>
      </c>
      <c r="M274" s="4">
        <f t="shared" si="25"/>
        <v>6.707085604538135E-2</v>
      </c>
      <c r="N274" s="4">
        <f t="shared" si="26"/>
        <v>0</v>
      </c>
      <c r="O274" s="13">
        <f t="shared" si="27"/>
        <v>0.22167499707078278</v>
      </c>
    </row>
    <row r="275" spans="2:15">
      <c r="B275" s="12">
        <v>3</v>
      </c>
      <c r="C275" s="4" t="s">
        <v>151</v>
      </c>
      <c r="D275" s="4" t="s">
        <v>154</v>
      </c>
      <c r="E275" s="4">
        <v>4</v>
      </c>
      <c r="F275" s="4">
        <v>5</v>
      </c>
      <c r="G275" s="4">
        <v>4</v>
      </c>
      <c r="H275" s="115">
        <v>1.049000000000035</v>
      </c>
      <c r="I275" s="115">
        <v>0.20000000000004547</v>
      </c>
      <c r="J275" s="115"/>
      <c r="K275" s="115">
        <v>1.2490000000000805</v>
      </c>
      <c r="L275" s="12">
        <f t="shared" si="24"/>
        <v>0.31154195840120241</v>
      </c>
      <c r="M275" s="4">
        <f t="shared" si="25"/>
        <v>7.918124604764129E-2</v>
      </c>
      <c r="N275" s="4">
        <f t="shared" si="26"/>
        <v>0</v>
      </c>
      <c r="O275" s="13">
        <f t="shared" si="27"/>
        <v>0.35198945543564775</v>
      </c>
    </row>
    <row r="276" spans="2:15">
      <c r="B276" s="12">
        <v>3</v>
      </c>
      <c r="C276" s="4" t="s">
        <v>151</v>
      </c>
      <c r="D276" s="4" t="s">
        <v>154</v>
      </c>
      <c r="E276" s="4">
        <v>4</v>
      </c>
      <c r="F276" s="4">
        <v>5</v>
      </c>
      <c r="G276" s="4">
        <v>5</v>
      </c>
      <c r="H276" s="115">
        <v>0.3669999999999618</v>
      </c>
      <c r="I276" s="115">
        <v>0.33400000000000318</v>
      </c>
      <c r="J276" s="115"/>
      <c r="K276" s="115">
        <v>0.70099999999996498</v>
      </c>
      <c r="L276" s="12">
        <f t="shared" si="24"/>
        <v>0.13576851456781014</v>
      </c>
      <c r="M276" s="4">
        <f t="shared" si="25"/>
        <v>0.1251558295805312</v>
      </c>
      <c r="N276" s="4">
        <f t="shared" si="26"/>
        <v>0</v>
      </c>
      <c r="O276" s="13">
        <f t="shared" si="27"/>
        <v>0.23070431361256008</v>
      </c>
    </row>
    <row r="277" spans="2:15">
      <c r="B277" s="12">
        <v>3</v>
      </c>
      <c r="C277" s="4" t="s">
        <v>151</v>
      </c>
      <c r="D277" s="4" t="s">
        <v>154</v>
      </c>
      <c r="E277" s="4">
        <v>4</v>
      </c>
      <c r="F277" s="4">
        <v>5</v>
      </c>
      <c r="G277" s="4">
        <v>6</v>
      </c>
      <c r="H277" s="115"/>
      <c r="I277" s="115"/>
      <c r="J277" s="115"/>
      <c r="K277" s="115">
        <v>0</v>
      </c>
      <c r="L277" s="12">
        <f t="shared" si="24"/>
        <v>0</v>
      </c>
      <c r="M277" s="4">
        <f t="shared" si="25"/>
        <v>0</v>
      </c>
      <c r="N277" s="4">
        <f t="shared" si="26"/>
        <v>0</v>
      </c>
      <c r="O277" s="13">
        <f t="shared" si="27"/>
        <v>0</v>
      </c>
    </row>
    <row r="278" spans="2:15">
      <c r="B278" s="12">
        <v>3</v>
      </c>
      <c r="C278" s="4" t="s">
        <v>151</v>
      </c>
      <c r="D278" s="4" t="s">
        <v>154</v>
      </c>
      <c r="E278" s="4">
        <v>4</v>
      </c>
      <c r="F278" s="4">
        <v>5</v>
      </c>
      <c r="G278" s="4">
        <v>7</v>
      </c>
      <c r="H278" s="115"/>
      <c r="I278" s="115"/>
      <c r="J278" s="115"/>
      <c r="K278" s="115">
        <v>0</v>
      </c>
      <c r="L278" s="12">
        <f t="shared" si="24"/>
        <v>0</v>
      </c>
      <c r="M278" s="4">
        <f t="shared" si="25"/>
        <v>0</v>
      </c>
      <c r="N278" s="4">
        <f t="shared" si="26"/>
        <v>0</v>
      </c>
      <c r="O278" s="13">
        <f t="shared" si="27"/>
        <v>0</v>
      </c>
    </row>
    <row r="279" spans="2:15">
      <c r="B279" s="12">
        <v>3</v>
      </c>
      <c r="C279" s="4" t="s">
        <v>151</v>
      </c>
      <c r="D279" s="4" t="s">
        <v>154</v>
      </c>
      <c r="E279" s="4">
        <v>4</v>
      </c>
      <c r="F279" s="4">
        <v>5</v>
      </c>
      <c r="G279" s="4">
        <v>8</v>
      </c>
      <c r="H279" s="115"/>
      <c r="I279" s="115"/>
      <c r="J279" s="115"/>
      <c r="K279" s="115">
        <v>0</v>
      </c>
      <c r="L279" s="12">
        <f t="shared" si="24"/>
        <v>0</v>
      </c>
      <c r="M279" s="4">
        <f t="shared" si="25"/>
        <v>0</v>
      </c>
      <c r="N279" s="4">
        <f t="shared" si="26"/>
        <v>0</v>
      </c>
      <c r="O279" s="13">
        <f t="shared" si="27"/>
        <v>0</v>
      </c>
    </row>
    <row r="280" spans="2:15">
      <c r="B280" s="12">
        <v>3</v>
      </c>
      <c r="C280" s="4" t="s">
        <v>151</v>
      </c>
      <c r="D280" s="4" t="s">
        <v>154</v>
      </c>
      <c r="E280" s="4">
        <v>4</v>
      </c>
      <c r="F280" s="4">
        <v>5</v>
      </c>
      <c r="G280" s="4">
        <v>9</v>
      </c>
      <c r="H280" s="115"/>
      <c r="I280" s="115"/>
      <c r="J280" s="115"/>
      <c r="K280" s="115">
        <v>0</v>
      </c>
      <c r="L280" s="12">
        <f t="shared" si="24"/>
        <v>0</v>
      </c>
      <c r="M280" s="4">
        <f t="shared" si="25"/>
        <v>0</v>
      </c>
      <c r="N280" s="4">
        <f t="shared" si="26"/>
        <v>0</v>
      </c>
      <c r="O280" s="13">
        <f t="shared" si="27"/>
        <v>0</v>
      </c>
    </row>
    <row r="281" spans="2:15" ht="13.8" thickBot="1">
      <c r="B281" s="14">
        <v>3</v>
      </c>
      <c r="C281" s="15" t="s">
        <v>151</v>
      </c>
      <c r="D281" s="15" t="s">
        <v>154</v>
      </c>
      <c r="E281" s="15">
        <v>4</v>
      </c>
      <c r="F281" s="15">
        <v>5</v>
      </c>
      <c r="G281" s="15">
        <v>10</v>
      </c>
      <c r="H281" s="121"/>
      <c r="I281" s="121"/>
      <c r="J281" s="121"/>
      <c r="K281" s="121">
        <v>0</v>
      </c>
      <c r="L281" s="14">
        <f t="shared" si="24"/>
        <v>0</v>
      </c>
      <c r="M281" s="15">
        <f t="shared" si="25"/>
        <v>0</v>
      </c>
      <c r="N281" s="15">
        <f t="shared" si="26"/>
        <v>0</v>
      </c>
      <c r="O281" s="16">
        <f t="shared" si="27"/>
        <v>0</v>
      </c>
    </row>
    <row r="282" spans="2:15">
      <c r="B282" s="9">
        <v>3</v>
      </c>
      <c r="C282" s="10" t="s">
        <v>151</v>
      </c>
      <c r="D282" s="10" t="s">
        <v>154</v>
      </c>
      <c r="E282" s="93">
        <v>5</v>
      </c>
      <c r="F282" s="93">
        <v>7</v>
      </c>
      <c r="G282" s="10">
        <v>1</v>
      </c>
      <c r="H282" s="120">
        <v>2.0319999999999823</v>
      </c>
      <c r="I282" s="120">
        <v>0.33300000000008367</v>
      </c>
      <c r="J282" s="120">
        <v>1.5170000000000528</v>
      </c>
      <c r="K282" s="120">
        <v>3.8820000000001187</v>
      </c>
      <c r="L282" s="9">
        <f t="shared" si="24"/>
        <v>0.48172919696001337</v>
      </c>
      <c r="M282" s="10">
        <f t="shared" si="25"/>
        <v>0.12483014941388647</v>
      </c>
      <c r="N282" s="10">
        <f t="shared" si="26"/>
        <v>0.40088321554837181</v>
      </c>
      <c r="O282" s="11">
        <f t="shared" si="27"/>
        <v>0.68859777508118036</v>
      </c>
    </row>
    <row r="283" spans="2:15">
      <c r="B283" s="12">
        <v>3</v>
      </c>
      <c r="C283" s="4" t="s">
        <v>151</v>
      </c>
      <c r="D283" s="4" t="s">
        <v>154</v>
      </c>
      <c r="E283" s="4">
        <v>5</v>
      </c>
      <c r="F283" s="4">
        <v>7</v>
      </c>
      <c r="G283" s="4">
        <v>2</v>
      </c>
      <c r="H283" s="115">
        <v>2.7500000000000568</v>
      </c>
      <c r="I283" s="115">
        <v>0.85000000000002274</v>
      </c>
      <c r="J283" s="115">
        <v>0.93299999999987904</v>
      </c>
      <c r="K283" s="115">
        <v>4.5329999999999586</v>
      </c>
      <c r="L283" s="12">
        <f t="shared" si="24"/>
        <v>0.57403126772772539</v>
      </c>
      <c r="M283" s="4">
        <f t="shared" si="25"/>
        <v>0.26717172840301912</v>
      </c>
      <c r="N283" s="4">
        <f t="shared" si="26"/>
        <v>0.28623185402852586</v>
      </c>
      <c r="O283" s="13">
        <f t="shared" si="27"/>
        <v>0.74296067021414924</v>
      </c>
    </row>
    <row r="284" spans="2:15">
      <c r="B284" s="12">
        <v>3</v>
      </c>
      <c r="C284" s="4" t="s">
        <v>151</v>
      </c>
      <c r="D284" s="4" t="s">
        <v>154</v>
      </c>
      <c r="E284" s="4">
        <v>5</v>
      </c>
      <c r="F284" s="4">
        <v>7</v>
      </c>
      <c r="G284" s="4">
        <v>3</v>
      </c>
      <c r="H284" s="115">
        <v>9.9999999999965894E-2</v>
      </c>
      <c r="I284" s="115">
        <v>0.29999999999995453</v>
      </c>
      <c r="J284" s="115">
        <v>0.39999999999997726</v>
      </c>
      <c r="K284" s="115">
        <v>0.79999999999989768</v>
      </c>
      <c r="L284" s="12">
        <f t="shared" si="24"/>
        <v>4.1392685158211574E-2</v>
      </c>
      <c r="M284" s="4">
        <f t="shared" si="25"/>
        <v>0.11394335230682158</v>
      </c>
      <c r="N284" s="4">
        <f t="shared" si="26"/>
        <v>0.14612803567823096</v>
      </c>
      <c r="O284" s="13">
        <f t="shared" si="27"/>
        <v>0.25527250510328137</v>
      </c>
    </row>
    <row r="285" spans="2:15">
      <c r="B285" s="12">
        <v>3</v>
      </c>
      <c r="C285" s="4" t="s">
        <v>151</v>
      </c>
      <c r="D285" s="4" t="s">
        <v>154</v>
      </c>
      <c r="E285" s="4">
        <v>5</v>
      </c>
      <c r="F285" s="4">
        <v>7</v>
      </c>
      <c r="G285" s="4">
        <v>4</v>
      </c>
      <c r="H285" s="115"/>
      <c r="I285" s="115"/>
      <c r="J285" s="115">
        <v>0.85000000000007958</v>
      </c>
      <c r="K285" s="115">
        <v>0.85000000000007958</v>
      </c>
      <c r="L285" s="12">
        <f t="shared" si="24"/>
        <v>0</v>
      </c>
      <c r="M285" s="4">
        <f t="shared" si="25"/>
        <v>0</v>
      </c>
      <c r="N285" s="4">
        <f t="shared" si="26"/>
        <v>0.26717172840303249</v>
      </c>
      <c r="O285" s="13">
        <f t="shared" si="27"/>
        <v>0.26717172840303249</v>
      </c>
    </row>
    <row r="286" spans="2:15">
      <c r="B286" s="12">
        <v>3</v>
      </c>
      <c r="C286" s="4" t="s">
        <v>151</v>
      </c>
      <c r="D286" s="4" t="s">
        <v>154</v>
      </c>
      <c r="E286" s="4">
        <v>5</v>
      </c>
      <c r="F286" s="4">
        <v>7</v>
      </c>
      <c r="G286" s="4">
        <v>5</v>
      </c>
      <c r="H286" s="115">
        <v>0.55000000000001137</v>
      </c>
      <c r="I286" s="115">
        <v>0.15000000000003411</v>
      </c>
      <c r="J286" s="115"/>
      <c r="K286" s="115">
        <v>0.70000000000004547</v>
      </c>
      <c r="L286" s="12">
        <f t="shared" si="24"/>
        <v>0.19033169817029466</v>
      </c>
      <c r="M286" s="4">
        <f t="shared" si="25"/>
        <v>6.0697840353624563E-2</v>
      </c>
      <c r="N286" s="4">
        <f t="shared" si="26"/>
        <v>0</v>
      </c>
      <c r="O286" s="13">
        <f t="shared" si="27"/>
        <v>0.23044892137828554</v>
      </c>
    </row>
    <row r="287" spans="2:15">
      <c r="B287" s="12">
        <v>3</v>
      </c>
      <c r="C287" s="4" t="s">
        <v>151</v>
      </c>
      <c r="D287" s="4" t="s">
        <v>154</v>
      </c>
      <c r="E287" s="4">
        <v>5</v>
      </c>
      <c r="F287" s="4">
        <v>7</v>
      </c>
      <c r="G287" s="4">
        <v>6</v>
      </c>
      <c r="H287" s="115"/>
      <c r="I287" s="115"/>
      <c r="J287" s="115"/>
      <c r="K287" s="115">
        <v>0</v>
      </c>
      <c r="L287" s="12">
        <f t="shared" si="24"/>
        <v>0</v>
      </c>
      <c r="M287" s="4">
        <f t="shared" si="25"/>
        <v>0</v>
      </c>
      <c r="N287" s="4">
        <f t="shared" si="26"/>
        <v>0</v>
      </c>
      <c r="O287" s="13">
        <f t="shared" si="27"/>
        <v>0</v>
      </c>
    </row>
    <row r="288" spans="2:15">
      <c r="B288" s="12">
        <v>3</v>
      </c>
      <c r="C288" s="4" t="s">
        <v>151</v>
      </c>
      <c r="D288" s="4" t="s">
        <v>154</v>
      </c>
      <c r="E288" s="4">
        <v>5</v>
      </c>
      <c r="F288" s="4">
        <v>7</v>
      </c>
      <c r="G288" s="4">
        <v>7</v>
      </c>
      <c r="H288" s="115"/>
      <c r="I288" s="115"/>
      <c r="J288" s="115"/>
      <c r="K288" s="115">
        <v>0</v>
      </c>
      <c r="L288" s="12">
        <f t="shared" si="24"/>
        <v>0</v>
      </c>
      <c r="M288" s="4">
        <f t="shared" si="25"/>
        <v>0</v>
      </c>
      <c r="N288" s="4">
        <f t="shared" si="26"/>
        <v>0</v>
      </c>
      <c r="O288" s="13">
        <f t="shared" si="27"/>
        <v>0</v>
      </c>
    </row>
    <row r="289" spans="2:15">
      <c r="B289" s="12">
        <v>3</v>
      </c>
      <c r="C289" s="4" t="s">
        <v>151</v>
      </c>
      <c r="D289" s="4" t="s">
        <v>154</v>
      </c>
      <c r="E289" s="4">
        <v>5</v>
      </c>
      <c r="F289" s="4">
        <v>7</v>
      </c>
      <c r="G289" s="4">
        <v>8</v>
      </c>
      <c r="H289" s="115"/>
      <c r="I289" s="115"/>
      <c r="J289" s="115"/>
      <c r="K289" s="115">
        <v>0</v>
      </c>
      <c r="L289" s="12">
        <f t="shared" si="24"/>
        <v>0</v>
      </c>
      <c r="M289" s="4">
        <f t="shared" si="25"/>
        <v>0</v>
      </c>
      <c r="N289" s="4">
        <f t="shared" si="26"/>
        <v>0</v>
      </c>
      <c r="O289" s="13">
        <f t="shared" si="27"/>
        <v>0</v>
      </c>
    </row>
    <row r="290" spans="2:15">
      <c r="B290" s="12">
        <v>3</v>
      </c>
      <c r="C290" s="4" t="s">
        <v>151</v>
      </c>
      <c r="D290" s="4" t="s">
        <v>154</v>
      </c>
      <c r="E290" s="4">
        <v>5</v>
      </c>
      <c r="F290" s="4">
        <v>7</v>
      </c>
      <c r="G290" s="4">
        <v>9</v>
      </c>
      <c r="H290" s="115"/>
      <c r="I290" s="115"/>
      <c r="J290" s="115"/>
      <c r="K290" s="115">
        <v>0</v>
      </c>
      <c r="L290" s="12">
        <f t="shared" si="24"/>
        <v>0</v>
      </c>
      <c r="M290" s="4">
        <f t="shared" si="25"/>
        <v>0</v>
      </c>
      <c r="N290" s="4">
        <f t="shared" si="26"/>
        <v>0</v>
      </c>
      <c r="O290" s="13">
        <f t="shared" si="27"/>
        <v>0</v>
      </c>
    </row>
    <row r="291" spans="2:15" ht="13.8" thickBot="1">
      <c r="B291" s="14">
        <v>3</v>
      </c>
      <c r="C291" s="15" t="s">
        <v>151</v>
      </c>
      <c r="D291" s="15" t="s">
        <v>154</v>
      </c>
      <c r="E291" s="15">
        <v>5</v>
      </c>
      <c r="F291" s="15">
        <v>7</v>
      </c>
      <c r="G291" s="15">
        <v>10</v>
      </c>
      <c r="H291" s="121"/>
      <c r="I291" s="121"/>
      <c r="J291" s="121"/>
      <c r="K291" s="121">
        <v>0</v>
      </c>
      <c r="L291" s="14">
        <f t="shared" si="24"/>
        <v>0</v>
      </c>
      <c r="M291" s="15">
        <f t="shared" si="25"/>
        <v>0</v>
      </c>
      <c r="N291" s="15">
        <f t="shared" si="26"/>
        <v>0</v>
      </c>
      <c r="O291" s="16">
        <f t="shared" si="27"/>
        <v>0</v>
      </c>
    </row>
    <row r="292" spans="2:15">
      <c r="B292" s="9">
        <v>3</v>
      </c>
      <c r="C292" s="10" t="s">
        <v>151</v>
      </c>
      <c r="D292" s="10" t="s">
        <v>149</v>
      </c>
      <c r="E292" s="93">
        <v>6</v>
      </c>
      <c r="F292" s="93">
        <v>1</v>
      </c>
      <c r="G292" s="10">
        <v>1</v>
      </c>
      <c r="H292" s="120">
        <v>1.5809999999999889</v>
      </c>
      <c r="I292" s="120">
        <v>9.9999999999994316E-2</v>
      </c>
      <c r="J292" s="120">
        <v>5.1839999999999833</v>
      </c>
      <c r="K292" s="120">
        <v>6.8649999999999665</v>
      </c>
      <c r="L292" s="9">
        <f t="shared" si="24"/>
        <v>0.41178800454386699</v>
      </c>
      <c r="M292" s="10">
        <f t="shared" si="25"/>
        <v>4.1392685158222794E-2</v>
      </c>
      <c r="N292" s="10">
        <f t="shared" si="26"/>
        <v>0.79126948091026728</v>
      </c>
      <c r="O292" s="11">
        <f t="shared" si="27"/>
        <v>0.89569872695930375</v>
      </c>
    </row>
    <row r="293" spans="2:15">
      <c r="B293" s="12">
        <v>3</v>
      </c>
      <c r="C293" s="4" t="s">
        <v>151</v>
      </c>
      <c r="D293" s="4" t="s">
        <v>149</v>
      </c>
      <c r="E293" s="4">
        <v>6</v>
      </c>
      <c r="F293" s="4">
        <v>1</v>
      </c>
      <c r="G293" s="4">
        <v>2</v>
      </c>
      <c r="H293" s="115"/>
      <c r="I293" s="115"/>
      <c r="J293" s="115"/>
      <c r="K293" s="115">
        <v>0</v>
      </c>
      <c r="L293" s="12">
        <f t="shared" si="24"/>
        <v>0</v>
      </c>
      <c r="M293" s="4">
        <f t="shared" si="25"/>
        <v>0</v>
      </c>
      <c r="N293" s="4">
        <f t="shared" si="26"/>
        <v>0</v>
      </c>
      <c r="O293" s="13">
        <f t="shared" si="27"/>
        <v>0</v>
      </c>
    </row>
    <row r="294" spans="2:15">
      <c r="B294" s="12">
        <v>3</v>
      </c>
      <c r="C294" s="4" t="s">
        <v>151</v>
      </c>
      <c r="D294" s="4" t="s">
        <v>149</v>
      </c>
      <c r="E294" s="4">
        <v>6</v>
      </c>
      <c r="F294" s="4">
        <v>1</v>
      </c>
      <c r="G294" s="4">
        <v>3</v>
      </c>
      <c r="H294" s="115">
        <v>0.14900000000000091</v>
      </c>
      <c r="I294" s="115"/>
      <c r="J294" s="115"/>
      <c r="K294" s="115">
        <v>0.14900000000000091</v>
      </c>
      <c r="L294" s="12">
        <f t="shared" si="24"/>
        <v>6.0320028688285524E-2</v>
      </c>
      <c r="M294" s="4">
        <f t="shared" si="25"/>
        <v>0</v>
      </c>
      <c r="N294" s="4">
        <f t="shared" si="26"/>
        <v>0</v>
      </c>
      <c r="O294" s="13">
        <f t="shared" si="27"/>
        <v>6.0320028688285524E-2</v>
      </c>
    </row>
    <row r="295" spans="2:15">
      <c r="B295" s="12">
        <v>3</v>
      </c>
      <c r="C295" s="4" t="s">
        <v>151</v>
      </c>
      <c r="D295" s="4" t="s">
        <v>149</v>
      </c>
      <c r="E295" s="4">
        <v>6</v>
      </c>
      <c r="F295" s="4">
        <v>1</v>
      </c>
      <c r="G295" s="4">
        <v>4</v>
      </c>
      <c r="H295" s="115"/>
      <c r="I295" s="115"/>
      <c r="J295" s="115"/>
      <c r="K295" s="115">
        <v>0</v>
      </c>
      <c r="L295" s="12">
        <f t="shared" ref="L295:L358" si="28">LOG10(H295+1)</f>
        <v>0</v>
      </c>
      <c r="M295" s="4">
        <f t="shared" ref="M295:M358" si="29">LOG10(I295+1)</f>
        <v>0</v>
      </c>
      <c r="N295" s="4">
        <f t="shared" ref="N295:N358" si="30">LOG10(J295+1)</f>
        <v>0</v>
      </c>
      <c r="O295" s="13">
        <f t="shared" ref="O295:O358" si="31">LOG10(K295+1)</f>
        <v>0</v>
      </c>
    </row>
    <row r="296" spans="2:15">
      <c r="B296" s="12">
        <v>3</v>
      </c>
      <c r="C296" s="4" t="s">
        <v>151</v>
      </c>
      <c r="D296" s="4" t="s">
        <v>149</v>
      </c>
      <c r="E296" s="4">
        <v>6</v>
      </c>
      <c r="F296" s="4">
        <v>1</v>
      </c>
      <c r="G296" s="4">
        <v>5</v>
      </c>
      <c r="H296" s="115"/>
      <c r="I296" s="115"/>
      <c r="J296" s="115"/>
      <c r="K296" s="115">
        <v>0</v>
      </c>
      <c r="L296" s="12">
        <f t="shared" si="28"/>
        <v>0</v>
      </c>
      <c r="M296" s="4">
        <f t="shared" si="29"/>
        <v>0</v>
      </c>
      <c r="N296" s="4">
        <f t="shared" si="30"/>
        <v>0</v>
      </c>
      <c r="O296" s="13">
        <f t="shared" si="31"/>
        <v>0</v>
      </c>
    </row>
    <row r="297" spans="2:15">
      <c r="B297" s="12">
        <v>3</v>
      </c>
      <c r="C297" s="4" t="s">
        <v>151</v>
      </c>
      <c r="D297" s="4" t="s">
        <v>149</v>
      </c>
      <c r="E297" s="4">
        <v>6</v>
      </c>
      <c r="F297" s="4">
        <v>1</v>
      </c>
      <c r="G297" s="4">
        <v>6</v>
      </c>
      <c r="H297" s="115"/>
      <c r="I297" s="115"/>
      <c r="J297" s="115"/>
      <c r="K297" s="115">
        <v>0</v>
      </c>
      <c r="L297" s="12">
        <f t="shared" si="28"/>
        <v>0</v>
      </c>
      <c r="M297" s="4">
        <f t="shared" si="29"/>
        <v>0</v>
      </c>
      <c r="N297" s="4">
        <f t="shared" si="30"/>
        <v>0</v>
      </c>
      <c r="O297" s="13">
        <f t="shared" si="31"/>
        <v>0</v>
      </c>
    </row>
    <row r="298" spans="2:15">
      <c r="B298" s="12">
        <v>3</v>
      </c>
      <c r="C298" s="4" t="s">
        <v>151</v>
      </c>
      <c r="D298" s="4" t="s">
        <v>149</v>
      </c>
      <c r="E298" s="4">
        <v>6</v>
      </c>
      <c r="F298" s="4">
        <v>1</v>
      </c>
      <c r="G298" s="4">
        <v>7</v>
      </c>
      <c r="H298" s="115"/>
      <c r="I298" s="115"/>
      <c r="J298" s="115"/>
      <c r="K298" s="115">
        <v>0</v>
      </c>
      <c r="L298" s="12">
        <f t="shared" si="28"/>
        <v>0</v>
      </c>
      <c r="M298" s="4">
        <f t="shared" si="29"/>
        <v>0</v>
      </c>
      <c r="N298" s="4">
        <f t="shared" si="30"/>
        <v>0</v>
      </c>
      <c r="O298" s="13">
        <f t="shared" si="31"/>
        <v>0</v>
      </c>
    </row>
    <row r="299" spans="2:15">
      <c r="B299" s="12">
        <v>3</v>
      </c>
      <c r="C299" s="4" t="s">
        <v>151</v>
      </c>
      <c r="D299" s="4" t="s">
        <v>149</v>
      </c>
      <c r="E299" s="4">
        <v>6</v>
      </c>
      <c r="F299" s="4">
        <v>1</v>
      </c>
      <c r="G299" s="4">
        <v>8</v>
      </c>
      <c r="H299" s="115"/>
      <c r="I299" s="115"/>
      <c r="J299" s="115"/>
      <c r="K299" s="115">
        <v>0</v>
      </c>
      <c r="L299" s="12">
        <f t="shared" si="28"/>
        <v>0</v>
      </c>
      <c r="M299" s="4">
        <f t="shared" si="29"/>
        <v>0</v>
      </c>
      <c r="N299" s="4">
        <f t="shared" si="30"/>
        <v>0</v>
      </c>
      <c r="O299" s="13">
        <f t="shared" si="31"/>
        <v>0</v>
      </c>
    </row>
    <row r="300" spans="2:15">
      <c r="B300" s="12">
        <v>3</v>
      </c>
      <c r="C300" s="4" t="s">
        <v>151</v>
      </c>
      <c r="D300" s="4" t="s">
        <v>149</v>
      </c>
      <c r="E300" s="4">
        <v>6</v>
      </c>
      <c r="F300" s="4">
        <v>1</v>
      </c>
      <c r="G300" s="4">
        <v>9</v>
      </c>
      <c r="H300" s="115"/>
      <c r="I300" s="115"/>
      <c r="J300" s="115"/>
      <c r="K300" s="115">
        <v>0</v>
      </c>
      <c r="L300" s="12">
        <f t="shared" si="28"/>
        <v>0</v>
      </c>
      <c r="M300" s="4">
        <f t="shared" si="29"/>
        <v>0</v>
      </c>
      <c r="N300" s="4">
        <f t="shared" si="30"/>
        <v>0</v>
      </c>
      <c r="O300" s="13">
        <f t="shared" si="31"/>
        <v>0</v>
      </c>
    </row>
    <row r="301" spans="2:15" ht="13.8" thickBot="1">
      <c r="B301" s="14">
        <v>3</v>
      </c>
      <c r="C301" s="15" t="s">
        <v>151</v>
      </c>
      <c r="D301" s="15" t="s">
        <v>149</v>
      </c>
      <c r="E301" s="15">
        <v>6</v>
      </c>
      <c r="F301" s="15">
        <v>1</v>
      </c>
      <c r="G301" s="15">
        <v>10</v>
      </c>
      <c r="H301" s="121"/>
      <c r="I301" s="121"/>
      <c r="J301" s="121"/>
      <c r="K301" s="121">
        <v>0</v>
      </c>
      <c r="L301" s="14">
        <f t="shared" si="28"/>
        <v>0</v>
      </c>
      <c r="M301" s="15">
        <f t="shared" si="29"/>
        <v>0</v>
      </c>
      <c r="N301" s="15">
        <f t="shared" si="30"/>
        <v>0</v>
      </c>
      <c r="O301" s="16">
        <f t="shared" si="31"/>
        <v>0</v>
      </c>
    </row>
    <row r="302" spans="2:15">
      <c r="B302" s="9">
        <v>3</v>
      </c>
      <c r="C302" s="10" t="s">
        <v>152</v>
      </c>
      <c r="D302" s="10" t="s">
        <v>154</v>
      </c>
      <c r="E302" s="93">
        <v>7</v>
      </c>
      <c r="F302" s="93">
        <v>8</v>
      </c>
      <c r="G302" s="10">
        <v>1</v>
      </c>
      <c r="H302" s="120">
        <v>4.8639999999999191</v>
      </c>
      <c r="I302" s="120">
        <v>0.35900000000003729</v>
      </c>
      <c r="J302" s="120">
        <v>0.2529999999999859</v>
      </c>
      <c r="K302" s="120">
        <v>5.4759999999999422</v>
      </c>
      <c r="L302" s="9">
        <f t="shared" si="28"/>
        <v>0.76819396163306553</v>
      </c>
      <c r="M302" s="10">
        <f t="shared" si="29"/>
        <v>0.13321945673250624</v>
      </c>
      <c r="N302" s="10">
        <f t="shared" si="30"/>
        <v>9.7951070994145115E-2</v>
      </c>
      <c r="O302" s="11">
        <f t="shared" si="31"/>
        <v>0.81130684008133225</v>
      </c>
    </row>
    <row r="303" spans="2:15">
      <c r="B303" s="12">
        <v>3</v>
      </c>
      <c r="C303" s="4" t="s">
        <v>152</v>
      </c>
      <c r="D303" s="4" t="s">
        <v>154</v>
      </c>
      <c r="E303" s="4">
        <v>7</v>
      </c>
      <c r="F303" s="4">
        <v>8</v>
      </c>
      <c r="G303" s="4">
        <v>2</v>
      </c>
      <c r="H303" s="115"/>
      <c r="I303" s="115"/>
      <c r="J303" s="115"/>
      <c r="K303" s="115">
        <v>0</v>
      </c>
      <c r="L303" s="12">
        <f t="shared" si="28"/>
        <v>0</v>
      </c>
      <c r="M303" s="4">
        <f t="shared" si="29"/>
        <v>0</v>
      </c>
      <c r="N303" s="4">
        <f t="shared" si="30"/>
        <v>0</v>
      </c>
      <c r="O303" s="13">
        <f t="shared" si="31"/>
        <v>0</v>
      </c>
    </row>
    <row r="304" spans="2:15">
      <c r="B304" s="12">
        <v>3</v>
      </c>
      <c r="C304" s="4" t="s">
        <v>152</v>
      </c>
      <c r="D304" s="4" t="s">
        <v>154</v>
      </c>
      <c r="E304" s="4">
        <v>7</v>
      </c>
      <c r="F304" s="4">
        <v>8</v>
      </c>
      <c r="G304" s="4">
        <v>3</v>
      </c>
      <c r="H304" s="115"/>
      <c r="I304" s="115"/>
      <c r="J304" s="115"/>
      <c r="K304" s="115">
        <v>0</v>
      </c>
      <c r="L304" s="12">
        <f t="shared" si="28"/>
        <v>0</v>
      </c>
      <c r="M304" s="4">
        <f t="shared" si="29"/>
        <v>0</v>
      </c>
      <c r="N304" s="4">
        <f t="shared" si="30"/>
        <v>0</v>
      </c>
      <c r="O304" s="13">
        <f t="shared" si="31"/>
        <v>0</v>
      </c>
    </row>
    <row r="305" spans="2:15">
      <c r="B305" s="12">
        <v>3</v>
      </c>
      <c r="C305" s="4" t="s">
        <v>152</v>
      </c>
      <c r="D305" s="4" t="s">
        <v>154</v>
      </c>
      <c r="E305" s="4">
        <v>7</v>
      </c>
      <c r="F305" s="4">
        <v>8</v>
      </c>
      <c r="G305" s="4">
        <v>4</v>
      </c>
      <c r="H305" s="115"/>
      <c r="I305" s="115"/>
      <c r="J305" s="115">
        <v>9.9999999999965894E-2</v>
      </c>
      <c r="K305" s="115">
        <v>9.9999999999965894E-2</v>
      </c>
      <c r="L305" s="12">
        <f t="shared" si="28"/>
        <v>0</v>
      </c>
      <c r="M305" s="4">
        <f t="shared" si="29"/>
        <v>0</v>
      </c>
      <c r="N305" s="4">
        <f t="shared" si="30"/>
        <v>4.1392685158211574E-2</v>
      </c>
      <c r="O305" s="13">
        <f t="shared" si="31"/>
        <v>4.1392685158211574E-2</v>
      </c>
    </row>
    <row r="306" spans="2:15">
      <c r="B306" s="12">
        <v>3</v>
      </c>
      <c r="C306" s="4" t="s">
        <v>152</v>
      </c>
      <c r="D306" s="4" t="s">
        <v>154</v>
      </c>
      <c r="E306" s="4">
        <v>7</v>
      </c>
      <c r="F306" s="4">
        <v>8</v>
      </c>
      <c r="G306" s="4">
        <v>5</v>
      </c>
      <c r="H306" s="115"/>
      <c r="I306" s="115"/>
      <c r="J306" s="115"/>
      <c r="K306" s="115">
        <v>0</v>
      </c>
      <c r="L306" s="12">
        <f t="shared" si="28"/>
        <v>0</v>
      </c>
      <c r="M306" s="4">
        <f t="shared" si="29"/>
        <v>0</v>
      </c>
      <c r="N306" s="4">
        <f t="shared" si="30"/>
        <v>0</v>
      </c>
      <c r="O306" s="13">
        <f t="shared" si="31"/>
        <v>0</v>
      </c>
    </row>
    <row r="307" spans="2:15">
      <c r="B307" s="12">
        <v>3</v>
      </c>
      <c r="C307" s="4" t="s">
        <v>152</v>
      </c>
      <c r="D307" s="4" t="s">
        <v>154</v>
      </c>
      <c r="E307" s="4">
        <v>7</v>
      </c>
      <c r="F307" s="4">
        <v>8</v>
      </c>
      <c r="G307" s="4">
        <v>6</v>
      </c>
      <c r="H307" s="115"/>
      <c r="I307" s="115"/>
      <c r="J307" s="115"/>
      <c r="K307" s="115">
        <v>0</v>
      </c>
      <c r="L307" s="12">
        <f t="shared" si="28"/>
        <v>0</v>
      </c>
      <c r="M307" s="4">
        <f t="shared" si="29"/>
        <v>0</v>
      </c>
      <c r="N307" s="4">
        <f t="shared" si="30"/>
        <v>0</v>
      </c>
      <c r="O307" s="13">
        <f t="shared" si="31"/>
        <v>0</v>
      </c>
    </row>
    <row r="308" spans="2:15">
      <c r="B308" s="12">
        <v>3</v>
      </c>
      <c r="C308" s="4" t="s">
        <v>152</v>
      </c>
      <c r="D308" s="4" t="s">
        <v>154</v>
      </c>
      <c r="E308" s="4">
        <v>7</v>
      </c>
      <c r="F308" s="4">
        <v>8</v>
      </c>
      <c r="G308" s="4">
        <v>7</v>
      </c>
      <c r="H308" s="115"/>
      <c r="I308" s="115"/>
      <c r="J308" s="115"/>
      <c r="K308" s="115">
        <v>0</v>
      </c>
      <c r="L308" s="12">
        <f t="shared" si="28"/>
        <v>0</v>
      </c>
      <c r="M308" s="4">
        <f t="shared" si="29"/>
        <v>0</v>
      </c>
      <c r="N308" s="4">
        <f t="shared" si="30"/>
        <v>0</v>
      </c>
      <c r="O308" s="13">
        <f t="shared" si="31"/>
        <v>0</v>
      </c>
    </row>
    <row r="309" spans="2:15">
      <c r="B309" s="12">
        <v>3</v>
      </c>
      <c r="C309" s="4" t="s">
        <v>152</v>
      </c>
      <c r="D309" s="4" t="s">
        <v>154</v>
      </c>
      <c r="E309" s="4">
        <v>7</v>
      </c>
      <c r="F309" s="4">
        <v>8</v>
      </c>
      <c r="G309" s="4">
        <v>8</v>
      </c>
      <c r="H309" s="115"/>
      <c r="I309" s="115"/>
      <c r="J309" s="115"/>
      <c r="K309" s="115">
        <v>0</v>
      </c>
      <c r="L309" s="12">
        <f t="shared" si="28"/>
        <v>0</v>
      </c>
      <c r="M309" s="4">
        <f t="shared" si="29"/>
        <v>0</v>
      </c>
      <c r="N309" s="4">
        <f t="shared" si="30"/>
        <v>0</v>
      </c>
      <c r="O309" s="13">
        <f t="shared" si="31"/>
        <v>0</v>
      </c>
    </row>
    <row r="310" spans="2:15">
      <c r="B310" s="12">
        <v>3</v>
      </c>
      <c r="C310" s="4" t="s">
        <v>152</v>
      </c>
      <c r="D310" s="4" t="s">
        <v>154</v>
      </c>
      <c r="E310" s="4">
        <v>7</v>
      </c>
      <c r="F310" s="4">
        <v>8</v>
      </c>
      <c r="G310" s="4">
        <v>9</v>
      </c>
      <c r="H310" s="115"/>
      <c r="I310" s="115"/>
      <c r="J310" s="115"/>
      <c r="K310" s="115">
        <v>0</v>
      </c>
      <c r="L310" s="12">
        <f t="shared" si="28"/>
        <v>0</v>
      </c>
      <c r="M310" s="4">
        <f t="shared" si="29"/>
        <v>0</v>
      </c>
      <c r="N310" s="4">
        <f t="shared" si="30"/>
        <v>0</v>
      </c>
      <c r="O310" s="13">
        <f t="shared" si="31"/>
        <v>0</v>
      </c>
    </row>
    <row r="311" spans="2:15" ht="13.8" thickBot="1">
      <c r="B311" s="14">
        <v>3</v>
      </c>
      <c r="C311" s="15" t="s">
        <v>152</v>
      </c>
      <c r="D311" s="15" t="s">
        <v>154</v>
      </c>
      <c r="E311" s="15">
        <v>7</v>
      </c>
      <c r="F311" s="15">
        <v>8</v>
      </c>
      <c r="G311" s="15">
        <v>10</v>
      </c>
      <c r="H311" s="121"/>
      <c r="I311" s="121"/>
      <c r="J311" s="121"/>
      <c r="K311" s="121">
        <v>0</v>
      </c>
      <c r="L311" s="14">
        <f t="shared" si="28"/>
        <v>0</v>
      </c>
      <c r="M311" s="15">
        <f t="shared" si="29"/>
        <v>0</v>
      </c>
      <c r="N311" s="15">
        <f t="shared" si="30"/>
        <v>0</v>
      </c>
      <c r="O311" s="16">
        <f t="shared" si="31"/>
        <v>0</v>
      </c>
    </row>
    <row r="312" spans="2:15">
      <c r="B312" s="9">
        <v>3</v>
      </c>
      <c r="C312" s="10" t="s">
        <v>152</v>
      </c>
      <c r="D312" s="10" t="s">
        <v>150</v>
      </c>
      <c r="E312" s="93">
        <v>8</v>
      </c>
      <c r="F312" s="93">
        <v>12</v>
      </c>
      <c r="G312" s="10">
        <v>1</v>
      </c>
      <c r="H312" s="120">
        <v>1.5830000000000837</v>
      </c>
      <c r="I312" s="120">
        <v>0.3669999999999618</v>
      </c>
      <c r="J312" s="120">
        <v>3.8150000000000546</v>
      </c>
      <c r="K312" s="120">
        <v>5.7650000000001</v>
      </c>
      <c r="L312" s="9">
        <f t="shared" si="28"/>
        <v>0.41212440617333129</v>
      </c>
      <c r="M312" s="10">
        <f t="shared" si="29"/>
        <v>0.13576851456781014</v>
      </c>
      <c r="N312" s="10">
        <f t="shared" si="30"/>
        <v>0.68259629146055822</v>
      </c>
      <c r="O312" s="11">
        <f t="shared" si="31"/>
        <v>0.83026780093364816</v>
      </c>
    </row>
    <row r="313" spans="2:15">
      <c r="B313" s="12">
        <v>3</v>
      </c>
      <c r="C313" s="4" t="s">
        <v>152</v>
      </c>
      <c r="D313" s="4" t="s">
        <v>150</v>
      </c>
      <c r="E313" s="4">
        <v>8</v>
      </c>
      <c r="F313" s="4">
        <v>12</v>
      </c>
      <c r="G313" s="4">
        <v>2</v>
      </c>
      <c r="H313" s="115">
        <v>2.5989999999999327</v>
      </c>
      <c r="I313" s="115">
        <v>0.63400000000001455</v>
      </c>
      <c r="J313" s="115">
        <v>0.93399999999996908</v>
      </c>
      <c r="K313" s="115">
        <v>4.1669999999999163</v>
      </c>
      <c r="L313" s="12">
        <f t="shared" si="28"/>
        <v>0.55618184665290316</v>
      </c>
      <c r="M313" s="4">
        <f t="shared" si="29"/>
        <v>0.21325205219640056</v>
      </c>
      <c r="N313" s="4">
        <f t="shared" si="30"/>
        <v>0.28645646974697592</v>
      </c>
      <c r="O313" s="13">
        <f t="shared" si="31"/>
        <v>0.71323846154565473</v>
      </c>
    </row>
    <row r="314" spans="2:15">
      <c r="B314" s="12">
        <v>3</v>
      </c>
      <c r="C314" s="4" t="s">
        <v>152</v>
      </c>
      <c r="D314" s="4" t="s">
        <v>150</v>
      </c>
      <c r="E314" s="4">
        <v>8</v>
      </c>
      <c r="F314" s="4">
        <v>12</v>
      </c>
      <c r="G314" s="4">
        <v>3</v>
      </c>
      <c r="H314" s="115"/>
      <c r="I314" s="115"/>
      <c r="J314" s="115"/>
      <c r="K314" s="115">
        <v>0</v>
      </c>
      <c r="L314" s="12">
        <f t="shared" si="28"/>
        <v>0</v>
      </c>
      <c r="M314" s="4">
        <f t="shared" si="29"/>
        <v>0</v>
      </c>
      <c r="N314" s="4">
        <f t="shared" si="30"/>
        <v>0</v>
      </c>
      <c r="O314" s="13">
        <f t="shared" si="31"/>
        <v>0</v>
      </c>
    </row>
    <row r="315" spans="2:15">
      <c r="B315" s="12">
        <v>3</v>
      </c>
      <c r="C315" s="4" t="s">
        <v>152</v>
      </c>
      <c r="D315" s="4" t="s">
        <v>150</v>
      </c>
      <c r="E315" s="4">
        <v>8</v>
      </c>
      <c r="F315" s="4">
        <v>12</v>
      </c>
      <c r="G315" s="4">
        <v>4</v>
      </c>
      <c r="H315" s="115"/>
      <c r="I315" s="115"/>
      <c r="J315" s="115"/>
      <c r="K315" s="115">
        <v>0</v>
      </c>
      <c r="L315" s="12">
        <f t="shared" si="28"/>
        <v>0</v>
      </c>
      <c r="M315" s="4">
        <f t="shared" si="29"/>
        <v>0</v>
      </c>
      <c r="N315" s="4">
        <f t="shared" si="30"/>
        <v>0</v>
      </c>
      <c r="O315" s="13">
        <f t="shared" si="31"/>
        <v>0</v>
      </c>
    </row>
    <row r="316" spans="2:15">
      <c r="B316" s="12">
        <v>3</v>
      </c>
      <c r="C316" s="4" t="s">
        <v>152</v>
      </c>
      <c r="D316" s="4" t="s">
        <v>150</v>
      </c>
      <c r="E316" s="4">
        <v>8</v>
      </c>
      <c r="F316" s="4">
        <v>12</v>
      </c>
      <c r="G316" s="4">
        <v>5</v>
      </c>
      <c r="H316" s="115"/>
      <c r="I316" s="115"/>
      <c r="J316" s="115"/>
      <c r="K316" s="115">
        <v>0</v>
      </c>
      <c r="L316" s="12">
        <f t="shared" si="28"/>
        <v>0</v>
      </c>
      <c r="M316" s="4">
        <f t="shared" si="29"/>
        <v>0</v>
      </c>
      <c r="N316" s="4">
        <f t="shared" si="30"/>
        <v>0</v>
      </c>
      <c r="O316" s="13">
        <f t="shared" si="31"/>
        <v>0</v>
      </c>
    </row>
    <row r="317" spans="2:15">
      <c r="B317" s="12">
        <v>3</v>
      </c>
      <c r="C317" s="4" t="s">
        <v>152</v>
      </c>
      <c r="D317" s="4" t="s">
        <v>150</v>
      </c>
      <c r="E317" s="4">
        <v>8</v>
      </c>
      <c r="F317" s="4">
        <v>12</v>
      </c>
      <c r="G317" s="4">
        <v>6</v>
      </c>
      <c r="H317" s="115"/>
      <c r="I317" s="115"/>
      <c r="J317" s="115"/>
      <c r="K317" s="115">
        <v>0</v>
      </c>
      <c r="L317" s="12">
        <f t="shared" si="28"/>
        <v>0</v>
      </c>
      <c r="M317" s="4">
        <f t="shared" si="29"/>
        <v>0</v>
      </c>
      <c r="N317" s="4">
        <f t="shared" si="30"/>
        <v>0</v>
      </c>
      <c r="O317" s="13">
        <f t="shared" si="31"/>
        <v>0</v>
      </c>
    </row>
    <row r="318" spans="2:15">
      <c r="B318" s="12">
        <v>3</v>
      </c>
      <c r="C318" s="4" t="s">
        <v>152</v>
      </c>
      <c r="D318" s="4" t="s">
        <v>150</v>
      </c>
      <c r="E318" s="4">
        <v>8</v>
      </c>
      <c r="F318" s="4">
        <v>12</v>
      </c>
      <c r="G318" s="4">
        <v>7</v>
      </c>
      <c r="H318" s="115"/>
      <c r="I318" s="115"/>
      <c r="J318" s="115"/>
      <c r="K318" s="115">
        <v>0</v>
      </c>
      <c r="L318" s="12">
        <f t="shared" si="28"/>
        <v>0</v>
      </c>
      <c r="M318" s="4">
        <f t="shared" si="29"/>
        <v>0</v>
      </c>
      <c r="N318" s="4">
        <f t="shared" si="30"/>
        <v>0</v>
      </c>
      <c r="O318" s="13">
        <f t="shared" si="31"/>
        <v>0</v>
      </c>
    </row>
    <row r="319" spans="2:15">
      <c r="B319" s="12">
        <v>3</v>
      </c>
      <c r="C319" s="4" t="s">
        <v>152</v>
      </c>
      <c r="D319" s="4" t="s">
        <v>150</v>
      </c>
      <c r="E319" s="4">
        <v>8</v>
      </c>
      <c r="F319" s="4">
        <v>12</v>
      </c>
      <c r="G319" s="4">
        <v>8</v>
      </c>
      <c r="H319" s="115"/>
      <c r="I319" s="115"/>
      <c r="J319" s="115"/>
      <c r="K319" s="115">
        <v>0</v>
      </c>
      <c r="L319" s="12">
        <f t="shared" si="28"/>
        <v>0</v>
      </c>
      <c r="M319" s="4">
        <f t="shared" si="29"/>
        <v>0</v>
      </c>
      <c r="N319" s="4">
        <f t="shared" si="30"/>
        <v>0</v>
      </c>
      <c r="O319" s="13">
        <f t="shared" si="31"/>
        <v>0</v>
      </c>
    </row>
    <row r="320" spans="2:15">
      <c r="B320" s="12">
        <v>3</v>
      </c>
      <c r="C320" s="4" t="s">
        <v>152</v>
      </c>
      <c r="D320" s="4" t="s">
        <v>150</v>
      </c>
      <c r="E320" s="4">
        <v>8</v>
      </c>
      <c r="F320" s="4">
        <v>12</v>
      </c>
      <c r="G320" s="4">
        <v>9</v>
      </c>
      <c r="H320" s="115"/>
      <c r="I320" s="115"/>
      <c r="J320" s="115"/>
      <c r="K320" s="115">
        <v>0</v>
      </c>
      <c r="L320" s="12">
        <f t="shared" si="28"/>
        <v>0</v>
      </c>
      <c r="M320" s="4">
        <f t="shared" si="29"/>
        <v>0</v>
      </c>
      <c r="N320" s="4">
        <f t="shared" si="30"/>
        <v>0</v>
      </c>
      <c r="O320" s="13">
        <f t="shared" si="31"/>
        <v>0</v>
      </c>
    </row>
    <row r="321" spans="2:15" ht="13.8" thickBot="1">
      <c r="B321" s="14">
        <v>3</v>
      </c>
      <c r="C321" s="15" t="s">
        <v>152</v>
      </c>
      <c r="D321" s="15" t="s">
        <v>150</v>
      </c>
      <c r="E321" s="15">
        <v>8</v>
      </c>
      <c r="F321" s="15">
        <v>12</v>
      </c>
      <c r="G321" s="15">
        <v>10</v>
      </c>
      <c r="H321" s="121"/>
      <c r="I321" s="121"/>
      <c r="J321" s="121"/>
      <c r="K321" s="121">
        <v>0</v>
      </c>
      <c r="L321" s="14">
        <f t="shared" si="28"/>
        <v>0</v>
      </c>
      <c r="M321" s="15">
        <f t="shared" si="29"/>
        <v>0</v>
      </c>
      <c r="N321" s="15">
        <f t="shared" si="30"/>
        <v>0</v>
      </c>
      <c r="O321" s="16">
        <f t="shared" si="31"/>
        <v>0</v>
      </c>
    </row>
    <row r="322" spans="2:15">
      <c r="B322" s="9">
        <v>3</v>
      </c>
      <c r="C322" s="10" t="s">
        <v>152</v>
      </c>
      <c r="D322" s="10" t="s">
        <v>149</v>
      </c>
      <c r="E322" s="93">
        <v>9</v>
      </c>
      <c r="F322" s="93">
        <v>4</v>
      </c>
      <c r="G322" s="10">
        <v>1</v>
      </c>
      <c r="H322" s="120">
        <v>0.85300000000000864</v>
      </c>
      <c r="I322" s="120"/>
      <c r="J322" s="120"/>
      <c r="K322" s="120">
        <v>0.85300000000000864</v>
      </c>
      <c r="L322" s="9">
        <f t="shared" si="28"/>
        <v>0.26787541931889958</v>
      </c>
      <c r="M322" s="10">
        <f t="shared" si="29"/>
        <v>0</v>
      </c>
      <c r="N322" s="10">
        <f t="shared" si="30"/>
        <v>0</v>
      </c>
      <c r="O322" s="11">
        <f t="shared" si="31"/>
        <v>0.26787541931889958</v>
      </c>
    </row>
    <row r="323" spans="2:15">
      <c r="B323" s="12">
        <v>3</v>
      </c>
      <c r="C323" s="4" t="s">
        <v>152</v>
      </c>
      <c r="D323" s="4" t="s">
        <v>149</v>
      </c>
      <c r="E323" s="4">
        <v>9</v>
      </c>
      <c r="F323" s="4">
        <v>4</v>
      </c>
      <c r="G323" s="4">
        <v>2</v>
      </c>
      <c r="H323" s="115">
        <v>2.3830000000000382</v>
      </c>
      <c r="I323" s="115">
        <v>0.26599999999999113</v>
      </c>
      <c r="J323" s="115"/>
      <c r="K323" s="115">
        <v>2.6490000000000293</v>
      </c>
      <c r="L323" s="12">
        <f t="shared" si="28"/>
        <v>0.52930199778798548</v>
      </c>
      <c r="M323" s="4">
        <f t="shared" si="29"/>
        <v>0.10243370568133325</v>
      </c>
      <c r="N323" s="4">
        <f t="shared" si="30"/>
        <v>0</v>
      </c>
      <c r="O323" s="13">
        <f t="shared" si="31"/>
        <v>0.5621738633646518</v>
      </c>
    </row>
    <row r="324" spans="2:15">
      <c r="B324" s="12">
        <v>3</v>
      </c>
      <c r="C324" s="4" t="s">
        <v>152</v>
      </c>
      <c r="D324" s="4" t="s">
        <v>149</v>
      </c>
      <c r="E324" s="4">
        <v>9</v>
      </c>
      <c r="F324" s="4">
        <v>4</v>
      </c>
      <c r="G324" s="4">
        <v>3</v>
      </c>
      <c r="H324" s="115"/>
      <c r="I324" s="115"/>
      <c r="J324" s="115">
        <v>0.66600000000002524</v>
      </c>
      <c r="K324" s="115">
        <v>0.66600000000002524</v>
      </c>
      <c r="L324" s="12">
        <f t="shared" si="28"/>
        <v>0</v>
      </c>
      <c r="M324" s="4">
        <f t="shared" si="29"/>
        <v>0</v>
      </c>
      <c r="N324" s="4">
        <f t="shared" si="30"/>
        <v>0.22167499707077537</v>
      </c>
      <c r="O324" s="13">
        <f t="shared" si="31"/>
        <v>0.22167499707077537</v>
      </c>
    </row>
    <row r="325" spans="2:15">
      <c r="B325" s="12">
        <v>3</v>
      </c>
      <c r="C325" s="4" t="s">
        <v>152</v>
      </c>
      <c r="D325" s="4" t="s">
        <v>149</v>
      </c>
      <c r="E325" s="4">
        <v>9</v>
      </c>
      <c r="F325" s="4">
        <v>4</v>
      </c>
      <c r="G325" s="4">
        <v>4</v>
      </c>
      <c r="H325" s="115"/>
      <c r="I325" s="115"/>
      <c r="J325" s="115"/>
      <c r="K325" s="115">
        <v>0</v>
      </c>
      <c r="L325" s="12">
        <f t="shared" si="28"/>
        <v>0</v>
      </c>
      <c r="M325" s="4">
        <f t="shared" si="29"/>
        <v>0</v>
      </c>
      <c r="N325" s="4">
        <f t="shared" si="30"/>
        <v>0</v>
      </c>
      <c r="O325" s="13">
        <f t="shared" si="31"/>
        <v>0</v>
      </c>
    </row>
    <row r="326" spans="2:15">
      <c r="B326" s="12">
        <v>3</v>
      </c>
      <c r="C326" s="4" t="s">
        <v>152</v>
      </c>
      <c r="D326" s="4" t="s">
        <v>149</v>
      </c>
      <c r="E326" s="4">
        <v>9</v>
      </c>
      <c r="F326" s="4">
        <v>4</v>
      </c>
      <c r="G326" s="4">
        <v>5</v>
      </c>
      <c r="H326" s="115"/>
      <c r="I326" s="115"/>
      <c r="J326" s="115"/>
      <c r="K326" s="115">
        <v>0</v>
      </c>
      <c r="L326" s="12">
        <f t="shared" si="28"/>
        <v>0</v>
      </c>
      <c r="M326" s="4">
        <f t="shared" si="29"/>
        <v>0</v>
      </c>
      <c r="N326" s="4">
        <f t="shared" si="30"/>
        <v>0</v>
      </c>
      <c r="O326" s="13">
        <f t="shared" si="31"/>
        <v>0</v>
      </c>
    </row>
    <row r="327" spans="2:15">
      <c r="B327" s="12">
        <v>3</v>
      </c>
      <c r="C327" s="4" t="s">
        <v>152</v>
      </c>
      <c r="D327" s="4" t="s">
        <v>149</v>
      </c>
      <c r="E327" s="4">
        <v>9</v>
      </c>
      <c r="F327" s="4">
        <v>4</v>
      </c>
      <c r="G327" s="4">
        <v>6</v>
      </c>
      <c r="H327" s="115"/>
      <c r="I327" s="115"/>
      <c r="J327" s="115"/>
      <c r="K327" s="115">
        <v>0</v>
      </c>
      <c r="L327" s="12">
        <f t="shared" si="28"/>
        <v>0</v>
      </c>
      <c r="M327" s="4">
        <f t="shared" si="29"/>
        <v>0</v>
      </c>
      <c r="N327" s="4">
        <f t="shared" si="30"/>
        <v>0</v>
      </c>
      <c r="O327" s="13">
        <f t="shared" si="31"/>
        <v>0</v>
      </c>
    </row>
    <row r="328" spans="2:15">
      <c r="B328" s="12">
        <v>3</v>
      </c>
      <c r="C328" s="4" t="s">
        <v>152</v>
      </c>
      <c r="D328" s="4" t="s">
        <v>149</v>
      </c>
      <c r="E328" s="4">
        <v>9</v>
      </c>
      <c r="F328" s="4">
        <v>4</v>
      </c>
      <c r="G328" s="4">
        <v>7</v>
      </c>
      <c r="H328" s="115"/>
      <c r="I328" s="115"/>
      <c r="J328" s="115"/>
      <c r="K328" s="115">
        <v>0</v>
      </c>
      <c r="L328" s="12">
        <f t="shared" si="28"/>
        <v>0</v>
      </c>
      <c r="M328" s="4">
        <f t="shared" si="29"/>
        <v>0</v>
      </c>
      <c r="N328" s="4">
        <f t="shared" si="30"/>
        <v>0</v>
      </c>
      <c r="O328" s="13">
        <f t="shared" si="31"/>
        <v>0</v>
      </c>
    </row>
    <row r="329" spans="2:15">
      <c r="B329" s="12">
        <v>3</v>
      </c>
      <c r="C329" s="4" t="s">
        <v>152</v>
      </c>
      <c r="D329" s="4" t="s">
        <v>149</v>
      </c>
      <c r="E329" s="4">
        <v>9</v>
      </c>
      <c r="F329" s="4">
        <v>4</v>
      </c>
      <c r="G329" s="4">
        <v>8</v>
      </c>
      <c r="H329" s="115"/>
      <c r="I329" s="115"/>
      <c r="J329" s="115"/>
      <c r="K329" s="115">
        <v>0</v>
      </c>
      <c r="L329" s="12">
        <f t="shared" si="28"/>
        <v>0</v>
      </c>
      <c r="M329" s="4">
        <f t="shared" si="29"/>
        <v>0</v>
      </c>
      <c r="N329" s="4">
        <f t="shared" si="30"/>
        <v>0</v>
      </c>
      <c r="O329" s="13">
        <f t="shared" si="31"/>
        <v>0</v>
      </c>
    </row>
    <row r="330" spans="2:15">
      <c r="B330" s="12">
        <v>3</v>
      </c>
      <c r="C330" s="4" t="s">
        <v>152</v>
      </c>
      <c r="D330" s="4" t="s">
        <v>149</v>
      </c>
      <c r="E330" s="4">
        <v>9</v>
      </c>
      <c r="F330" s="4">
        <v>4</v>
      </c>
      <c r="G330" s="4">
        <v>9</v>
      </c>
      <c r="H330" s="115"/>
      <c r="I330" s="115"/>
      <c r="J330" s="115"/>
      <c r="K330" s="115">
        <v>0</v>
      </c>
      <c r="L330" s="12">
        <f t="shared" si="28"/>
        <v>0</v>
      </c>
      <c r="M330" s="4">
        <f t="shared" si="29"/>
        <v>0</v>
      </c>
      <c r="N330" s="4">
        <f t="shared" si="30"/>
        <v>0</v>
      </c>
      <c r="O330" s="13">
        <f t="shared" si="31"/>
        <v>0</v>
      </c>
    </row>
    <row r="331" spans="2:15" ht="13.8" thickBot="1">
      <c r="B331" s="14">
        <v>3</v>
      </c>
      <c r="C331" s="15" t="s">
        <v>152</v>
      </c>
      <c r="D331" s="15" t="s">
        <v>149</v>
      </c>
      <c r="E331" s="15">
        <v>9</v>
      </c>
      <c r="F331" s="15">
        <v>4</v>
      </c>
      <c r="G331" s="15">
        <v>10</v>
      </c>
      <c r="H331" s="121"/>
      <c r="I331" s="121"/>
      <c r="J331" s="121"/>
      <c r="K331" s="121">
        <v>0</v>
      </c>
      <c r="L331" s="14">
        <f t="shared" si="28"/>
        <v>0</v>
      </c>
      <c r="M331" s="15">
        <f t="shared" si="29"/>
        <v>0</v>
      </c>
      <c r="N331" s="15">
        <f t="shared" si="30"/>
        <v>0</v>
      </c>
      <c r="O331" s="16">
        <f t="shared" si="31"/>
        <v>0</v>
      </c>
    </row>
    <row r="332" spans="2:15">
      <c r="B332" s="9">
        <v>3</v>
      </c>
      <c r="C332" s="10" t="s">
        <v>152</v>
      </c>
      <c r="D332" s="10" t="s">
        <v>154</v>
      </c>
      <c r="E332" s="93">
        <v>10</v>
      </c>
      <c r="F332" s="93">
        <v>6</v>
      </c>
      <c r="G332" s="10">
        <v>1</v>
      </c>
      <c r="H332" s="120">
        <v>0.7489999999999668</v>
      </c>
      <c r="I332" s="120"/>
      <c r="J332" s="120"/>
      <c r="K332" s="120">
        <v>0.7489999999999668</v>
      </c>
      <c r="L332" s="9">
        <f t="shared" si="28"/>
        <v>0.24278980947866827</v>
      </c>
      <c r="M332" s="10">
        <f t="shared" si="29"/>
        <v>0</v>
      </c>
      <c r="N332" s="10">
        <f t="shared" si="30"/>
        <v>0</v>
      </c>
      <c r="O332" s="11">
        <f t="shared" si="31"/>
        <v>0.24278980947866827</v>
      </c>
    </row>
    <row r="333" spans="2:15">
      <c r="B333" s="12">
        <v>3</v>
      </c>
      <c r="C333" s="4" t="s">
        <v>152</v>
      </c>
      <c r="D333" s="4" t="s">
        <v>154</v>
      </c>
      <c r="E333" s="4">
        <v>10</v>
      </c>
      <c r="F333" s="4">
        <v>6</v>
      </c>
      <c r="G333" s="4">
        <v>2</v>
      </c>
      <c r="H333" s="115"/>
      <c r="I333" s="115"/>
      <c r="J333" s="115"/>
      <c r="K333" s="115">
        <v>0</v>
      </c>
      <c r="L333" s="12">
        <f t="shared" si="28"/>
        <v>0</v>
      </c>
      <c r="M333" s="4">
        <f t="shared" si="29"/>
        <v>0</v>
      </c>
      <c r="N333" s="4">
        <f t="shared" si="30"/>
        <v>0</v>
      </c>
      <c r="O333" s="13">
        <f t="shared" si="31"/>
        <v>0</v>
      </c>
    </row>
    <row r="334" spans="2:15">
      <c r="B334" s="12">
        <v>3</v>
      </c>
      <c r="C334" s="4" t="s">
        <v>152</v>
      </c>
      <c r="D334" s="4" t="s">
        <v>154</v>
      </c>
      <c r="E334" s="4">
        <v>10</v>
      </c>
      <c r="F334" s="4">
        <v>6</v>
      </c>
      <c r="G334" s="4">
        <v>3</v>
      </c>
      <c r="H334" s="115"/>
      <c r="I334" s="115"/>
      <c r="J334" s="115"/>
      <c r="K334" s="115">
        <v>0</v>
      </c>
      <c r="L334" s="12">
        <f t="shared" si="28"/>
        <v>0</v>
      </c>
      <c r="M334" s="4">
        <f t="shared" si="29"/>
        <v>0</v>
      </c>
      <c r="N334" s="4">
        <f t="shared" si="30"/>
        <v>0</v>
      </c>
      <c r="O334" s="13">
        <f t="shared" si="31"/>
        <v>0</v>
      </c>
    </row>
    <row r="335" spans="2:15">
      <c r="B335" s="12">
        <v>3</v>
      </c>
      <c r="C335" s="4" t="s">
        <v>152</v>
      </c>
      <c r="D335" s="4" t="s">
        <v>154</v>
      </c>
      <c r="E335" s="4">
        <v>10</v>
      </c>
      <c r="F335" s="4">
        <v>6</v>
      </c>
      <c r="G335" s="4">
        <v>4</v>
      </c>
      <c r="H335" s="115"/>
      <c r="I335" s="115">
        <v>0.10000000000002274</v>
      </c>
      <c r="J335" s="115"/>
      <c r="K335" s="115">
        <v>0.10000000000002274</v>
      </c>
      <c r="L335" s="12">
        <f t="shared" si="28"/>
        <v>0</v>
      </c>
      <c r="M335" s="4">
        <f t="shared" si="29"/>
        <v>4.1392685158234015E-2</v>
      </c>
      <c r="N335" s="4">
        <f t="shared" si="30"/>
        <v>0</v>
      </c>
      <c r="O335" s="13">
        <f t="shared" si="31"/>
        <v>4.1392685158234015E-2</v>
      </c>
    </row>
    <row r="336" spans="2:15">
      <c r="B336" s="12">
        <v>3</v>
      </c>
      <c r="C336" s="4" t="s">
        <v>152</v>
      </c>
      <c r="D336" s="4" t="s">
        <v>154</v>
      </c>
      <c r="E336" s="4">
        <v>10</v>
      </c>
      <c r="F336" s="4">
        <v>6</v>
      </c>
      <c r="G336" s="4">
        <v>5</v>
      </c>
      <c r="H336" s="115"/>
      <c r="I336" s="115"/>
      <c r="J336" s="115"/>
      <c r="K336" s="115">
        <v>0</v>
      </c>
      <c r="L336" s="12">
        <f t="shared" si="28"/>
        <v>0</v>
      </c>
      <c r="M336" s="4">
        <f t="shared" si="29"/>
        <v>0</v>
      </c>
      <c r="N336" s="4">
        <f t="shared" si="30"/>
        <v>0</v>
      </c>
      <c r="O336" s="13">
        <f t="shared" si="31"/>
        <v>0</v>
      </c>
    </row>
    <row r="337" spans="2:15">
      <c r="B337" s="12">
        <v>3</v>
      </c>
      <c r="C337" s="4" t="s">
        <v>152</v>
      </c>
      <c r="D337" s="4" t="s">
        <v>154</v>
      </c>
      <c r="E337" s="4">
        <v>10</v>
      </c>
      <c r="F337" s="4">
        <v>6</v>
      </c>
      <c r="G337" s="4">
        <v>6</v>
      </c>
      <c r="H337" s="115"/>
      <c r="I337" s="115"/>
      <c r="J337" s="115"/>
      <c r="K337" s="115">
        <v>0</v>
      </c>
      <c r="L337" s="12">
        <f t="shared" si="28"/>
        <v>0</v>
      </c>
      <c r="M337" s="4">
        <f t="shared" si="29"/>
        <v>0</v>
      </c>
      <c r="N337" s="4">
        <f t="shared" si="30"/>
        <v>0</v>
      </c>
      <c r="O337" s="13">
        <f t="shared" si="31"/>
        <v>0</v>
      </c>
    </row>
    <row r="338" spans="2:15">
      <c r="B338" s="12">
        <v>3</v>
      </c>
      <c r="C338" s="4" t="s">
        <v>152</v>
      </c>
      <c r="D338" s="4" t="s">
        <v>154</v>
      </c>
      <c r="E338" s="4">
        <v>10</v>
      </c>
      <c r="F338" s="4">
        <v>6</v>
      </c>
      <c r="G338" s="4">
        <v>7</v>
      </c>
      <c r="H338" s="115"/>
      <c r="I338" s="115"/>
      <c r="J338" s="115"/>
      <c r="K338" s="115">
        <v>0</v>
      </c>
      <c r="L338" s="12">
        <f t="shared" si="28"/>
        <v>0</v>
      </c>
      <c r="M338" s="4">
        <f t="shared" si="29"/>
        <v>0</v>
      </c>
      <c r="N338" s="4">
        <f t="shared" si="30"/>
        <v>0</v>
      </c>
      <c r="O338" s="13">
        <f t="shared" si="31"/>
        <v>0</v>
      </c>
    </row>
    <row r="339" spans="2:15">
      <c r="B339" s="12">
        <v>3</v>
      </c>
      <c r="C339" s="4" t="s">
        <v>152</v>
      </c>
      <c r="D339" s="4" t="s">
        <v>154</v>
      </c>
      <c r="E339" s="4">
        <v>10</v>
      </c>
      <c r="F339" s="4">
        <v>6</v>
      </c>
      <c r="G339" s="4">
        <v>8</v>
      </c>
      <c r="H339" s="115"/>
      <c r="I339" s="115"/>
      <c r="J339" s="115"/>
      <c r="K339" s="115">
        <v>0</v>
      </c>
      <c r="L339" s="12">
        <f t="shared" si="28"/>
        <v>0</v>
      </c>
      <c r="M339" s="4">
        <f t="shared" si="29"/>
        <v>0</v>
      </c>
      <c r="N339" s="4">
        <f t="shared" si="30"/>
        <v>0</v>
      </c>
      <c r="O339" s="13">
        <f t="shared" si="31"/>
        <v>0</v>
      </c>
    </row>
    <row r="340" spans="2:15">
      <c r="B340" s="12">
        <v>3</v>
      </c>
      <c r="C340" s="4" t="s">
        <v>152</v>
      </c>
      <c r="D340" s="4" t="s">
        <v>154</v>
      </c>
      <c r="E340" s="4">
        <v>10</v>
      </c>
      <c r="F340" s="4">
        <v>6</v>
      </c>
      <c r="G340" s="4">
        <v>9</v>
      </c>
      <c r="H340" s="115"/>
      <c r="I340" s="115"/>
      <c r="J340" s="115"/>
      <c r="K340" s="115">
        <v>0</v>
      </c>
      <c r="L340" s="12">
        <f t="shared" si="28"/>
        <v>0</v>
      </c>
      <c r="M340" s="4">
        <f t="shared" si="29"/>
        <v>0</v>
      </c>
      <c r="N340" s="4">
        <f t="shared" si="30"/>
        <v>0</v>
      </c>
      <c r="O340" s="13">
        <f t="shared" si="31"/>
        <v>0</v>
      </c>
    </row>
    <row r="341" spans="2:15" ht="13.8" thickBot="1">
      <c r="B341" s="14">
        <v>3</v>
      </c>
      <c r="C341" s="15" t="s">
        <v>152</v>
      </c>
      <c r="D341" s="15" t="s">
        <v>154</v>
      </c>
      <c r="E341" s="15">
        <v>10</v>
      </c>
      <c r="F341" s="15">
        <v>6</v>
      </c>
      <c r="G341" s="15">
        <v>10</v>
      </c>
      <c r="H341" s="121"/>
      <c r="I341" s="121"/>
      <c r="J341" s="121"/>
      <c r="K341" s="121">
        <v>0</v>
      </c>
      <c r="L341" s="14">
        <f t="shared" si="28"/>
        <v>0</v>
      </c>
      <c r="M341" s="15">
        <f t="shared" si="29"/>
        <v>0</v>
      </c>
      <c r="N341" s="15">
        <f t="shared" si="30"/>
        <v>0</v>
      </c>
      <c r="O341" s="16">
        <f t="shared" si="31"/>
        <v>0</v>
      </c>
    </row>
    <row r="342" spans="2:15">
      <c r="B342" s="9">
        <v>3</v>
      </c>
      <c r="C342" s="10" t="s">
        <v>152</v>
      </c>
      <c r="D342" s="10" t="s">
        <v>150</v>
      </c>
      <c r="E342" s="93">
        <v>11</v>
      </c>
      <c r="F342" s="93">
        <v>10</v>
      </c>
      <c r="G342" s="10">
        <v>1</v>
      </c>
      <c r="H342" s="120">
        <v>3.5819999999998799</v>
      </c>
      <c r="I342" s="120"/>
      <c r="J342" s="120">
        <v>0.25300000000004275</v>
      </c>
      <c r="K342" s="120">
        <v>3.8349999999999227</v>
      </c>
      <c r="L342" s="9">
        <f t="shared" si="28"/>
        <v>0.66105508485336728</v>
      </c>
      <c r="M342" s="10">
        <f t="shared" si="29"/>
        <v>0</v>
      </c>
      <c r="N342" s="10">
        <f t="shared" si="30"/>
        <v>9.7951070994164821E-2</v>
      </c>
      <c r="O342" s="11">
        <f t="shared" si="31"/>
        <v>0.68439647841901352</v>
      </c>
    </row>
    <row r="343" spans="2:15">
      <c r="B343" s="12">
        <v>3</v>
      </c>
      <c r="C343" s="4" t="s">
        <v>152</v>
      </c>
      <c r="D343" s="4" t="s">
        <v>150</v>
      </c>
      <c r="E343" s="4">
        <v>11</v>
      </c>
      <c r="F343" s="4">
        <v>10</v>
      </c>
      <c r="G343" s="4">
        <v>2</v>
      </c>
      <c r="H343" s="115"/>
      <c r="I343" s="115">
        <v>0.29999999999995453</v>
      </c>
      <c r="J343" s="115">
        <v>0.10000000000002274</v>
      </c>
      <c r="K343" s="115">
        <v>0.39999999999997726</v>
      </c>
      <c r="L343" s="12">
        <f t="shared" si="28"/>
        <v>0</v>
      </c>
      <c r="M343" s="4">
        <f t="shared" si="29"/>
        <v>0.11394335230682158</v>
      </c>
      <c r="N343" s="4">
        <f t="shared" si="30"/>
        <v>4.1392685158234015E-2</v>
      </c>
      <c r="O343" s="13">
        <f t="shared" si="31"/>
        <v>0.14612803567823096</v>
      </c>
    </row>
    <row r="344" spans="2:15">
      <c r="B344" s="12">
        <v>3</v>
      </c>
      <c r="C344" s="4" t="s">
        <v>152</v>
      </c>
      <c r="D344" s="4" t="s">
        <v>150</v>
      </c>
      <c r="E344" s="4">
        <v>11</v>
      </c>
      <c r="F344" s="4">
        <v>10</v>
      </c>
      <c r="G344" s="4">
        <v>3</v>
      </c>
      <c r="H344" s="115">
        <v>0.21600000000000819</v>
      </c>
      <c r="I344" s="115"/>
      <c r="J344" s="115"/>
      <c r="K344" s="115">
        <v>0.21600000000000819</v>
      </c>
      <c r="L344" s="12">
        <f t="shared" si="28"/>
        <v>8.4933574936719061E-2</v>
      </c>
      <c r="M344" s="4">
        <f t="shared" si="29"/>
        <v>0</v>
      </c>
      <c r="N344" s="4">
        <f t="shared" si="30"/>
        <v>0</v>
      </c>
      <c r="O344" s="13">
        <f t="shared" si="31"/>
        <v>8.4933574936719061E-2</v>
      </c>
    </row>
    <row r="345" spans="2:15">
      <c r="B345" s="12">
        <v>3</v>
      </c>
      <c r="C345" s="4" t="s">
        <v>152</v>
      </c>
      <c r="D345" s="4" t="s">
        <v>150</v>
      </c>
      <c r="E345" s="4">
        <v>11</v>
      </c>
      <c r="F345" s="4">
        <v>10</v>
      </c>
      <c r="G345" s="4">
        <v>4</v>
      </c>
      <c r="H345" s="115"/>
      <c r="I345" s="115"/>
      <c r="J345" s="115"/>
      <c r="K345" s="115">
        <v>0</v>
      </c>
      <c r="L345" s="12">
        <f t="shared" si="28"/>
        <v>0</v>
      </c>
      <c r="M345" s="4">
        <f t="shared" si="29"/>
        <v>0</v>
      </c>
      <c r="N345" s="4">
        <f t="shared" si="30"/>
        <v>0</v>
      </c>
      <c r="O345" s="13">
        <f t="shared" si="31"/>
        <v>0</v>
      </c>
    </row>
    <row r="346" spans="2:15">
      <c r="B346" s="12">
        <v>3</v>
      </c>
      <c r="C346" s="4" t="s">
        <v>152</v>
      </c>
      <c r="D346" s="4" t="s">
        <v>150</v>
      </c>
      <c r="E346" s="4">
        <v>11</v>
      </c>
      <c r="F346" s="4">
        <v>10</v>
      </c>
      <c r="G346" s="4">
        <v>5</v>
      </c>
      <c r="H346" s="115"/>
      <c r="I346" s="115"/>
      <c r="J346" s="115"/>
      <c r="K346" s="115">
        <v>0</v>
      </c>
      <c r="L346" s="12">
        <f t="shared" si="28"/>
        <v>0</v>
      </c>
      <c r="M346" s="4">
        <f t="shared" si="29"/>
        <v>0</v>
      </c>
      <c r="N346" s="4">
        <f t="shared" si="30"/>
        <v>0</v>
      </c>
      <c r="O346" s="13">
        <f t="shared" si="31"/>
        <v>0</v>
      </c>
    </row>
    <row r="347" spans="2:15">
      <c r="B347" s="12">
        <v>3</v>
      </c>
      <c r="C347" s="4" t="s">
        <v>152</v>
      </c>
      <c r="D347" s="4" t="s">
        <v>150</v>
      </c>
      <c r="E347" s="4">
        <v>11</v>
      </c>
      <c r="F347" s="4">
        <v>10</v>
      </c>
      <c r="G347" s="4">
        <v>6</v>
      </c>
      <c r="H347" s="115"/>
      <c r="I347" s="115"/>
      <c r="J347" s="115"/>
      <c r="K347" s="115">
        <v>0</v>
      </c>
      <c r="L347" s="12">
        <f t="shared" si="28"/>
        <v>0</v>
      </c>
      <c r="M347" s="4">
        <f t="shared" si="29"/>
        <v>0</v>
      </c>
      <c r="N347" s="4">
        <f t="shared" si="30"/>
        <v>0</v>
      </c>
      <c r="O347" s="13">
        <f t="shared" si="31"/>
        <v>0</v>
      </c>
    </row>
    <row r="348" spans="2:15">
      <c r="B348" s="12">
        <v>3</v>
      </c>
      <c r="C348" s="4" t="s">
        <v>152</v>
      </c>
      <c r="D348" s="4" t="s">
        <v>150</v>
      </c>
      <c r="E348" s="4">
        <v>11</v>
      </c>
      <c r="F348" s="4">
        <v>10</v>
      </c>
      <c r="G348" s="4">
        <v>7</v>
      </c>
      <c r="H348" s="115"/>
      <c r="I348" s="115"/>
      <c r="J348" s="115"/>
      <c r="K348" s="115">
        <v>0</v>
      </c>
      <c r="L348" s="12">
        <f t="shared" si="28"/>
        <v>0</v>
      </c>
      <c r="M348" s="4">
        <f t="shared" si="29"/>
        <v>0</v>
      </c>
      <c r="N348" s="4">
        <f t="shared" si="30"/>
        <v>0</v>
      </c>
      <c r="O348" s="13">
        <f t="shared" si="31"/>
        <v>0</v>
      </c>
    </row>
    <row r="349" spans="2:15">
      <c r="B349" s="12">
        <v>3</v>
      </c>
      <c r="C349" s="4" t="s">
        <v>152</v>
      </c>
      <c r="D349" s="4" t="s">
        <v>150</v>
      </c>
      <c r="E349" s="4">
        <v>11</v>
      </c>
      <c r="F349" s="4">
        <v>10</v>
      </c>
      <c r="G349" s="4">
        <v>8</v>
      </c>
      <c r="H349" s="115"/>
      <c r="I349" s="115"/>
      <c r="J349" s="115"/>
      <c r="K349" s="115">
        <v>0</v>
      </c>
      <c r="L349" s="12">
        <f t="shared" si="28"/>
        <v>0</v>
      </c>
      <c r="M349" s="4">
        <f t="shared" si="29"/>
        <v>0</v>
      </c>
      <c r="N349" s="4">
        <f t="shared" si="30"/>
        <v>0</v>
      </c>
      <c r="O349" s="13">
        <f t="shared" si="31"/>
        <v>0</v>
      </c>
    </row>
    <row r="350" spans="2:15">
      <c r="B350" s="12">
        <v>3</v>
      </c>
      <c r="C350" s="4" t="s">
        <v>152</v>
      </c>
      <c r="D350" s="4" t="s">
        <v>150</v>
      </c>
      <c r="E350" s="4">
        <v>11</v>
      </c>
      <c r="F350" s="4">
        <v>10</v>
      </c>
      <c r="G350" s="4">
        <v>9</v>
      </c>
      <c r="H350" s="115"/>
      <c r="I350" s="115"/>
      <c r="J350" s="115"/>
      <c r="K350" s="115">
        <v>0</v>
      </c>
      <c r="L350" s="12">
        <f t="shared" si="28"/>
        <v>0</v>
      </c>
      <c r="M350" s="4">
        <f t="shared" si="29"/>
        <v>0</v>
      </c>
      <c r="N350" s="4">
        <f t="shared" si="30"/>
        <v>0</v>
      </c>
      <c r="O350" s="13">
        <f t="shared" si="31"/>
        <v>0</v>
      </c>
    </row>
    <row r="351" spans="2:15" ht="13.8" thickBot="1">
      <c r="B351" s="14">
        <v>3</v>
      </c>
      <c r="C351" s="15" t="s">
        <v>152</v>
      </c>
      <c r="D351" s="15" t="s">
        <v>150</v>
      </c>
      <c r="E351" s="15">
        <v>11</v>
      </c>
      <c r="F351" s="15">
        <v>10</v>
      </c>
      <c r="G351" s="15">
        <v>10</v>
      </c>
      <c r="H351" s="121"/>
      <c r="I351" s="121"/>
      <c r="J351" s="121"/>
      <c r="K351" s="121">
        <v>0</v>
      </c>
      <c r="L351" s="14">
        <f t="shared" si="28"/>
        <v>0</v>
      </c>
      <c r="M351" s="15">
        <f t="shared" si="29"/>
        <v>0</v>
      </c>
      <c r="N351" s="15">
        <f t="shared" si="30"/>
        <v>0</v>
      </c>
      <c r="O351" s="16">
        <f t="shared" si="31"/>
        <v>0</v>
      </c>
    </row>
    <row r="352" spans="2:15">
      <c r="B352" s="9">
        <v>3</v>
      </c>
      <c r="C352" s="10" t="s">
        <v>152</v>
      </c>
      <c r="D352" s="10" t="s">
        <v>149</v>
      </c>
      <c r="E352" s="93">
        <v>12</v>
      </c>
      <c r="F352" s="93">
        <v>2</v>
      </c>
      <c r="G352" s="10">
        <v>1</v>
      </c>
      <c r="H352" s="120">
        <v>3.2820000000000249</v>
      </c>
      <c r="I352" s="120">
        <v>0.29999999999999716</v>
      </c>
      <c r="J352" s="120">
        <v>0.53399999999999181</v>
      </c>
      <c r="K352" s="120">
        <v>4.1160000000000139</v>
      </c>
      <c r="L352" s="9">
        <f t="shared" si="28"/>
        <v>0.63164666295842209</v>
      </c>
      <c r="M352" s="10">
        <f t="shared" si="29"/>
        <v>0.11394335230683582</v>
      </c>
      <c r="N352" s="10">
        <f t="shared" si="30"/>
        <v>0.18582535961295985</v>
      </c>
      <c r="O352" s="11">
        <f t="shared" si="31"/>
        <v>0.70893053580661747</v>
      </c>
    </row>
    <row r="353" spans="2:15">
      <c r="B353" s="12">
        <v>3</v>
      </c>
      <c r="C353" s="4" t="s">
        <v>152</v>
      </c>
      <c r="D353" s="4" t="s">
        <v>149</v>
      </c>
      <c r="E353" s="4">
        <v>12</v>
      </c>
      <c r="F353" s="4">
        <v>2</v>
      </c>
      <c r="G353" s="4">
        <v>2</v>
      </c>
      <c r="H353" s="115">
        <v>0.29999999999998295</v>
      </c>
      <c r="I353" s="115"/>
      <c r="J353" s="115"/>
      <c r="K353" s="115">
        <v>0.29999999999998295</v>
      </c>
      <c r="L353" s="12">
        <f t="shared" si="28"/>
        <v>0.11394335230683107</v>
      </c>
      <c r="M353" s="4">
        <f t="shared" si="29"/>
        <v>0</v>
      </c>
      <c r="N353" s="4">
        <f t="shared" si="30"/>
        <v>0</v>
      </c>
      <c r="O353" s="13">
        <f t="shared" si="31"/>
        <v>0.11394335230683107</v>
      </c>
    </row>
    <row r="354" spans="2:15">
      <c r="B354" s="12">
        <v>3</v>
      </c>
      <c r="C354" s="4" t="s">
        <v>152</v>
      </c>
      <c r="D354" s="4" t="s">
        <v>149</v>
      </c>
      <c r="E354" s="4">
        <v>12</v>
      </c>
      <c r="F354" s="4">
        <v>2</v>
      </c>
      <c r="G354" s="4">
        <v>3</v>
      </c>
      <c r="H354" s="115"/>
      <c r="I354" s="115"/>
      <c r="J354" s="115"/>
      <c r="K354" s="115">
        <v>0</v>
      </c>
      <c r="L354" s="12">
        <f t="shared" si="28"/>
        <v>0</v>
      </c>
      <c r="M354" s="4">
        <f t="shared" si="29"/>
        <v>0</v>
      </c>
      <c r="N354" s="4">
        <f t="shared" si="30"/>
        <v>0</v>
      </c>
      <c r="O354" s="13">
        <f t="shared" si="31"/>
        <v>0</v>
      </c>
    </row>
    <row r="355" spans="2:15">
      <c r="B355" s="12">
        <v>3</v>
      </c>
      <c r="C355" s="4" t="s">
        <v>152</v>
      </c>
      <c r="D355" s="4" t="s">
        <v>149</v>
      </c>
      <c r="E355" s="4">
        <v>12</v>
      </c>
      <c r="F355" s="4">
        <v>2</v>
      </c>
      <c r="G355" s="4">
        <v>4</v>
      </c>
      <c r="H355" s="115"/>
      <c r="I355" s="115"/>
      <c r="J355" s="115"/>
      <c r="K355" s="115">
        <v>0</v>
      </c>
      <c r="L355" s="12">
        <f t="shared" si="28"/>
        <v>0</v>
      </c>
      <c r="M355" s="4">
        <f t="shared" si="29"/>
        <v>0</v>
      </c>
      <c r="N355" s="4">
        <f t="shared" si="30"/>
        <v>0</v>
      </c>
      <c r="O355" s="13">
        <f t="shared" si="31"/>
        <v>0</v>
      </c>
    </row>
    <row r="356" spans="2:15">
      <c r="B356" s="12">
        <v>3</v>
      </c>
      <c r="C356" s="4" t="s">
        <v>152</v>
      </c>
      <c r="D356" s="4" t="s">
        <v>149</v>
      </c>
      <c r="E356" s="4">
        <v>12</v>
      </c>
      <c r="F356" s="4">
        <v>2</v>
      </c>
      <c r="G356" s="4">
        <v>5</v>
      </c>
      <c r="H356" s="115"/>
      <c r="I356" s="115"/>
      <c r="J356" s="115"/>
      <c r="K356" s="115">
        <v>0</v>
      </c>
      <c r="L356" s="12">
        <f t="shared" si="28"/>
        <v>0</v>
      </c>
      <c r="M356" s="4">
        <f t="shared" si="29"/>
        <v>0</v>
      </c>
      <c r="N356" s="4">
        <f t="shared" si="30"/>
        <v>0</v>
      </c>
      <c r="O356" s="13">
        <f t="shared" si="31"/>
        <v>0</v>
      </c>
    </row>
    <row r="357" spans="2:15">
      <c r="B357" s="12">
        <v>3</v>
      </c>
      <c r="C357" s="4" t="s">
        <v>152</v>
      </c>
      <c r="D357" s="4" t="s">
        <v>149</v>
      </c>
      <c r="E357" s="4">
        <v>12</v>
      </c>
      <c r="F357" s="4">
        <v>2</v>
      </c>
      <c r="G357" s="4">
        <v>6</v>
      </c>
      <c r="H357" s="115"/>
      <c r="I357" s="115"/>
      <c r="J357" s="115"/>
      <c r="K357" s="115">
        <v>0</v>
      </c>
      <c r="L357" s="12">
        <f t="shared" si="28"/>
        <v>0</v>
      </c>
      <c r="M357" s="4">
        <f t="shared" si="29"/>
        <v>0</v>
      </c>
      <c r="N357" s="4">
        <f t="shared" si="30"/>
        <v>0</v>
      </c>
      <c r="O357" s="13">
        <f t="shared" si="31"/>
        <v>0</v>
      </c>
    </row>
    <row r="358" spans="2:15">
      <c r="B358" s="12">
        <v>3</v>
      </c>
      <c r="C358" s="4" t="s">
        <v>152</v>
      </c>
      <c r="D358" s="4" t="s">
        <v>149</v>
      </c>
      <c r="E358" s="4">
        <v>12</v>
      </c>
      <c r="F358" s="4">
        <v>2</v>
      </c>
      <c r="G358" s="4">
        <v>7</v>
      </c>
      <c r="H358" s="115"/>
      <c r="I358" s="115"/>
      <c r="J358" s="115"/>
      <c r="K358" s="115">
        <v>0</v>
      </c>
      <c r="L358" s="12">
        <f t="shared" si="28"/>
        <v>0</v>
      </c>
      <c r="M358" s="4">
        <f t="shared" si="29"/>
        <v>0</v>
      </c>
      <c r="N358" s="4">
        <f t="shared" si="30"/>
        <v>0</v>
      </c>
      <c r="O358" s="13">
        <f t="shared" si="31"/>
        <v>0</v>
      </c>
    </row>
    <row r="359" spans="2:15">
      <c r="B359" s="12">
        <v>3</v>
      </c>
      <c r="C359" s="4" t="s">
        <v>152</v>
      </c>
      <c r="D359" s="4" t="s">
        <v>149</v>
      </c>
      <c r="E359" s="4">
        <v>12</v>
      </c>
      <c r="F359" s="4">
        <v>2</v>
      </c>
      <c r="G359" s="4">
        <v>8</v>
      </c>
      <c r="H359" s="115"/>
      <c r="I359" s="115"/>
      <c r="J359" s="115"/>
      <c r="K359" s="115">
        <v>0</v>
      </c>
      <c r="L359" s="12">
        <f t="shared" ref="L359:L422" si="32">LOG10(H359+1)</f>
        <v>0</v>
      </c>
      <c r="M359" s="4">
        <f t="shared" ref="M359:M422" si="33">LOG10(I359+1)</f>
        <v>0</v>
      </c>
      <c r="N359" s="4">
        <f t="shared" ref="N359:N422" si="34">LOG10(J359+1)</f>
        <v>0</v>
      </c>
      <c r="O359" s="13">
        <f t="shared" ref="O359:O422" si="35">LOG10(K359+1)</f>
        <v>0</v>
      </c>
    </row>
    <row r="360" spans="2:15">
      <c r="B360" s="12">
        <v>3</v>
      </c>
      <c r="C360" s="4" t="s">
        <v>152</v>
      </c>
      <c r="D360" s="4" t="s">
        <v>149</v>
      </c>
      <c r="E360" s="4">
        <v>12</v>
      </c>
      <c r="F360" s="4">
        <v>2</v>
      </c>
      <c r="G360" s="4">
        <v>9</v>
      </c>
      <c r="H360" s="115"/>
      <c r="I360" s="115"/>
      <c r="J360" s="115"/>
      <c r="K360" s="115">
        <v>0</v>
      </c>
      <c r="L360" s="12">
        <f t="shared" si="32"/>
        <v>0</v>
      </c>
      <c r="M360" s="4">
        <f t="shared" si="33"/>
        <v>0</v>
      </c>
      <c r="N360" s="4">
        <f t="shared" si="34"/>
        <v>0</v>
      </c>
      <c r="O360" s="13">
        <f t="shared" si="35"/>
        <v>0</v>
      </c>
    </row>
    <row r="361" spans="2:15" ht="13.8" thickBot="1">
      <c r="B361" s="14">
        <v>3</v>
      </c>
      <c r="C361" s="15" t="s">
        <v>152</v>
      </c>
      <c r="D361" s="15" t="s">
        <v>149</v>
      </c>
      <c r="E361" s="15">
        <v>12</v>
      </c>
      <c r="F361" s="15">
        <v>2</v>
      </c>
      <c r="G361" s="15">
        <v>10</v>
      </c>
      <c r="H361" s="121"/>
      <c r="I361" s="121"/>
      <c r="J361" s="121"/>
      <c r="K361" s="121">
        <v>0</v>
      </c>
      <c r="L361" s="14">
        <f t="shared" si="32"/>
        <v>0</v>
      </c>
      <c r="M361" s="15">
        <f t="shared" si="33"/>
        <v>0</v>
      </c>
      <c r="N361" s="15">
        <f t="shared" si="34"/>
        <v>0</v>
      </c>
      <c r="O361" s="16">
        <f t="shared" si="35"/>
        <v>0</v>
      </c>
    </row>
    <row r="362" spans="2:15">
      <c r="B362" s="9">
        <v>4</v>
      </c>
      <c r="C362" s="10" t="s">
        <v>151</v>
      </c>
      <c r="D362" s="10" t="s">
        <v>154</v>
      </c>
      <c r="E362" s="93">
        <v>1</v>
      </c>
      <c r="F362" s="93">
        <v>9</v>
      </c>
      <c r="G362" s="10">
        <v>1</v>
      </c>
      <c r="H362" s="120">
        <v>2.8339999999998327</v>
      </c>
      <c r="I362" s="120">
        <v>0.11700000000007549</v>
      </c>
      <c r="J362" s="120">
        <v>0.1169999999999618</v>
      </c>
      <c r="K362" s="120">
        <v>3.0679999999998699</v>
      </c>
      <c r="L362" s="9">
        <f t="shared" si="32"/>
        <v>0.58365210854202487</v>
      </c>
      <c r="M362" s="10">
        <f t="shared" si="33"/>
        <v>4.8053173115638406E-2</v>
      </c>
      <c r="N362" s="10">
        <f t="shared" si="34"/>
        <v>4.8053173115594205E-2</v>
      </c>
      <c r="O362" s="11">
        <f t="shared" si="35"/>
        <v>0.60938094425069311</v>
      </c>
    </row>
    <row r="363" spans="2:15">
      <c r="B363" s="12">
        <v>4</v>
      </c>
      <c r="C363" s="4" t="s">
        <v>151</v>
      </c>
      <c r="D363" s="4" t="s">
        <v>154</v>
      </c>
      <c r="E363" s="4">
        <v>1</v>
      </c>
      <c r="F363" s="4">
        <v>9</v>
      </c>
      <c r="G363" s="4">
        <v>2</v>
      </c>
      <c r="H363" s="115">
        <v>5.2470000000000709</v>
      </c>
      <c r="I363" s="115">
        <v>0.14999999999997726</v>
      </c>
      <c r="J363" s="115">
        <v>1.2669999999998254</v>
      </c>
      <c r="K363" s="115">
        <v>6.6639999999998736</v>
      </c>
      <c r="L363" s="12">
        <f t="shared" si="32"/>
        <v>0.79567150594602665</v>
      </c>
      <c r="M363" s="4">
        <f t="shared" si="33"/>
        <v>6.0697840353603094E-2</v>
      </c>
      <c r="N363" s="4">
        <f t="shared" si="34"/>
        <v>0.35545152012648396</v>
      </c>
      <c r="O363" s="13">
        <f t="shared" si="35"/>
        <v>0.8844554960704808</v>
      </c>
    </row>
    <row r="364" spans="2:15">
      <c r="B364" s="12">
        <v>4</v>
      </c>
      <c r="C364" s="4" t="s">
        <v>151</v>
      </c>
      <c r="D364" s="4" t="s">
        <v>154</v>
      </c>
      <c r="E364" s="4">
        <v>1</v>
      </c>
      <c r="F364" s="4">
        <v>9</v>
      </c>
      <c r="G364" s="4">
        <v>3</v>
      </c>
      <c r="H364" s="115">
        <v>1.3010000000000446</v>
      </c>
      <c r="I364" s="115">
        <v>0.33299999999996999</v>
      </c>
      <c r="J364" s="115">
        <v>1.4669999999999845</v>
      </c>
      <c r="K364" s="115">
        <v>3.1009999999999991</v>
      </c>
      <c r="L364" s="12">
        <f t="shared" si="32"/>
        <v>0.36191661866865182</v>
      </c>
      <c r="M364" s="4">
        <f t="shared" si="33"/>
        <v>0.12483014941384943</v>
      </c>
      <c r="N364" s="4">
        <f t="shared" si="34"/>
        <v>0.3921691494897333</v>
      </c>
      <c r="O364" s="13">
        <f t="shared" si="35"/>
        <v>0.61288976928748462</v>
      </c>
    </row>
    <row r="365" spans="2:15">
      <c r="B365" s="12">
        <v>4</v>
      </c>
      <c r="C365" s="4" t="s">
        <v>151</v>
      </c>
      <c r="D365" s="4" t="s">
        <v>154</v>
      </c>
      <c r="E365" s="4">
        <v>1</v>
      </c>
      <c r="F365" s="4">
        <v>9</v>
      </c>
      <c r="G365" s="4">
        <v>4</v>
      </c>
      <c r="H365" s="115">
        <v>0.56700000000000728</v>
      </c>
      <c r="I365" s="115"/>
      <c r="J365" s="115"/>
      <c r="K365" s="115">
        <v>0.56700000000000728</v>
      </c>
      <c r="L365" s="12">
        <f t="shared" si="32"/>
        <v>0.19506899646859216</v>
      </c>
      <c r="M365" s="4">
        <f t="shared" si="33"/>
        <v>0</v>
      </c>
      <c r="N365" s="4">
        <f t="shared" si="34"/>
        <v>0</v>
      </c>
      <c r="O365" s="13">
        <f t="shared" si="35"/>
        <v>0.19506899646859216</v>
      </c>
    </row>
    <row r="366" spans="2:15">
      <c r="B366" s="12">
        <v>4</v>
      </c>
      <c r="C366" s="4" t="s">
        <v>151</v>
      </c>
      <c r="D366" s="4" t="s">
        <v>154</v>
      </c>
      <c r="E366" s="4">
        <v>1</v>
      </c>
      <c r="F366" s="4">
        <v>9</v>
      </c>
      <c r="G366" s="4">
        <v>5</v>
      </c>
      <c r="H366" s="115">
        <v>0.98299999999994725</v>
      </c>
      <c r="I366" s="115">
        <v>0.11599999999998545</v>
      </c>
      <c r="J366" s="115"/>
      <c r="K366" s="115">
        <v>1.0989999999999327</v>
      </c>
      <c r="L366" s="12">
        <f t="shared" si="32"/>
        <v>0.29732271420529111</v>
      </c>
      <c r="M366" s="4">
        <f t="shared" si="33"/>
        <v>4.7664194601554279E-2</v>
      </c>
      <c r="N366" s="4">
        <f t="shared" si="34"/>
        <v>0</v>
      </c>
      <c r="O366" s="13">
        <f t="shared" si="35"/>
        <v>0.32201243858238654</v>
      </c>
    </row>
    <row r="367" spans="2:15">
      <c r="B367" s="12">
        <v>4</v>
      </c>
      <c r="C367" s="4" t="s">
        <v>151</v>
      </c>
      <c r="D367" s="4" t="s">
        <v>154</v>
      </c>
      <c r="E367" s="4">
        <v>1</v>
      </c>
      <c r="F367" s="4">
        <v>9</v>
      </c>
      <c r="G367" s="4">
        <v>6</v>
      </c>
      <c r="H367" s="115"/>
      <c r="I367" s="115"/>
      <c r="J367" s="115"/>
      <c r="K367" s="115">
        <v>0</v>
      </c>
      <c r="L367" s="12">
        <f t="shared" si="32"/>
        <v>0</v>
      </c>
      <c r="M367" s="4">
        <f t="shared" si="33"/>
        <v>0</v>
      </c>
      <c r="N367" s="4">
        <f t="shared" si="34"/>
        <v>0</v>
      </c>
      <c r="O367" s="13">
        <f t="shared" si="35"/>
        <v>0</v>
      </c>
    </row>
    <row r="368" spans="2:15">
      <c r="B368" s="12">
        <v>4</v>
      </c>
      <c r="C368" s="4" t="s">
        <v>151</v>
      </c>
      <c r="D368" s="4" t="s">
        <v>154</v>
      </c>
      <c r="E368" s="4">
        <v>1</v>
      </c>
      <c r="F368" s="4">
        <v>9</v>
      </c>
      <c r="G368" s="4">
        <v>7</v>
      </c>
      <c r="H368" s="115"/>
      <c r="I368" s="115"/>
      <c r="J368" s="115"/>
      <c r="K368" s="115">
        <v>0</v>
      </c>
      <c r="L368" s="12">
        <f t="shared" si="32"/>
        <v>0</v>
      </c>
      <c r="M368" s="4">
        <f t="shared" si="33"/>
        <v>0</v>
      </c>
      <c r="N368" s="4">
        <f t="shared" si="34"/>
        <v>0</v>
      </c>
      <c r="O368" s="13">
        <f t="shared" si="35"/>
        <v>0</v>
      </c>
    </row>
    <row r="369" spans="2:15">
      <c r="B369" s="12">
        <v>4</v>
      </c>
      <c r="C369" s="4" t="s">
        <v>151</v>
      </c>
      <c r="D369" s="4" t="s">
        <v>154</v>
      </c>
      <c r="E369" s="4">
        <v>1</v>
      </c>
      <c r="F369" s="4">
        <v>9</v>
      </c>
      <c r="G369" s="4">
        <v>8</v>
      </c>
      <c r="H369" s="115"/>
      <c r="I369" s="115"/>
      <c r="J369" s="115"/>
      <c r="K369" s="115">
        <v>0</v>
      </c>
      <c r="L369" s="12">
        <f t="shared" si="32"/>
        <v>0</v>
      </c>
      <c r="M369" s="4">
        <f t="shared" si="33"/>
        <v>0</v>
      </c>
      <c r="N369" s="4">
        <f t="shared" si="34"/>
        <v>0</v>
      </c>
      <c r="O369" s="13">
        <f t="shared" si="35"/>
        <v>0</v>
      </c>
    </row>
    <row r="370" spans="2:15">
      <c r="B370" s="12">
        <v>4</v>
      </c>
      <c r="C370" s="4" t="s">
        <v>151</v>
      </c>
      <c r="D370" s="4" t="s">
        <v>154</v>
      </c>
      <c r="E370" s="4">
        <v>1</v>
      </c>
      <c r="F370" s="4">
        <v>9</v>
      </c>
      <c r="G370" s="4">
        <v>9</v>
      </c>
      <c r="H370" s="115"/>
      <c r="I370" s="115"/>
      <c r="J370" s="115"/>
      <c r="K370" s="115">
        <v>0</v>
      </c>
      <c r="L370" s="12">
        <f t="shared" si="32"/>
        <v>0</v>
      </c>
      <c r="M370" s="4">
        <f t="shared" si="33"/>
        <v>0</v>
      </c>
      <c r="N370" s="4">
        <f t="shared" si="34"/>
        <v>0</v>
      </c>
      <c r="O370" s="13">
        <f t="shared" si="35"/>
        <v>0</v>
      </c>
    </row>
    <row r="371" spans="2:15" ht="13.8" thickBot="1">
      <c r="B371" s="14">
        <v>4</v>
      </c>
      <c r="C371" s="15" t="s">
        <v>151</v>
      </c>
      <c r="D371" s="15" t="s">
        <v>154</v>
      </c>
      <c r="E371" s="15">
        <v>1</v>
      </c>
      <c r="F371" s="15">
        <v>9</v>
      </c>
      <c r="G371" s="15">
        <v>10</v>
      </c>
      <c r="H371" s="121"/>
      <c r="I371" s="121"/>
      <c r="J371" s="121"/>
      <c r="K371" s="121">
        <v>0</v>
      </c>
      <c r="L371" s="14">
        <f t="shared" si="32"/>
        <v>0</v>
      </c>
      <c r="M371" s="15">
        <f t="shared" si="33"/>
        <v>0</v>
      </c>
      <c r="N371" s="15">
        <f t="shared" si="34"/>
        <v>0</v>
      </c>
      <c r="O371" s="16">
        <f t="shared" si="35"/>
        <v>0</v>
      </c>
    </row>
    <row r="372" spans="2:15">
      <c r="B372" s="9">
        <v>4</v>
      </c>
      <c r="C372" s="10" t="s">
        <v>151</v>
      </c>
      <c r="D372" s="10" t="s">
        <v>154</v>
      </c>
      <c r="E372" s="93">
        <v>2</v>
      </c>
      <c r="F372" s="93">
        <v>11</v>
      </c>
      <c r="G372" s="10">
        <v>1</v>
      </c>
      <c r="H372" s="120">
        <v>2.1839999999999691</v>
      </c>
      <c r="I372" s="120">
        <v>1.2349999999999</v>
      </c>
      <c r="J372" s="120">
        <v>0.79800000000011551</v>
      </c>
      <c r="K372" s="120">
        <v>4.2169999999999845</v>
      </c>
      <c r="L372" s="9">
        <f t="shared" si="32"/>
        <v>0.50297305906562717</v>
      </c>
      <c r="M372" s="10">
        <f t="shared" si="33"/>
        <v>0.34927752746793583</v>
      </c>
      <c r="N372" s="10">
        <f t="shared" si="34"/>
        <v>0.25478968739723784</v>
      </c>
      <c r="O372" s="11">
        <f t="shared" si="35"/>
        <v>0.71742083672237356</v>
      </c>
    </row>
    <row r="373" spans="2:15">
      <c r="B373" s="12">
        <v>4</v>
      </c>
      <c r="C373" s="4" t="s">
        <v>151</v>
      </c>
      <c r="D373" s="4" t="s">
        <v>154</v>
      </c>
      <c r="E373" s="4">
        <v>2</v>
      </c>
      <c r="F373" s="4">
        <v>11</v>
      </c>
      <c r="G373" s="4">
        <v>2</v>
      </c>
      <c r="H373" s="115">
        <v>0.66600000000005366</v>
      </c>
      <c r="I373" s="115"/>
      <c r="J373" s="115">
        <v>0.1169999999999618</v>
      </c>
      <c r="K373" s="115">
        <v>0.78300000000001546</v>
      </c>
      <c r="L373" s="12">
        <f t="shared" si="32"/>
        <v>0.22167499707078278</v>
      </c>
      <c r="M373" s="4">
        <f t="shared" si="33"/>
        <v>0</v>
      </c>
      <c r="N373" s="4">
        <f t="shared" si="34"/>
        <v>4.8053173115594205E-2</v>
      </c>
      <c r="O373" s="13">
        <f t="shared" si="35"/>
        <v>0.25115134317535837</v>
      </c>
    </row>
    <row r="374" spans="2:15">
      <c r="B374" s="12">
        <v>4</v>
      </c>
      <c r="C374" s="4" t="s">
        <v>151</v>
      </c>
      <c r="D374" s="4" t="s">
        <v>154</v>
      </c>
      <c r="E374" s="4">
        <v>2</v>
      </c>
      <c r="F374" s="4">
        <v>11</v>
      </c>
      <c r="G374" s="4">
        <v>3</v>
      </c>
      <c r="H374" s="115">
        <v>0.96799999999996089</v>
      </c>
      <c r="I374" s="115">
        <v>9.9999999999909051E-2</v>
      </c>
      <c r="J374" s="115">
        <v>0.43299999999999272</v>
      </c>
      <c r="K374" s="115">
        <v>1.5009999999998627</v>
      </c>
      <c r="L374" s="12">
        <f t="shared" si="32"/>
        <v>0.29402509409531408</v>
      </c>
      <c r="M374" s="4">
        <f t="shared" si="33"/>
        <v>4.1392685158189134E-2</v>
      </c>
      <c r="N374" s="4">
        <f t="shared" si="34"/>
        <v>0.15624619039734228</v>
      </c>
      <c r="O374" s="13">
        <f t="shared" si="35"/>
        <v>0.39811369173047867</v>
      </c>
    </row>
    <row r="375" spans="2:15">
      <c r="B375" s="12">
        <v>4</v>
      </c>
      <c r="C375" s="4" t="s">
        <v>151</v>
      </c>
      <c r="D375" s="4" t="s">
        <v>154</v>
      </c>
      <c r="E375" s="4">
        <v>2</v>
      </c>
      <c r="F375" s="4">
        <v>11</v>
      </c>
      <c r="G375" s="4">
        <v>4</v>
      </c>
      <c r="H375" s="115">
        <v>2.16700000000003</v>
      </c>
      <c r="I375" s="115">
        <v>0.93300000000010641</v>
      </c>
      <c r="J375" s="115">
        <v>0.61599999999998545</v>
      </c>
      <c r="K375" s="115">
        <v>3.7160000000001219</v>
      </c>
      <c r="L375" s="12">
        <f t="shared" si="32"/>
        <v>0.50064806337191603</v>
      </c>
      <c r="M375" s="4">
        <f t="shared" si="33"/>
        <v>0.28623185402857693</v>
      </c>
      <c r="N375" s="4">
        <f t="shared" si="34"/>
        <v>0.20844135643856346</v>
      </c>
      <c r="O375" s="13">
        <f t="shared" si="35"/>
        <v>0.6735737964230627</v>
      </c>
    </row>
    <row r="376" spans="2:15">
      <c r="B376" s="12">
        <v>4</v>
      </c>
      <c r="C376" s="4" t="s">
        <v>151</v>
      </c>
      <c r="D376" s="4" t="s">
        <v>154</v>
      </c>
      <c r="E376" s="4">
        <v>2</v>
      </c>
      <c r="F376" s="4">
        <v>11</v>
      </c>
      <c r="G376" s="4">
        <v>5</v>
      </c>
      <c r="H376" s="115">
        <v>0.35000000000002274</v>
      </c>
      <c r="I376" s="115">
        <v>0.28300000000001546</v>
      </c>
      <c r="J376" s="115"/>
      <c r="K376" s="115">
        <v>0.6330000000000382</v>
      </c>
      <c r="L376" s="12">
        <f t="shared" si="32"/>
        <v>0.13033376849501344</v>
      </c>
      <c r="M376" s="4">
        <f t="shared" si="33"/>
        <v>0.10822665637493374</v>
      </c>
      <c r="N376" s="4">
        <f t="shared" si="34"/>
        <v>0</v>
      </c>
      <c r="O376" s="13">
        <f t="shared" si="35"/>
        <v>0.21298618473667832</v>
      </c>
    </row>
    <row r="377" spans="2:15">
      <c r="B377" s="12">
        <v>4</v>
      </c>
      <c r="C377" s="4" t="s">
        <v>151</v>
      </c>
      <c r="D377" s="4" t="s">
        <v>154</v>
      </c>
      <c r="E377" s="4">
        <v>2</v>
      </c>
      <c r="F377" s="4">
        <v>11</v>
      </c>
      <c r="G377" s="4">
        <v>6</v>
      </c>
      <c r="H377" s="115"/>
      <c r="I377" s="115"/>
      <c r="J377" s="115"/>
      <c r="K377" s="115">
        <v>0</v>
      </c>
      <c r="L377" s="12">
        <f t="shared" si="32"/>
        <v>0</v>
      </c>
      <c r="M377" s="4">
        <f t="shared" si="33"/>
        <v>0</v>
      </c>
      <c r="N377" s="4">
        <f t="shared" si="34"/>
        <v>0</v>
      </c>
      <c r="O377" s="13">
        <f t="shared" si="35"/>
        <v>0</v>
      </c>
    </row>
    <row r="378" spans="2:15">
      <c r="B378" s="12">
        <v>4</v>
      </c>
      <c r="C378" s="4" t="s">
        <v>151</v>
      </c>
      <c r="D378" s="4" t="s">
        <v>154</v>
      </c>
      <c r="E378" s="4">
        <v>2</v>
      </c>
      <c r="F378" s="4">
        <v>11</v>
      </c>
      <c r="G378" s="4">
        <v>7</v>
      </c>
      <c r="H378" s="115"/>
      <c r="I378" s="115"/>
      <c r="J378" s="115"/>
      <c r="K378" s="115">
        <v>0</v>
      </c>
      <c r="L378" s="12">
        <f t="shared" si="32"/>
        <v>0</v>
      </c>
      <c r="M378" s="4">
        <f t="shared" si="33"/>
        <v>0</v>
      </c>
      <c r="N378" s="4">
        <f t="shared" si="34"/>
        <v>0</v>
      </c>
      <c r="O378" s="13">
        <f t="shared" si="35"/>
        <v>0</v>
      </c>
    </row>
    <row r="379" spans="2:15">
      <c r="B379" s="12">
        <v>4</v>
      </c>
      <c r="C379" s="4" t="s">
        <v>151</v>
      </c>
      <c r="D379" s="4" t="s">
        <v>154</v>
      </c>
      <c r="E379" s="4">
        <v>2</v>
      </c>
      <c r="F379" s="4">
        <v>11</v>
      </c>
      <c r="G379" s="4">
        <v>8</v>
      </c>
      <c r="H379" s="115"/>
      <c r="I379" s="115"/>
      <c r="J379" s="115"/>
      <c r="K379" s="115">
        <v>0</v>
      </c>
      <c r="L379" s="12">
        <f t="shared" si="32"/>
        <v>0</v>
      </c>
      <c r="M379" s="4">
        <f t="shared" si="33"/>
        <v>0</v>
      </c>
      <c r="N379" s="4">
        <f t="shared" si="34"/>
        <v>0</v>
      </c>
      <c r="O379" s="13">
        <f t="shared" si="35"/>
        <v>0</v>
      </c>
    </row>
    <row r="380" spans="2:15">
      <c r="B380" s="12">
        <v>4</v>
      </c>
      <c r="C380" s="4" t="s">
        <v>151</v>
      </c>
      <c r="D380" s="4" t="s">
        <v>154</v>
      </c>
      <c r="E380" s="4">
        <v>2</v>
      </c>
      <c r="F380" s="4">
        <v>11</v>
      </c>
      <c r="G380" s="4">
        <v>9</v>
      </c>
      <c r="H380" s="115"/>
      <c r="I380" s="115"/>
      <c r="J380" s="115"/>
      <c r="K380" s="115">
        <v>0</v>
      </c>
      <c r="L380" s="12">
        <f t="shared" si="32"/>
        <v>0</v>
      </c>
      <c r="M380" s="4">
        <f t="shared" si="33"/>
        <v>0</v>
      </c>
      <c r="N380" s="4">
        <f t="shared" si="34"/>
        <v>0</v>
      </c>
      <c r="O380" s="13">
        <f t="shared" si="35"/>
        <v>0</v>
      </c>
    </row>
    <row r="381" spans="2:15" ht="13.8" thickBot="1">
      <c r="B381" s="14">
        <v>4</v>
      </c>
      <c r="C381" s="15" t="s">
        <v>151</v>
      </c>
      <c r="D381" s="15" t="s">
        <v>154</v>
      </c>
      <c r="E381" s="15">
        <v>2</v>
      </c>
      <c r="F381" s="15">
        <v>11</v>
      </c>
      <c r="G381" s="15">
        <v>10</v>
      </c>
      <c r="H381" s="121"/>
      <c r="I381" s="121"/>
      <c r="J381" s="121"/>
      <c r="K381" s="121">
        <v>0</v>
      </c>
      <c r="L381" s="14">
        <f t="shared" si="32"/>
        <v>0</v>
      </c>
      <c r="M381" s="15">
        <f t="shared" si="33"/>
        <v>0</v>
      </c>
      <c r="N381" s="15">
        <f t="shared" si="34"/>
        <v>0</v>
      </c>
      <c r="O381" s="16">
        <f t="shared" si="35"/>
        <v>0</v>
      </c>
    </row>
    <row r="382" spans="2:15">
      <c r="B382" s="9">
        <v>4</v>
      </c>
      <c r="C382" s="10" t="s">
        <v>151</v>
      </c>
      <c r="D382" s="10" t="s">
        <v>149</v>
      </c>
      <c r="E382" s="93">
        <v>3</v>
      </c>
      <c r="F382" s="93">
        <v>3</v>
      </c>
      <c r="G382" s="10">
        <v>1</v>
      </c>
      <c r="H382" s="120">
        <v>1.134000000000043</v>
      </c>
      <c r="I382" s="120">
        <v>0.83299999999999841</v>
      </c>
      <c r="J382" s="120">
        <v>1.2810000000000059</v>
      </c>
      <c r="K382" s="120">
        <v>3.2480000000000473</v>
      </c>
      <c r="L382" s="9">
        <f t="shared" si="32"/>
        <v>0.32919441508845981</v>
      </c>
      <c r="M382" s="10">
        <f t="shared" si="33"/>
        <v>0.26316246496221629</v>
      </c>
      <c r="N382" s="10">
        <f t="shared" si="34"/>
        <v>0.35812528527664972</v>
      </c>
      <c r="O382" s="11">
        <f t="shared" si="35"/>
        <v>0.62818450807341752</v>
      </c>
    </row>
    <row r="383" spans="2:15">
      <c r="B383" s="12">
        <v>4</v>
      </c>
      <c r="C383" s="4" t="s">
        <v>151</v>
      </c>
      <c r="D383" s="4" t="s">
        <v>149</v>
      </c>
      <c r="E383" s="4">
        <v>3</v>
      </c>
      <c r="F383" s="4">
        <v>3</v>
      </c>
      <c r="G383" s="4">
        <v>2</v>
      </c>
      <c r="H383" s="115">
        <v>0.63299999999998136</v>
      </c>
      <c r="I383" s="115">
        <v>1.3010000000000161</v>
      </c>
      <c r="J383" s="115">
        <v>3.2340000000000373</v>
      </c>
      <c r="K383" s="115">
        <v>5.1680000000000348</v>
      </c>
      <c r="L383" s="12">
        <f t="shared" si="32"/>
        <v>0.2129861847366632</v>
      </c>
      <c r="M383" s="4">
        <f t="shared" si="33"/>
        <v>0.36191661866864644</v>
      </c>
      <c r="N383" s="4">
        <f t="shared" si="34"/>
        <v>0.626750853683397</v>
      </c>
      <c r="O383" s="13">
        <f t="shared" si="35"/>
        <v>0.79014436504290297</v>
      </c>
    </row>
    <row r="384" spans="2:15">
      <c r="B384" s="12">
        <v>4</v>
      </c>
      <c r="C384" s="4" t="s">
        <v>151</v>
      </c>
      <c r="D384" s="4" t="s">
        <v>149</v>
      </c>
      <c r="E384" s="4">
        <v>3</v>
      </c>
      <c r="F384" s="4">
        <v>3</v>
      </c>
      <c r="G384" s="4">
        <v>3</v>
      </c>
      <c r="H384" s="115">
        <v>0.44999999999998863</v>
      </c>
      <c r="I384" s="115">
        <v>0.43300000000002115</v>
      </c>
      <c r="J384" s="115">
        <v>2.4320000000001016</v>
      </c>
      <c r="K384" s="115">
        <v>3.3150000000001114</v>
      </c>
      <c r="L384" s="12">
        <f t="shared" si="32"/>
        <v>0.1613680022349715</v>
      </c>
      <c r="M384" s="4">
        <f t="shared" si="33"/>
        <v>0.15624619039735088</v>
      </c>
      <c r="N384" s="4">
        <f t="shared" si="34"/>
        <v>0.53554727917668066</v>
      </c>
      <c r="O384" s="13">
        <f t="shared" si="35"/>
        <v>0.63498080005123958</v>
      </c>
    </row>
    <row r="385" spans="2:15">
      <c r="B385" s="12">
        <v>4</v>
      </c>
      <c r="C385" s="4" t="s">
        <v>151</v>
      </c>
      <c r="D385" s="4" t="s">
        <v>149</v>
      </c>
      <c r="E385" s="4">
        <v>3</v>
      </c>
      <c r="F385" s="4">
        <v>3</v>
      </c>
      <c r="G385" s="4">
        <v>4</v>
      </c>
      <c r="H385" s="115">
        <v>0.38299999999998136</v>
      </c>
      <c r="I385" s="115">
        <v>0.16599999999999682</v>
      </c>
      <c r="J385" s="115"/>
      <c r="K385" s="115">
        <v>0.54899999999997817</v>
      </c>
      <c r="L385" s="12">
        <f t="shared" si="32"/>
        <v>0.14082218010930472</v>
      </c>
      <c r="M385" s="4">
        <f t="shared" si="33"/>
        <v>6.6698550422994093E-2</v>
      </c>
      <c r="N385" s="4">
        <f t="shared" si="34"/>
        <v>0</v>
      </c>
      <c r="O385" s="13">
        <f t="shared" si="35"/>
        <v>0.19005141775919987</v>
      </c>
    </row>
    <row r="386" spans="2:15">
      <c r="B386" s="12">
        <v>4</v>
      </c>
      <c r="C386" s="4" t="s">
        <v>151</v>
      </c>
      <c r="D386" s="4" t="s">
        <v>149</v>
      </c>
      <c r="E386" s="4">
        <v>3</v>
      </c>
      <c r="F386" s="4">
        <v>3</v>
      </c>
      <c r="G386" s="4">
        <v>5</v>
      </c>
      <c r="H386" s="115"/>
      <c r="I386" s="115"/>
      <c r="J386" s="115"/>
      <c r="K386" s="115">
        <v>0</v>
      </c>
      <c r="L386" s="12">
        <f t="shared" si="32"/>
        <v>0</v>
      </c>
      <c r="M386" s="4">
        <f t="shared" si="33"/>
        <v>0</v>
      </c>
      <c r="N386" s="4">
        <f t="shared" si="34"/>
        <v>0</v>
      </c>
      <c r="O386" s="13">
        <f t="shared" si="35"/>
        <v>0</v>
      </c>
    </row>
    <row r="387" spans="2:15">
      <c r="B387" s="12">
        <v>4</v>
      </c>
      <c r="C387" s="4" t="s">
        <v>151</v>
      </c>
      <c r="D387" s="4" t="s">
        <v>149</v>
      </c>
      <c r="E387" s="4">
        <v>3</v>
      </c>
      <c r="F387" s="4">
        <v>3</v>
      </c>
      <c r="G387" s="4">
        <v>6</v>
      </c>
      <c r="H387" s="115"/>
      <c r="I387" s="115"/>
      <c r="J387" s="115"/>
      <c r="K387" s="115">
        <v>0</v>
      </c>
      <c r="L387" s="12">
        <f t="shared" si="32"/>
        <v>0</v>
      </c>
      <c r="M387" s="4">
        <f t="shared" si="33"/>
        <v>0</v>
      </c>
      <c r="N387" s="4">
        <f t="shared" si="34"/>
        <v>0</v>
      </c>
      <c r="O387" s="13">
        <f t="shared" si="35"/>
        <v>0</v>
      </c>
    </row>
    <row r="388" spans="2:15">
      <c r="B388" s="12">
        <v>4</v>
      </c>
      <c r="C388" s="4" t="s">
        <v>151</v>
      </c>
      <c r="D388" s="4" t="s">
        <v>149</v>
      </c>
      <c r="E388" s="4">
        <v>3</v>
      </c>
      <c r="F388" s="4">
        <v>3</v>
      </c>
      <c r="G388" s="4">
        <v>7</v>
      </c>
      <c r="H388" s="115"/>
      <c r="I388" s="115"/>
      <c r="J388" s="115"/>
      <c r="K388" s="115">
        <v>0</v>
      </c>
      <c r="L388" s="12">
        <f t="shared" si="32"/>
        <v>0</v>
      </c>
      <c r="M388" s="4">
        <f t="shared" si="33"/>
        <v>0</v>
      </c>
      <c r="N388" s="4">
        <f t="shared" si="34"/>
        <v>0</v>
      </c>
      <c r="O388" s="13">
        <f t="shared" si="35"/>
        <v>0</v>
      </c>
    </row>
    <row r="389" spans="2:15">
      <c r="B389" s="12">
        <v>4</v>
      </c>
      <c r="C389" s="4" t="s">
        <v>151</v>
      </c>
      <c r="D389" s="4" t="s">
        <v>149</v>
      </c>
      <c r="E389" s="4">
        <v>3</v>
      </c>
      <c r="F389" s="4">
        <v>3</v>
      </c>
      <c r="G389" s="4">
        <v>8</v>
      </c>
      <c r="H389" s="115"/>
      <c r="I389" s="115"/>
      <c r="J389" s="115"/>
      <c r="K389" s="115">
        <v>0</v>
      </c>
      <c r="L389" s="12">
        <f t="shared" si="32"/>
        <v>0</v>
      </c>
      <c r="M389" s="4">
        <f t="shared" si="33"/>
        <v>0</v>
      </c>
      <c r="N389" s="4">
        <f t="shared" si="34"/>
        <v>0</v>
      </c>
      <c r="O389" s="13">
        <f t="shared" si="35"/>
        <v>0</v>
      </c>
    </row>
    <row r="390" spans="2:15">
      <c r="B390" s="12">
        <v>4</v>
      </c>
      <c r="C390" s="4" t="s">
        <v>151</v>
      </c>
      <c r="D390" s="4" t="s">
        <v>149</v>
      </c>
      <c r="E390" s="4">
        <v>3</v>
      </c>
      <c r="F390" s="4">
        <v>3</v>
      </c>
      <c r="G390" s="4">
        <v>9</v>
      </c>
      <c r="H390" s="115"/>
      <c r="I390" s="115"/>
      <c r="J390" s="115"/>
      <c r="K390" s="115">
        <v>0</v>
      </c>
      <c r="L390" s="12">
        <f t="shared" si="32"/>
        <v>0</v>
      </c>
      <c r="M390" s="4">
        <f t="shared" si="33"/>
        <v>0</v>
      </c>
      <c r="N390" s="4">
        <f t="shared" si="34"/>
        <v>0</v>
      </c>
      <c r="O390" s="13">
        <f t="shared" si="35"/>
        <v>0</v>
      </c>
    </row>
    <row r="391" spans="2:15" ht="13.8" thickBot="1">
      <c r="B391" s="14">
        <v>4</v>
      </c>
      <c r="C391" s="15" t="s">
        <v>151</v>
      </c>
      <c r="D391" s="15" t="s">
        <v>149</v>
      </c>
      <c r="E391" s="15">
        <v>3</v>
      </c>
      <c r="F391" s="15">
        <v>3</v>
      </c>
      <c r="G391" s="15">
        <v>10</v>
      </c>
      <c r="H391" s="121"/>
      <c r="I391" s="121"/>
      <c r="J391" s="121"/>
      <c r="K391" s="121">
        <v>0</v>
      </c>
      <c r="L391" s="14">
        <f t="shared" si="32"/>
        <v>0</v>
      </c>
      <c r="M391" s="15">
        <f t="shared" si="33"/>
        <v>0</v>
      </c>
      <c r="N391" s="15">
        <f t="shared" si="34"/>
        <v>0</v>
      </c>
      <c r="O391" s="16">
        <f t="shared" si="35"/>
        <v>0</v>
      </c>
    </row>
    <row r="392" spans="2:15">
      <c r="B392" s="9">
        <v>4</v>
      </c>
      <c r="C392" s="10" t="s">
        <v>151</v>
      </c>
      <c r="D392" s="10" t="s">
        <v>150</v>
      </c>
      <c r="E392" s="93">
        <v>4</v>
      </c>
      <c r="F392" s="93">
        <v>7</v>
      </c>
      <c r="G392" s="10">
        <v>1</v>
      </c>
      <c r="H392" s="120">
        <v>3.3819999999999482</v>
      </c>
      <c r="I392" s="120">
        <v>1.0999999999999091</v>
      </c>
      <c r="J392" s="120">
        <v>8.5330000000002428</v>
      </c>
      <c r="K392" s="120">
        <v>13.0150000000001</v>
      </c>
      <c r="L392" s="9">
        <f t="shared" si="32"/>
        <v>0.6416723732246814</v>
      </c>
      <c r="M392" s="10">
        <f t="shared" si="33"/>
        <v>0.32221929473390049</v>
      </c>
      <c r="N392" s="10">
        <f t="shared" si="34"/>
        <v>0.97922959302216639</v>
      </c>
      <c r="O392" s="11">
        <f t="shared" si="35"/>
        <v>1.146593102096308</v>
      </c>
    </row>
    <row r="393" spans="2:15">
      <c r="B393" s="12">
        <v>4</v>
      </c>
      <c r="C393" s="4" t="s">
        <v>151</v>
      </c>
      <c r="D393" s="4" t="s">
        <v>150</v>
      </c>
      <c r="E393" s="4">
        <v>4</v>
      </c>
      <c r="F393" s="4">
        <v>7</v>
      </c>
      <c r="G393" s="4">
        <v>2</v>
      </c>
      <c r="H393" s="115">
        <v>0.35000000000002274</v>
      </c>
      <c r="I393" s="115"/>
      <c r="J393" s="115">
        <v>1.1340000000000146</v>
      </c>
      <c r="K393" s="115">
        <v>1.4840000000000373</v>
      </c>
      <c r="L393" s="12">
        <f t="shared" si="32"/>
        <v>0.13033376849501344</v>
      </c>
      <c r="M393" s="4">
        <f t="shared" si="33"/>
        <v>0</v>
      </c>
      <c r="N393" s="4">
        <f t="shared" si="34"/>
        <v>0.32919441508845404</v>
      </c>
      <c r="O393" s="13">
        <f t="shared" si="35"/>
        <v>0.39515159150454909</v>
      </c>
    </row>
    <row r="394" spans="2:15">
      <c r="B394" s="12">
        <v>4</v>
      </c>
      <c r="C394" s="4" t="s">
        <v>151</v>
      </c>
      <c r="D394" s="4" t="s">
        <v>150</v>
      </c>
      <c r="E394" s="4">
        <v>4</v>
      </c>
      <c r="F394" s="4">
        <v>7</v>
      </c>
      <c r="G394" s="4">
        <v>3</v>
      </c>
      <c r="H394" s="115">
        <v>2.0660000000000309</v>
      </c>
      <c r="I394" s="115">
        <v>0.25099999999997635</v>
      </c>
      <c r="J394" s="115">
        <v>2.68100000000004</v>
      </c>
      <c r="K394" s="115">
        <v>4.9980000000000473</v>
      </c>
      <c r="L394" s="12">
        <f t="shared" si="32"/>
        <v>0.48657215051836072</v>
      </c>
      <c r="M394" s="4">
        <f t="shared" si="33"/>
        <v>9.7257309693411745E-2</v>
      </c>
      <c r="N394" s="4">
        <f t="shared" si="34"/>
        <v>0.5659658174466714</v>
      </c>
      <c r="O394" s="13">
        <f t="shared" si="35"/>
        <v>0.77800646142351171</v>
      </c>
    </row>
    <row r="395" spans="2:15">
      <c r="B395" s="12">
        <v>4</v>
      </c>
      <c r="C395" s="4" t="s">
        <v>151</v>
      </c>
      <c r="D395" s="4" t="s">
        <v>150</v>
      </c>
      <c r="E395" s="4">
        <v>4</v>
      </c>
      <c r="F395" s="4">
        <v>7</v>
      </c>
      <c r="G395" s="4">
        <v>4</v>
      </c>
      <c r="H395" s="115">
        <v>0.2339999999999236</v>
      </c>
      <c r="I395" s="115"/>
      <c r="J395" s="115">
        <v>0.20000000000004547</v>
      </c>
      <c r="K395" s="115">
        <v>0.43399999999996908</v>
      </c>
      <c r="L395" s="12">
        <f t="shared" si="32"/>
        <v>9.1315159697195988E-2</v>
      </c>
      <c r="M395" s="4">
        <f t="shared" si="33"/>
        <v>0</v>
      </c>
      <c r="N395" s="4">
        <f t="shared" si="34"/>
        <v>7.918124604764129E-2</v>
      </c>
      <c r="O395" s="13">
        <f t="shared" si="35"/>
        <v>0.15654915133177194</v>
      </c>
    </row>
    <row r="396" spans="2:15">
      <c r="B396" s="12">
        <v>4</v>
      </c>
      <c r="C396" s="4" t="s">
        <v>151</v>
      </c>
      <c r="D396" s="4" t="s">
        <v>150</v>
      </c>
      <c r="E396" s="4">
        <v>4</v>
      </c>
      <c r="F396" s="4">
        <v>7</v>
      </c>
      <c r="G396" s="4">
        <v>5</v>
      </c>
      <c r="H396" s="115"/>
      <c r="I396" s="115"/>
      <c r="J396" s="115"/>
      <c r="K396" s="115">
        <v>0</v>
      </c>
      <c r="L396" s="12">
        <f t="shared" si="32"/>
        <v>0</v>
      </c>
      <c r="M396" s="4">
        <f t="shared" si="33"/>
        <v>0</v>
      </c>
      <c r="N396" s="4">
        <f t="shared" si="34"/>
        <v>0</v>
      </c>
      <c r="O396" s="13">
        <f t="shared" si="35"/>
        <v>0</v>
      </c>
    </row>
    <row r="397" spans="2:15">
      <c r="B397" s="12">
        <v>4</v>
      </c>
      <c r="C397" s="4" t="s">
        <v>151</v>
      </c>
      <c r="D397" s="4" t="s">
        <v>150</v>
      </c>
      <c r="E397" s="4">
        <v>4</v>
      </c>
      <c r="F397" s="4">
        <v>7</v>
      </c>
      <c r="G397" s="4">
        <v>6</v>
      </c>
      <c r="H397" s="115"/>
      <c r="I397" s="115"/>
      <c r="J397" s="115"/>
      <c r="K397" s="115">
        <v>0</v>
      </c>
      <c r="L397" s="12">
        <f t="shared" si="32"/>
        <v>0</v>
      </c>
      <c r="M397" s="4">
        <f t="shared" si="33"/>
        <v>0</v>
      </c>
      <c r="N397" s="4">
        <f t="shared" si="34"/>
        <v>0</v>
      </c>
      <c r="O397" s="13">
        <f t="shared" si="35"/>
        <v>0</v>
      </c>
    </row>
    <row r="398" spans="2:15">
      <c r="B398" s="12">
        <v>4</v>
      </c>
      <c r="C398" s="4" t="s">
        <v>151</v>
      </c>
      <c r="D398" s="4" t="s">
        <v>150</v>
      </c>
      <c r="E398" s="4">
        <v>4</v>
      </c>
      <c r="F398" s="4">
        <v>7</v>
      </c>
      <c r="G398" s="4">
        <v>7</v>
      </c>
      <c r="H398" s="115"/>
      <c r="I398" s="115"/>
      <c r="J398" s="115"/>
      <c r="K398" s="115">
        <v>0</v>
      </c>
      <c r="L398" s="12">
        <f t="shared" si="32"/>
        <v>0</v>
      </c>
      <c r="M398" s="4">
        <f t="shared" si="33"/>
        <v>0</v>
      </c>
      <c r="N398" s="4">
        <f t="shared" si="34"/>
        <v>0</v>
      </c>
      <c r="O398" s="13">
        <f t="shared" si="35"/>
        <v>0</v>
      </c>
    </row>
    <row r="399" spans="2:15">
      <c r="B399" s="12">
        <v>4</v>
      </c>
      <c r="C399" s="4" t="s">
        <v>151</v>
      </c>
      <c r="D399" s="4" t="s">
        <v>150</v>
      </c>
      <c r="E399" s="4">
        <v>4</v>
      </c>
      <c r="F399" s="4">
        <v>7</v>
      </c>
      <c r="G399" s="4">
        <v>8</v>
      </c>
      <c r="H399" s="115"/>
      <c r="I399" s="115"/>
      <c r="J399" s="115"/>
      <c r="K399" s="115">
        <v>0</v>
      </c>
      <c r="L399" s="12">
        <f t="shared" si="32"/>
        <v>0</v>
      </c>
      <c r="M399" s="4">
        <f t="shared" si="33"/>
        <v>0</v>
      </c>
      <c r="N399" s="4">
        <f t="shared" si="34"/>
        <v>0</v>
      </c>
      <c r="O399" s="13">
        <f t="shared" si="35"/>
        <v>0</v>
      </c>
    </row>
    <row r="400" spans="2:15">
      <c r="B400" s="12">
        <v>4</v>
      </c>
      <c r="C400" s="4" t="s">
        <v>151</v>
      </c>
      <c r="D400" s="4" t="s">
        <v>150</v>
      </c>
      <c r="E400" s="4">
        <v>4</v>
      </c>
      <c r="F400" s="4">
        <v>7</v>
      </c>
      <c r="G400" s="4">
        <v>9</v>
      </c>
      <c r="H400" s="115"/>
      <c r="I400" s="115"/>
      <c r="J400" s="115"/>
      <c r="K400" s="115">
        <v>0</v>
      </c>
      <c r="L400" s="12">
        <f t="shared" si="32"/>
        <v>0</v>
      </c>
      <c r="M400" s="4">
        <f t="shared" si="33"/>
        <v>0</v>
      </c>
      <c r="N400" s="4">
        <f t="shared" si="34"/>
        <v>0</v>
      </c>
      <c r="O400" s="13">
        <f t="shared" si="35"/>
        <v>0</v>
      </c>
    </row>
    <row r="401" spans="2:15" ht="13.8" thickBot="1">
      <c r="B401" s="14">
        <v>4</v>
      </c>
      <c r="C401" s="15" t="s">
        <v>151</v>
      </c>
      <c r="D401" s="15" t="s">
        <v>150</v>
      </c>
      <c r="E401" s="15">
        <v>4</v>
      </c>
      <c r="F401" s="15">
        <v>7</v>
      </c>
      <c r="G401" s="15">
        <v>10</v>
      </c>
      <c r="H401" s="121"/>
      <c r="I401" s="121"/>
      <c r="J401" s="121"/>
      <c r="K401" s="121">
        <v>0</v>
      </c>
      <c r="L401" s="14">
        <f t="shared" si="32"/>
        <v>0</v>
      </c>
      <c r="M401" s="15">
        <f t="shared" si="33"/>
        <v>0</v>
      </c>
      <c r="N401" s="15">
        <f t="shared" si="34"/>
        <v>0</v>
      </c>
      <c r="O401" s="16">
        <f t="shared" si="35"/>
        <v>0</v>
      </c>
    </row>
    <row r="402" spans="2:15">
      <c r="B402" s="9">
        <v>4</v>
      </c>
      <c r="C402" s="10" t="s">
        <v>151</v>
      </c>
      <c r="D402" s="10" t="s">
        <v>149</v>
      </c>
      <c r="E402" s="93">
        <v>5</v>
      </c>
      <c r="F402" s="93">
        <v>1</v>
      </c>
      <c r="G402" s="10">
        <v>1</v>
      </c>
      <c r="H402" s="120">
        <v>2.998999999999981</v>
      </c>
      <c r="I402" s="120">
        <v>2.0649999999999977</v>
      </c>
      <c r="J402" s="120">
        <v>3.5690000000000026</v>
      </c>
      <c r="K402" s="120">
        <v>8.6329999999999814</v>
      </c>
      <c r="L402" s="9">
        <f t="shared" si="32"/>
        <v>0.60195140413351955</v>
      </c>
      <c r="M402" s="10">
        <f t="shared" si="33"/>
        <v>0.48643047885443352</v>
      </c>
      <c r="N402" s="10">
        <f t="shared" si="34"/>
        <v>0.65982115805570529</v>
      </c>
      <c r="O402" s="11">
        <f t="shared" si="35"/>
        <v>0.98376156028616413</v>
      </c>
    </row>
    <row r="403" spans="2:15">
      <c r="B403" s="12">
        <v>4</v>
      </c>
      <c r="C403" s="4" t="s">
        <v>151</v>
      </c>
      <c r="D403" s="4" t="s">
        <v>149</v>
      </c>
      <c r="E403" s="4">
        <v>5</v>
      </c>
      <c r="F403" s="4">
        <v>1</v>
      </c>
      <c r="G403" s="4">
        <v>2</v>
      </c>
      <c r="H403" s="115">
        <v>0.91500000000000625</v>
      </c>
      <c r="I403" s="115">
        <v>2.9500000000000028</v>
      </c>
      <c r="J403" s="115">
        <v>6.3479999999999706</v>
      </c>
      <c r="K403" s="115">
        <v>10.21299999999998</v>
      </c>
      <c r="L403" s="12">
        <f t="shared" si="32"/>
        <v>0.28216877830464299</v>
      </c>
      <c r="M403" s="4">
        <f t="shared" si="33"/>
        <v>0.59659709562646057</v>
      </c>
      <c r="N403" s="4">
        <f t="shared" si="34"/>
        <v>0.86616914763376895</v>
      </c>
      <c r="O403" s="13">
        <f t="shared" si="35"/>
        <v>1.0497218221524343</v>
      </c>
    </row>
    <row r="404" spans="2:15">
      <c r="B404" s="12">
        <v>4</v>
      </c>
      <c r="C404" s="4" t="s">
        <v>151</v>
      </c>
      <c r="D404" s="4" t="s">
        <v>149</v>
      </c>
      <c r="E404" s="4">
        <v>5</v>
      </c>
      <c r="F404" s="4">
        <v>1</v>
      </c>
      <c r="G404" s="4">
        <v>3</v>
      </c>
      <c r="H404" s="115"/>
      <c r="I404" s="115"/>
      <c r="J404" s="115">
        <v>0.11599999999999966</v>
      </c>
      <c r="K404" s="115">
        <v>0.11599999999999966</v>
      </c>
      <c r="L404" s="12">
        <f t="shared" si="32"/>
        <v>0</v>
      </c>
      <c r="M404" s="4">
        <f t="shared" si="33"/>
        <v>0</v>
      </c>
      <c r="N404" s="4">
        <f t="shared" si="34"/>
        <v>4.7664194601559809E-2</v>
      </c>
      <c r="O404" s="13">
        <f t="shared" si="35"/>
        <v>4.7664194601559809E-2</v>
      </c>
    </row>
    <row r="405" spans="2:15">
      <c r="B405" s="12">
        <v>4</v>
      </c>
      <c r="C405" s="4" t="s">
        <v>151</v>
      </c>
      <c r="D405" s="4" t="s">
        <v>149</v>
      </c>
      <c r="E405" s="4">
        <v>5</v>
      </c>
      <c r="F405" s="4">
        <v>1</v>
      </c>
      <c r="G405" s="4">
        <v>4</v>
      </c>
      <c r="H405" s="115"/>
      <c r="I405" s="115"/>
      <c r="J405" s="115"/>
      <c r="K405" s="115">
        <v>0</v>
      </c>
      <c r="L405" s="12">
        <f t="shared" si="32"/>
        <v>0</v>
      </c>
      <c r="M405" s="4">
        <f t="shared" si="33"/>
        <v>0</v>
      </c>
      <c r="N405" s="4">
        <f t="shared" si="34"/>
        <v>0</v>
      </c>
      <c r="O405" s="13">
        <f t="shared" si="35"/>
        <v>0</v>
      </c>
    </row>
    <row r="406" spans="2:15">
      <c r="B406" s="12">
        <v>4</v>
      </c>
      <c r="C406" s="4" t="s">
        <v>151</v>
      </c>
      <c r="D406" s="4" t="s">
        <v>149</v>
      </c>
      <c r="E406" s="4">
        <v>5</v>
      </c>
      <c r="F406" s="4">
        <v>1</v>
      </c>
      <c r="G406" s="4">
        <v>5</v>
      </c>
      <c r="H406" s="115"/>
      <c r="I406" s="115"/>
      <c r="J406" s="115"/>
      <c r="K406" s="115">
        <v>0</v>
      </c>
      <c r="L406" s="12">
        <f t="shared" si="32"/>
        <v>0</v>
      </c>
      <c r="M406" s="4">
        <f t="shared" si="33"/>
        <v>0</v>
      </c>
      <c r="N406" s="4">
        <f t="shared" si="34"/>
        <v>0</v>
      </c>
      <c r="O406" s="13">
        <f t="shared" si="35"/>
        <v>0</v>
      </c>
    </row>
    <row r="407" spans="2:15">
      <c r="B407" s="12">
        <v>4</v>
      </c>
      <c r="C407" s="4" t="s">
        <v>151</v>
      </c>
      <c r="D407" s="4" t="s">
        <v>149</v>
      </c>
      <c r="E407" s="4">
        <v>5</v>
      </c>
      <c r="F407" s="4">
        <v>1</v>
      </c>
      <c r="G407" s="4">
        <v>6</v>
      </c>
      <c r="H407" s="115"/>
      <c r="I407" s="115"/>
      <c r="J407" s="115"/>
      <c r="K407" s="115">
        <v>0</v>
      </c>
      <c r="L407" s="12">
        <f t="shared" si="32"/>
        <v>0</v>
      </c>
      <c r="M407" s="4">
        <f t="shared" si="33"/>
        <v>0</v>
      </c>
      <c r="N407" s="4">
        <f t="shared" si="34"/>
        <v>0</v>
      </c>
      <c r="O407" s="13">
        <f t="shared" si="35"/>
        <v>0</v>
      </c>
    </row>
    <row r="408" spans="2:15">
      <c r="B408" s="12">
        <v>4</v>
      </c>
      <c r="C408" s="4" t="s">
        <v>151</v>
      </c>
      <c r="D408" s="4" t="s">
        <v>149</v>
      </c>
      <c r="E408" s="4">
        <v>5</v>
      </c>
      <c r="F408" s="4">
        <v>1</v>
      </c>
      <c r="G408" s="4">
        <v>7</v>
      </c>
      <c r="H408" s="115"/>
      <c r="I408" s="115"/>
      <c r="J408" s="115"/>
      <c r="K408" s="115">
        <v>0</v>
      </c>
      <c r="L408" s="12">
        <f t="shared" si="32"/>
        <v>0</v>
      </c>
      <c r="M408" s="4">
        <f t="shared" si="33"/>
        <v>0</v>
      </c>
      <c r="N408" s="4">
        <f t="shared" si="34"/>
        <v>0</v>
      </c>
      <c r="O408" s="13">
        <f t="shared" si="35"/>
        <v>0</v>
      </c>
    </row>
    <row r="409" spans="2:15">
      <c r="B409" s="12">
        <v>4</v>
      </c>
      <c r="C409" s="4" t="s">
        <v>151</v>
      </c>
      <c r="D409" s="4" t="s">
        <v>149</v>
      </c>
      <c r="E409" s="4">
        <v>5</v>
      </c>
      <c r="F409" s="4">
        <v>1</v>
      </c>
      <c r="G409" s="4">
        <v>8</v>
      </c>
      <c r="H409" s="115"/>
      <c r="I409" s="115"/>
      <c r="J409" s="115"/>
      <c r="K409" s="115">
        <v>0</v>
      </c>
      <c r="L409" s="12">
        <f t="shared" si="32"/>
        <v>0</v>
      </c>
      <c r="M409" s="4">
        <f t="shared" si="33"/>
        <v>0</v>
      </c>
      <c r="N409" s="4">
        <f t="shared" si="34"/>
        <v>0</v>
      </c>
      <c r="O409" s="13">
        <f t="shared" si="35"/>
        <v>0</v>
      </c>
    </row>
    <row r="410" spans="2:15">
      <c r="B410" s="12">
        <v>4</v>
      </c>
      <c r="C410" s="4" t="s">
        <v>151</v>
      </c>
      <c r="D410" s="4" t="s">
        <v>149</v>
      </c>
      <c r="E410" s="4">
        <v>5</v>
      </c>
      <c r="F410" s="4">
        <v>1</v>
      </c>
      <c r="G410" s="4">
        <v>9</v>
      </c>
      <c r="H410" s="115"/>
      <c r="I410" s="115"/>
      <c r="J410" s="115"/>
      <c r="K410" s="115">
        <v>0</v>
      </c>
      <c r="L410" s="12">
        <f t="shared" si="32"/>
        <v>0</v>
      </c>
      <c r="M410" s="4">
        <f t="shared" si="33"/>
        <v>0</v>
      </c>
      <c r="N410" s="4">
        <f t="shared" si="34"/>
        <v>0</v>
      </c>
      <c r="O410" s="13">
        <f t="shared" si="35"/>
        <v>0</v>
      </c>
    </row>
    <row r="411" spans="2:15" ht="13.8" thickBot="1">
      <c r="B411" s="14">
        <v>4</v>
      </c>
      <c r="C411" s="15" t="s">
        <v>151</v>
      </c>
      <c r="D411" s="15" t="s">
        <v>149</v>
      </c>
      <c r="E411" s="15">
        <v>5</v>
      </c>
      <c r="F411" s="15">
        <v>1</v>
      </c>
      <c r="G411" s="15">
        <v>10</v>
      </c>
      <c r="H411" s="121"/>
      <c r="I411" s="121"/>
      <c r="J411" s="121"/>
      <c r="K411" s="121">
        <v>0</v>
      </c>
      <c r="L411" s="14">
        <f t="shared" si="32"/>
        <v>0</v>
      </c>
      <c r="M411" s="15">
        <f t="shared" si="33"/>
        <v>0</v>
      </c>
      <c r="N411" s="15">
        <f t="shared" si="34"/>
        <v>0</v>
      </c>
      <c r="O411" s="16">
        <f t="shared" si="35"/>
        <v>0</v>
      </c>
    </row>
    <row r="412" spans="2:15">
      <c r="B412" s="9">
        <v>4</v>
      </c>
      <c r="C412" s="10" t="s">
        <v>151</v>
      </c>
      <c r="D412" s="10" t="s">
        <v>150</v>
      </c>
      <c r="E412" s="93">
        <v>6</v>
      </c>
      <c r="F412" s="93">
        <v>5</v>
      </c>
      <c r="G412" s="10">
        <v>1</v>
      </c>
      <c r="H412" s="120">
        <v>2.367999999999995</v>
      </c>
      <c r="I412" s="120">
        <v>0.38299999999998136</v>
      </c>
      <c r="J412" s="120">
        <v>2.0160000000000196</v>
      </c>
      <c r="K412" s="120">
        <v>4.7669999999999959</v>
      </c>
      <c r="L412" s="9">
        <f t="shared" si="32"/>
        <v>0.52737208282761128</v>
      </c>
      <c r="M412" s="10">
        <f t="shared" si="33"/>
        <v>0.14082218010930472</v>
      </c>
      <c r="N412" s="10">
        <f t="shared" si="34"/>
        <v>0.47943133719773928</v>
      </c>
      <c r="O412" s="11">
        <f t="shared" si="35"/>
        <v>0.76094995141089705</v>
      </c>
    </row>
    <row r="413" spans="2:15">
      <c r="B413" s="12">
        <v>4</v>
      </c>
      <c r="C413" s="4" t="s">
        <v>151</v>
      </c>
      <c r="D413" s="4" t="s">
        <v>150</v>
      </c>
      <c r="E413" s="4">
        <v>6</v>
      </c>
      <c r="F413" s="4">
        <v>5</v>
      </c>
      <c r="G413" s="4">
        <v>2</v>
      </c>
      <c r="H413" s="115">
        <v>0.43399999999996908</v>
      </c>
      <c r="I413" s="115"/>
      <c r="J413" s="115"/>
      <c r="K413" s="115">
        <v>0.43399999999996908</v>
      </c>
      <c r="L413" s="12">
        <f t="shared" si="32"/>
        <v>0.15654915133177194</v>
      </c>
      <c r="M413" s="4">
        <f t="shared" si="33"/>
        <v>0</v>
      </c>
      <c r="N413" s="4">
        <f t="shared" si="34"/>
        <v>0</v>
      </c>
      <c r="O413" s="13">
        <f t="shared" si="35"/>
        <v>0.15654915133177194</v>
      </c>
    </row>
    <row r="414" spans="2:15">
      <c r="B414" s="12">
        <v>4</v>
      </c>
      <c r="C414" s="4" t="s">
        <v>151</v>
      </c>
      <c r="D414" s="4" t="s">
        <v>150</v>
      </c>
      <c r="E414" s="4">
        <v>6</v>
      </c>
      <c r="F414" s="4">
        <v>5</v>
      </c>
      <c r="G414" s="4">
        <v>3</v>
      </c>
      <c r="H414" s="115">
        <v>0.38299999999992451</v>
      </c>
      <c r="I414" s="115"/>
      <c r="J414" s="115">
        <v>3.5819999999998799</v>
      </c>
      <c r="K414" s="115">
        <v>3.9649999999998045</v>
      </c>
      <c r="L414" s="12">
        <f t="shared" si="32"/>
        <v>0.14082218010928688</v>
      </c>
      <c r="M414" s="4">
        <f t="shared" si="33"/>
        <v>0</v>
      </c>
      <c r="N414" s="4">
        <f t="shared" si="34"/>
        <v>0.66105508485336728</v>
      </c>
      <c r="O414" s="13">
        <f t="shared" si="35"/>
        <v>0.6959192528313829</v>
      </c>
    </row>
    <row r="415" spans="2:15">
      <c r="B415" s="12">
        <v>4</v>
      </c>
      <c r="C415" s="4" t="s">
        <v>151</v>
      </c>
      <c r="D415" s="4" t="s">
        <v>150</v>
      </c>
      <c r="E415" s="4">
        <v>6</v>
      </c>
      <c r="F415" s="4">
        <v>5</v>
      </c>
      <c r="G415" s="4">
        <v>4</v>
      </c>
      <c r="H415" s="115">
        <v>0.94900000000001228</v>
      </c>
      <c r="I415" s="115">
        <v>2.8990000000000009</v>
      </c>
      <c r="J415" s="115">
        <v>3.9660000000002356</v>
      </c>
      <c r="K415" s="115">
        <v>7.8140000000002487</v>
      </c>
      <c r="L415" s="12">
        <f t="shared" si="32"/>
        <v>0.28981183911762415</v>
      </c>
      <c r="M415" s="4">
        <f t="shared" si="33"/>
        <v>0.59095323518798581</v>
      </c>
      <c r="N415" s="4">
        <f t="shared" si="34"/>
        <v>0.69600671521856605</v>
      </c>
      <c r="O415" s="13">
        <f t="shared" si="35"/>
        <v>0.9451730461739124</v>
      </c>
    </row>
    <row r="416" spans="2:15">
      <c r="B416" s="12">
        <v>4</v>
      </c>
      <c r="C416" s="4" t="s">
        <v>151</v>
      </c>
      <c r="D416" s="4" t="s">
        <v>150</v>
      </c>
      <c r="E416" s="4">
        <v>6</v>
      </c>
      <c r="F416" s="4">
        <v>5</v>
      </c>
      <c r="G416" s="4">
        <v>5</v>
      </c>
      <c r="H416" s="115"/>
      <c r="I416" s="115"/>
      <c r="J416" s="115"/>
      <c r="K416" s="115">
        <v>0</v>
      </c>
      <c r="L416" s="12">
        <f t="shared" si="32"/>
        <v>0</v>
      </c>
      <c r="M416" s="4">
        <f t="shared" si="33"/>
        <v>0</v>
      </c>
      <c r="N416" s="4">
        <f t="shared" si="34"/>
        <v>0</v>
      </c>
      <c r="O416" s="13">
        <f t="shared" si="35"/>
        <v>0</v>
      </c>
    </row>
    <row r="417" spans="2:15">
      <c r="B417" s="12">
        <v>4</v>
      </c>
      <c r="C417" s="4" t="s">
        <v>151</v>
      </c>
      <c r="D417" s="4" t="s">
        <v>150</v>
      </c>
      <c r="E417" s="4">
        <v>6</v>
      </c>
      <c r="F417" s="4">
        <v>5</v>
      </c>
      <c r="G417" s="4">
        <v>6</v>
      </c>
      <c r="H417" s="115"/>
      <c r="I417" s="115"/>
      <c r="J417" s="115"/>
      <c r="K417" s="115">
        <v>0</v>
      </c>
      <c r="L417" s="12">
        <f t="shared" si="32"/>
        <v>0</v>
      </c>
      <c r="M417" s="4">
        <f t="shared" si="33"/>
        <v>0</v>
      </c>
      <c r="N417" s="4">
        <f t="shared" si="34"/>
        <v>0</v>
      </c>
      <c r="O417" s="13">
        <f t="shared" si="35"/>
        <v>0</v>
      </c>
    </row>
    <row r="418" spans="2:15">
      <c r="B418" s="12">
        <v>4</v>
      </c>
      <c r="C418" s="4" t="s">
        <v>151</v>
      </c>
      <c r="D418" s="4" t="s">
        <v>150</v>
      </c>
      <c r="E418" s="4">
        <v>6</v>
      </c>
      <c r="F418" s="4">
        <v>5</v>
      </c>
      <c r="G418" s="4">
        <v>7</v>
      </c>
      <c r="H418" s="115"/>
      <c r="I418" s="115"/>
      <c r="J418" s="115"/>
      <c r="K418" s="115">
        <v>0</v>
      </c>
      <c r="L418" s="12">
        <f t="shared" si="32"/>
        <v>0</v>
      </c>
      <c r="M418" s="4">
        <f t="shared" si="33"/>
        <v>0</v>
      </c>
      <c r="N418" s="4">
        <f t="shared" si="34"/>
        <v>0</v>
      </c>
      <c r="O418" s="13">
        <f t="shared" si="35"/>
        <v>0</v>
      </c>
    </row>
    <row r="419" spans="2:15">
      <c r="B419" s="12">
        <v>4</v>
      </c>
      <c r="C419" s="4" t="s">
        <v>151</v>
      </c>
      <c r="D419" s="4" t="s">
        <v>150</v>
      </c>
      <c r="E419" s="4">
        <v>6</v>
      </c>
      <c r="F419" s="4">
        <v>5</v>
      </c>
      <c r="G419" s="4">
        <v>8</v>
      </c>
      <c r="H419" s="115"/>
      <c r="I419" s="115"/>
      <c r="J419" s="115"/>
      <c r="K419" s="115">
        <v>0</v>
      </c>
      <c r="L419" s="12">
        <f t="shared" si="32"/>
        <v>0</v>
      </c>
      <c r="M419" s="4">
        <f t="shared" si="33"/>
        <v>0</v>
      </c>
      <c r="N419" s="4">
        <f t="shared" si="34"/>
        <v>0</v>
      </c>
      <c r="O419" s="13">
        <f t="shared" si="35"/>
        <v>0</v>
      </c>
    </row>
    <row r="420" spans="2:15">
      <c r="B420" s="12">
        <v>4</v>
      </c>
      <c r="C420" s="4" t="s">
        <v>151</v>
      </c>
      <c r="D420" s="4" t="s">
        <v>150</v>
      </c>
      <c r="E420" s="4">
        <v>6</v>
      </c>
      <c r="F420" s="4">
        <v>5</v>
      </c>
      <c r="G420" s="4">
        <v>9</v>
      </c>
      <c r="H420" s="115"/>
      <c r="I420" s="115"/>
      <c r="J420" s="115"/>
      <c r="K420" s="115">
        <v>0</v>
      </c>
      <c r="L420" s="12">
        <f t="shared" si="32"/>
        <v>0</v>
      </c>
      <c r="M420" s="4">
        <f t="shared" si="33"/>
        <v>0</v>
      </c>
      <c r="N420" s="4">
        <f t="shared" si="34"/>
        <v>0</v>
      </c>
      <c r="O420" s="13">
        <f t="shared" si="35"/>
        <v>0</v>
      </c>
    </row>
    <row r="421" spans="2:15" ht="13.8" thickBot="1">
      <c r="B421" s="14">
        <v>4</v>
      </c>
      <c r="C421" s="15" t="s">
        <v>151</v>
      </c>
      <c r="D421" s="15" t="s">
        <v>150</v>
      </c>
      <c r="E421" s="15">
        <v>6</v>
      </c>
      <c r="F421" s="15">
        <v>5</v>
      </c>
      <c r="G421" s="15">
        <v>10</v>
      </c>
      <c r="H421" s="121"/>
      <c r="I421" s="121"/>
      <c r="J421" s="121"/>
      <c r="K421" s="121">
        <v>0</v>
      </c>
      <c r="L421" s="14">
        <f t="shared" si="32"/>
        <v>0</v>
      </c>
      <c r="M421" s="15">
        <f t="shared" si="33"/>
        <v>0</v>
      </c>
      <c r="N421" s="15">
        <f t="shared" si="34"/>
        <v>0</v>
      </c>
      <c r="O421" s="16">
        <f t="shared" si="35"/>
        <v>0</v>
      </c>
    </row>
    <row r="422" spans="2:15">
      <c r="B422" s="9">
        <v>4</v>
      </c>
      <c r="C422" s="10" t="s">
        <v>152</v>
      </c>
      <c r="D422" s="10" t="s">
        <v>154</v>
      </c>
      <c r="E422" s="93">
        <v>7</v>
      </c>
      <c r="F422" s="93">
        <v>10</v>
      </c>
      <c r="G422" s="10">
        <v>1</v>
      </c>
      <c r="H422" s="120">
        <v>10.2800000000002</v>
      </c>
      <c r="I422" s="120">
        <v>1.5500000000000682</v>
      </c>
      <c r="J422" s="120">
        <v>2.6650000000000773</v>
      </c>
      <c r="K422" s="120">
        <v>14.495000000000346</v>
      </c>
      <c r="L422" s="9">
        <f t="shared" si="32"/>
        <v>1.0523090996473312</v>
      </c>
      <c r="M422" s="10">
        <f t="shared" si="33"/>
        <v>0.40654018043396678</v>
      </c>
      <c r="N422" s="10">
        <f t="shared" si="34"/>
        <v>0.56407397897715594</v>
      </c>
      <c r="O422" s="11">
        <f t="shared" si="35"/>
        <v>1.1901915805753116</v>
      </c>
    </row>
    <row r="423" spans="2:15">
      <c r="B423" s="12">
        <v>4</v>
      </c>
      <c r="C423" s="4" t="s">
        <v>152</v>
      </c>
      <c r="D423" s="4" t="s">
        <v>154</v>
      </c>
      <c r="E423" s="4">
        <v>7</v>
      </c>
      <c r="F423" s="4">
        <v>10</v>
      </c>
      <c r="G423" s="4">
        <v>2</v>
      </c>
      <c r="H423" s="115">
        <v>1.7160000000000082</v>
      </c>
      <c r="I423" s="115">
        <v>9.9999999999909051E-2</v>
      </c>
      <c r="J423" s="115">
        <v>0.35000000000002274</v>
      </c>
      <c r="K423" s="115">
        <v>2.16599999999994</v>
      </c>
      <c r="L423" s="12">
        <f t="shared" ref="L423:L486" si="36">LOG10(H423+1)</f>
        <v>0.43392976560846536</v>
      </c>
      <c r="M423" s="4">
        <f t="shared" ref="M423:M486" si="37">LOG10(I423+1)</f>
        <v>4.1392685158189134E-2</v>
      </c>
      <c r="N423" s="4">
        <f t="shared" ref="N423:N486" si="38">LOG10(J423+1)</f>
        <v>0.13033376849501344</v>
      </c>
      <c r="O423" s="13">
        <f t="shared" ref="O423:O486" si="39">LOG10(K423+1)</f>
        <v>0.5005109105263289</v>
      </c>
    </row>
    <row r="424" spans="2:15">
      <c r="B424" s="12">
        <v>4</v>
      </c>
      <c r="C424" s="4" t="s">
        <v>152</v>
      </c>
      <c r="D424" s="4" t="s">
        <v>154</v>
      </c>
      <c r="E424" s="4">
        <v>7</v>
      </c>
      <c r="F424" s="4">
        <v>10</v>
      </c>
      <c r="G424" s="4">
        <v>3</v>
      </c>
      <c r="H424" s="115">
        <v>0.34900000000004638</v>
      </c>
      <c r="I424" s="115"/>
      <c r="J424" s="115"/>
      <c r="K424" s="115">
        <v>0.34900000000004638</v>
      </c>
      <c r="L424" s="12">
        <f t="shared" si="36"/>
        <v>0.13001194967191917</v>
      </c>
      <c r="M424" s="4">
        <f t="shared" si="37"/>
        <v>0</v>
      </c>
      <c r="N424" s="4">
        <f t="shared" si="38"/>
        <v>0</v>
      </c>
      <c r="O424" s="13">
        <f t="shared" si="39"/>
        <v>0.13001194967191917</v>
      </c>
    </row>
    <row r="425" spans="2:15">
      <c r="B425" s="12">
        <v>4</v>
      </c>
      <c r="C425" s="4" t="s">
        <v>152</v>
      </c>
      <c r="D425" s="4" t="s">
        <v>154</v>
      </c>
      <c r="E425" s="4">
        <v>7</v>
      </c>
      <c r="F425" s="4">
        <v>10</v>
      </c>
      <c r="G425" s="4">
        <v>4</v>
      </c>
      <c r="H425" s="115"/>
      <c r="I425" s="115">
        <v>0.60099999999999909</v>
      </c>
      <c r="J425" s="115"/>
      <c r="K425" s="115">
        <v>0.60099999999999909</v>
      </c>
      <c r="L425" s="12">
        <f t="shared" si="36"/>
        <v>0</v>
      </c>
      <c r="M425" s="4">
        <f t="shared" si="37"/>
        <v>0.20439133191929948</v>
      </c>
      <c r="N425" s="4">
        <f t="shared" si="38"/>
        <v>0</v>
      </c>
      <c r="O425" s="13">
        <f t="shared" si="39"/>
        <v>0.20439133191929948</v>
      </c>
    </row>
    <row r="426" spans="2:15">
      <c r="B426" s="12">
        <v>4</v>
      </c>
      <c r="C426" s="4" t="s">
        <v>152</v>
      </c>
      <c r="D426" s="4" t="s">
        <v>154</v>
      </c>
      <c r="E426" s="4">
        <v>7</v>
      </c>
      <c r="F426" s="4">
        <v>10</v>
      </c>
      <c r="G426" s="4">
        <v>5</v>
      </c>
      <c r="H426" s="115"/>
      <c r="I426" s="115"/>
      <c r="J426" s="115">
        <v>0.21600000000000819</v>
      </c>
      <c r="K426" s="115">
        <v>0.21600000000000819</v>
      </c>
      <c r="L426" s="12">
        <f t="shared" si="36"/>
        <v>0</v>
      </c>
      <c r="M426" s="4">
        <f t="shared" si="37"/>
        <v>0</v>
      </c>
      <c r="N426" s="4">
        <f t="shared" si="38"/>
        <v>8.4933574936719061E-2</v>
      </c>
      <c r="O426" s="13">
        <f t="shared" si="39"/>
        <v>8.4933574936719061E-2</v>
      </c>
    </row>
    <row r="427" spans="2:15">
      <c r="B427" s="12">
        <v>4</v>
      </c>
      <c r="C427" s="4" t="s">
        <v>152</v>
      </c>
      <c r="D427" s="4" t="s">
        <v>154</v>
      </c>
      <c r="E427" s="4">
        <v>7</v>
      </c>
      <c r="F427" s="4">
        <v>10</v>
      </c>
      <c r="G427" s="4">
        <v>6</v>
      </c>
      <c r="H427" s="115"/>
      <c r="I427" s="115"/>
      <c r="J427" s="115">
        <v>0.48299999999994725</v>
      </c>
      <c r="K427" s="115">
        <v>0.48299999999994725</v>
      </c>
      <c r="L427" s="12">
        <f t="shared" si="36"/>
        <v>0</v>
      </c>
      <c r="M427" s="4">
        <f t="shared" si="37"/>
        <v>0</v>
      </c>
      <c r="N427" s="4">
        <f t="shared" si="38"/>
        <v>0.17114115102836658</v>
      </c>
      <c r="O427" s="13">
        <f t="shared" si="39"/>
        <v>0.17114115102836658</v>
      </c>
    </row>
    <row r="428" spans="2:15">
      <c r="B428" s="12">
        <v>4</v>
      </c>
      <c r="C428" s="4" t="s">
        <v>152</v>
      </c>
      <c r="D428" s="4" t="s">
        <v>154</v>
      </c>
      <c r="E428" s="4">
        <v>7</v>
      </c>
      <c r="F428" s="4">
        <v>10</v>
      </c>
      <c r="G428" s="4">
        <v>7</v>
      </c>
      <c r="H428" s="115">
        <v>0.20000000000004547</v>
      </c>
      <c r="I428" s="115">
        <v>0.43399999999996908</v>
      </c>
      <c r="J428" s="115"/>
      <c r="K428" s="115">
        <v>0.63400000000001455</v>
      </c>
      <c r="L428" s="12">
        <f t="shared" si="36"/>
        <v>7.918124604764129E-2</v>
      </c>
      <c r="M428" s="4">
        <f t="shared" si="37"/>
        <v>0.15654915133177194</v>
      </c>
      <c r="N428" s="4">
        <f t="shared" si="38"/>
        <v>0</v>
      </c>
      <c r="O428" s="13">
        <f t="shared" si="39"/>
        <v>0.21325205219640056</v>
      </c>
    </row>
    <row r="429" spans="2:15">
      <c r="B429" s="12">
        <v>4</v>
      </c>
      <c r="C429" s="4" t="s">
        <v>152</v>
      </c>
      <c r="D429" s="4" t="s">
        <v>154</v>
      </c>
      <c r="E429" s="4">
        <v>7</v>
      </c>
      <c r="F429" s="4">
        <v>10</v>
      </c>
      <c r="G429" s="4">
        <v>8</v>
      </c>
      <c r="H429" s="115">
        <v>0.1330000000000382</v>
      </c>
      <c r="I429" s="115"/>
      <c r="J429" s="115"/>
      <c r="K429" s="115">
        <v>0.1330000000000382</v>
      </c>
      <c r="L429" s="12">
        <f t="shared" si="36"/>
        <v>5.422990986341189E-2</v>
      </c>
      <c r="M429" s="4">
        <f t="shared" si="37"/>
        <v>0</v>
      </c>
      <c r="N429" s="4">
        <f t="shared" si="38"/>
        <v>0</v>
      </c>
      <c r="O429" s="13">
        <f t="shared" si="39"/>
        <v>5.422990986341189E-2</v>
      </c>
    </row>
    <row r="430" spans="2:15">
      <c r="B430" s="12">
        <v>4</v>
      </c>
      <c r="C430" s="4" t="s">
        <v>152</v>
      </c>
      <c r="D430" s="4" t="s">
        <v>154</v>
      </c>
      <c r="E430" s="4">
        <v>7</v>
      </c>
      <c r="F430" s="4">
        <v>10</v>
      </c>
      <c r="G430" s="4">
        <v>9</v>
      </c>
      <c r="H430" s="115"/>
      <c r="I430" s="115"/>
      <c r="J430" s="115"/>
      <c r="K430" s="115">
        <v>0</v>
      </c>
      <c r="L430" s="12">
        <f t="shared" si="36"/>
        <v>0</v>
      </c>
      <c r="M430" s="4">
        <f t="shared" si="37"/>
        <v>0</v>
      </c>
      <c r="N430" s="4">
        <f t="shared" si="38"/>
        <v>0</v>
      </c>
      <c r="O430" s="13">
        <f t="shared" si="39"/>
        <v>0</v>
      </c>
    </row>
    <row r="431" spans="2:15" ht="13.8" thickBot="1">
      <c r="B431" s="14">
        <v>4</v>
      </c>
      <c r="C431" s="15" t="s">
        <v>152</v>
      </c>
      <c r="D431" s="15" t="s">
        <v>154</v>
      </c>
      <c r="E431" s="15">
        <v>7</v>
      </c>
      <c r="F431" s="15">
        <v>10</v>
      </c>
      <c r="G431" s="15">
        <v>10</v>
      </c>
      <c r="H431" s="121"/>
      <c r="I431" s="121"/>
      <c r="J431" s="121"/>
      <c r="K431" s="121">
        <v>0</v>
      </c>
      <c r="L431" s="14">
        <f t="shared" si="36"/>
        <v>0</v>
      </c>
      <c r="M431" s="15">
        <f t="shared" si="37"/>
        <v>0</v>
      </c>
      <c r="N431" s="15">
        <f t="shared" si="38"/>
        <v>0</v>
      </c>
      <c r="O431" s="16">
        <f t="shared" si="39"/>
        <v>0</v>
      </c>
    </row>
    <row r="432" spans="2:15">
      <c r="B432" s="9">
        <v>4</v>
      </c>
      <c r="C432" s="10" t="s">
        <v>152</v>
      </c>
      <c r="D432" s="10" t="s">
        <v>149</v>
      </c>
      <c r="E432" s="93">
        <v>8</v>
      </c>
      <c r="F432" s="93">
        <v>4</v>
      </c>
      <c r="G432" s="10">
        <v>1</v>
      </c>
      <c r="H432" s="120">
        <v>8.410000000000025</v>
      </c>
      <c r="I432" s="120">
        <v>1.1490000000000009</v>
      </c>
      <c r="J432" s="120">
        <v>1.6500000000001478</v>
      </c>
      <c r="K432" s="120">
        <v>11.209000000000174</v>
      </c>
      <c r="L432" s="9">
        <f t="shared" si="36"/>
        <v>0.97358962342725808</v>
      </c>
      <c r="M432" s="10">
        <f t="shared" si="37"/>
        <v>0.3322364154914435</v>
      </c>
      <c r="N432" s="10">
        <f t="shared" si="38"/>
        <v>0.42324587393683205</v>
      </c>
      <c r="O432" s="11">
        <f t="shared" si="39"/>
        <v>1.0866800937346306</v>
      </c>
    </row>
    <row r="433" spans="2:15">
      <c r="B433" s="12">
        <v>4</v>
      </c>
      <c r="C433" s="4" t="s">
        <v>152</v>
      </c>
      <c r="D433" s="4" t="s">
        <v>149</v>
      </c>
      <c r="E433" s="4">
        <v>8</v>
      </c>
      <c r="F433" s="4">
        <v>4</v>
      </c>
      <c r="G433" s="4">
        <v>2</v>
      </c>
      <c r="H433" s="115">
        <v>1.5160000000000196</v>
      </c>
      <c r="I433" s="115"/>
      <c r="J433" s="115"/>
      <c r="K433" s="115">
        <v>1.5160000000000196</v>
      </c>
      <c r="L433" s="12">
        <f t="shared" si="36"/>
        <v>0.40071063677323471</v>
      </c>
      <c r="M433" s="4">
        <f t="shared" si="37"/>
        <v>0</v>
      </c>
      <c r="N433" s="4">
        <f t="shared" si="38"/>
        <v>0</v>
      </c>
      <c r="O433" s="13">
        <f t="shared" si="39"/>
        <v>0.40071063677323471</v>
      </c>
    </row>
    <row r="434" spans="2:15">
      <c r="B434" s="12">
        <v>4</v>
      </c>
      <c r="C434" s="4" t="s">
        <v>152</v>
      </c>
      <c r="D434" s="4" t="s">
        <v>149</v>
      </c>
      <c r="E434" s="4">
        <v>8</v>
      </c>
      <c r="F434" s="4">
        <v>4</v>
      </c>
      <c r="G434" s="4">
        <v>3</v>
      </c>
      <c r="H434" s="115"/>
      <c r="I434" s="115"/>
      <c r="J434" s="115"/>
      <c r="K434" s="115">
        <v>0</v>
      </c>
      <c r="L434" s="12">
        <f t="shared" si="36"/>
        <v>0</v>
      </c>
      <c r="M434" s="4">
        <f t="shared" si="37"/>
        <v>0</v>
      </c>
      <c r="N434" s="4">
        <f t="shared" si="38"/>
        <v>0</v>
      </c>
      <c r="O434" s="13">
        <f t="shared" si="39"/>
        <v>0</v>
      </c>
    </row>
    <row r="435" spans="2:15">
      <c r="B435" s="12">
        <v>4</v>
      </c>
      <c r="C435" s="4" t="s">
        <v>152</v>
      </c>
      <c r="D435" s="4" t="s">
        <v>149</v>
      </c>
      <c r="E435" s="4">
        <v>8</v>
      </c>
      <c r="F435" s="4">
        <v>4</v>
      </c>
      <c r="G435" s="4">
        <v>4</v>
      </c>
      <c r="H435" s="115">
        <v>0.11500000000000909</v>
      </c>
      <c r="I435" s="115"/>
      <c r="J435" s="115"/>
      <c r="K435" s="115">
        <v>0.11500000000000909</v>
      </c>
      <c r="L435" s="12">
        <f t="shared" si="36"/>
        <v>4.7274867384183024E-2</v>
      </c>
      <c r="M435" s="4">
        <f t="shared" si="37"/>
        <v>0</v>
      </c>
      <c r="N435" s="4">
        <f t="shared" si="38"/>
        <v>0</v>
      </c>
      <c r="O435" s="13">
        <f t="shared" si="39"/>
        <v>4.7274867384183024E-2</v>
      </c>
    </row>
    <row r="436" spans="2:15">
      <c r="B436" s="12">
        <v>4</v>
      </c>
      <c r="C436" s="4" t="s">
        <v>152</v>
      </c>
      <c r="D436" s="4" t="s">
        <v>149</v>
      </c>
      <c r="E436" s="4">
        <v>8</v>
      </c>
      <c r="F436" s="4">
        <v>4</v>
      </c>
      <c r="G436" s="4">
        <v>5</v>
      </c>
      <c r="H436" s="115"/>
      <c r="I436" s="115"/>
      <c r="J436" s="115"/>
      <c r="K436" s="115">
        <v>0</v>
      </c>
      <c r="L436" s="12">
        <f t="shared" si="36"/>
        <v>0</v>
      </c>
      <c r="M436" s="4">
        <f t="shared" si="37"/>
        <v>0</v>
      </c>
      <c r="N436" s="4">
        <f t="shared" si="38"/>
        <v>0</v>
      </c>
      <c r="O436" s="13">
        <f t="shared" si="39"/>
        <v>0</v>
      </c>
    </row>
    <row r="437" spans="2:15">
      <c r="B437" s="12">
        <v>4</v>
      </c>
      <c r="C437" s="4" t="s">
        <v>152</v>
      </c>
      <c r="D437" s="4" t="s">
        <v>149</v>
      </c>
      <c r="E437" s="4">
        <v>8</v>
      </c>
      <c r="F437" s="4">
        <v>4</v>
      </c>
      <c r="G437" s="4">
        <v>6</v>
      </c>
      <c r="H437" s="115"/>
      <c r="I437" s="115"/>
      <c r="J437" s="115"/>
      <c r="K437" s="115">
        <v>0</v>
      </c>
      <c r="L437" s="12">
        <f t="shared" si="36"/>
        <v>0</v>
      </c>
      <c r="M437" s="4">
        <f t="shared" si="37"/>
        <v>0</v>
      </c>
      <c r="N437" s="4">
        <f t="shared" si="38"/>
        <v>0</v>
      </c>
      <c r="O437" s="13">
        <f t="shared" si="39"/>
        <v>0</v>
      </c>
    </row>
    <row r="438" spans="2:15">
      <c r="B438" s="12">
        <v>4</v>
      </c>
      <c r="C438" s="4" t="s">
        <v>152</v>
      </c>
      <c r="D438" s="4" t="s">
        <v>149</v>
      </c>
      <c r="E438" s="4">
        <v>8</v>
      </c>
      <c r="F438" s="4">
        <v>4</v>
      </c>
      <c r="G438" s="4">
        <v>7</v>
      </c>
      <c r="H438" s="115"/>
      <c r="I438" s="115"/>
      <c r="J438" s="115"/>
      <c r="K438" s="115">
        <v>0</v>
      </c>
      <c r="L438" s="12">
        <f t="shared" si="36"/>
        <v>0</v>
      </c>
      <c r="M438" s="4">
        <f t="shared" si="37"/>
        <v>0</v>
      </c>
      <c r="N438" s="4">
        <f t="shared" si="38"/>
        <v>0</v>
      </c>
      <c r="O438" s="13">
        <f t="shared" si="39"/>
        <v>0</v>
      </c>
    </row>
    <row r="439" spans="2:15">
      <c r="B439" s="12">
        <v>4</v>
      </c>
      <c r="C439" s="4" t="s">
        <v>152</v>
      </c>
      <c r="D439" s="4" t="s">
        <v>149</v>
      </c>
      <c r="E439" s="4">
        <v>8</v>
      </c>
      <c r="F439" s="4">
        <v>4</v>
      </c>
      <c r="G439" s="4">
        <v>8</v>
      </c>
      <c r="H439" s="115"/>
      <c r="I439" s="115"/>
      <c r="J439" s="115"/>
      <c r="K439" s="115">
        <v>0</v>
      </c>
      <c r="L439" s="12">
        <f t="shared" si="36"/>
        <v>0</v>
      </c>
      <c r="M439" s="4">
        <f t="shared" si="37"/>
        <v>0</v>
      </c>
      <c r="N439" s="4">
        <f t="shared" si="38"/>
        <v>0</v>
      </c>
      <c r="O439" s="13">
        <f t="shared" si="39"/>
        <v>0</v>
      </c>
    </row>
    <row r="440" spans="2:15">
      <c r="B440" s="12">
        <v>4</v>
      </c>
      <c r="C440" s="4" t="s">
        <v>152</v>
      </c>
      <c r="D440" s="4" t="s">
        <v>149</v>
      </c>
      <c r="E440" s="4">
        <v>8</v>
      </c>
      <c r="F440" s="4">
        <v>4</v>
      </c>
      <c r="G440" s="4">
        <v>9</v>
      </c>
      <c r="H440" s="115"/>
      <c r="I440" s="115"/>
      <c r="J440" s="115"/>
      <c r="K440" s="115">
        <v>0</v>
      </c>
      <c r="L440" s="12">
        <f t="shared" si="36"/>
        <v>0</v>
      </c>
      <c r="M440" s="4">
        <f t="shared" si="37"/>
        <v>0</v>
      </c>
      <c r="N440" s="4">
        <f t="shared" si="38"/>
        <v>0</v>
      </c>
      <c r="O440" s="13">
        <f t="shared" si="39"/>
        <v>0</v>
      </c>
    </row>
    <row r="441" spans="2:15" ht="13.8" thickBot="1">
      <c r="B441" s="14">
        <v>4</v>
      </c>
      <c r="C441" s="15" t="s">
        <v>152</v>
      </c>
      <c r="D441" s="15" t="s">
        <v>149</v>
      </c>
      <c r="E441" s="15">
        <v>8</v>
      </c>
      <c r="F441" s="15">
        <v>4</v>
      </c>
      <c r="G441" s="15">
        <v>10</v>
      </c>
      <c r="H441" s="121"/>
      <c r="I441" s="121"/>
      <c r="J441" s="121"/>
      <c r="K441" s="121">
        <v>0</v>
      </c>
      <c r="L441" s="14">
        <f t="shared" si="36"/>
        <v>0</v>
      </c>
      <c r="M441" s="15">
        <f t="shared" si="37"/>
        <v>0</v>
      </c>
      <c r="N441" s="15">
        <f t="shared" si="38"/>
        <v>0</v>
      </c>
      <c r="O441" s="16">
        <f t="shared" si="39"/>
        <v>0</v>
      </c>
    </row>
    <row r="442" spans="2:15">
      <c r="B442" s="9">
        <v>4</v>
      </c>
      <c r="C442" s="10" t="s">
        <v>152</v>
      </c>
      <c r="D442" s="10" t="s">
        <v>150</v>
      </c>
      <c r="E442" s="93">
        <v>9</v>
      </c>
      <c r="F442" s="93">
        <v>8</v>
      </c>
      <c r="G442" s="10">
        <v>1</v>
      </c>
      <c r="H442" s="120">
        <v>3.749000000000251</v>
      </c>
      <c r="I442" s="120">
        <v>0.83400000000006003</v>
      </c>
      <c r="J442" s="120">
        <v>0.64999999999997726</v>
      </c>
      <c r="K442" s="120">
        <v>5.2330000000002883</v>
      </c>
      <c r="L442" s="9">
        <f t="shared" si="36"/>
        <v>0.67660216958204134</v>
      </c>
      <c r="M442" s="10">
        <f t="shared" si="37"/>
        <v>0.2633993313340165</v>
      </c>
      <c r="N442" s="10">
        <f t="shared" si="38"/>
        <v>0.2174839442139003</v>
      </c>
      <c r="O442" s="11">
        <f t="shared" si="39"/>
        <v>0.79469712689201866</v>
      </c>
    </row>
    <row r="443" spans="2:15">
      <c r="B443" s="12">
        <v>4</v>
      </c>
      <c r="C443" s="4" t="s">
        <v>152</v>
      </c>
      <c r="D443" s="4" t="s">
        <v>150</v>
      </c>
      <c r="E443" s="4">
        <v>9</v>
      </c>
      <c r="F443" s="4">
        <v>8</v>
      </c>
      <c r="G443" s="4">
        <v>2</v>
      </c>
      <c r="H443" s="115">
        <v>1.7479999999999336</v>
      </c>
      <c r="I443" s="115">
        <v>0.16599999999993997</v>
      </c>
      <c r="J443" s="115"/>
      <c r="K443" s="115">
        <v>1.9139999999998736</v>
      </c>
      <c r="L443" s="12">
        <f t="shared" si="36"/>
        <v>0.43901672838750233</v>
      </c>
      <c r="M443" s="4">
        <f t="shared" si="37"/>
        <v>6.669855042297293E-2</v>
      </c>
      <c r="N443" s="4">
        <f t="shared" si="38"/>
        <v>0</v>
      </c>
      <c r="O443" s="13">
        <f t="shared" si="39"/>
        <v>0.46448954743395249</v>
      </c>
    </row>
    <row r="444" spans="2:15">
      <c r="B444" s="12">
        <v>4</v>
      </c>
      <c r="C444" s="4" t="s">
        <v>152</v>
      </c>
      <c r="D444" s="4" t="s">
        <v>150</v>
      </c>
      <c r="E444" s="4">
        <v>9</v>
      </c>
      <c r="F444" s="4">
        <v>8</v>
      </c>
      <c r="G444" s="4">
        <v>3</v>
      </c>
      <c r="H444" s="115"/>
      <c r="I444" s="115"/>
      <c r="J444" s="115"/>
      <c r="K444" s="115">
        <v>0</v>
      </c>
      <c r="L444" s="12">
        <f t="shared" si="36"/>
        <v>0</v>
      </c>
      <c r="M444" s="4">
        <f t="shared" si="37"/>
        <v>0</v>
      </c>
      <c r="N444" s="4">
        <f t="shared" si="38"/>
        <v>0</v>
      </c>
      <c r="O444" s="13">
        <f t="shared" si="39"/>
        <v>0</v>
      </c>
    </row>
    <row r="445" spans="2:15">
      <c r="B445" s="12">
        <v>4</v>
      </c>
      <c r="C445" s="4" t="s">
        <v>152</v>
      </c>
      <c r="D445" s="4" t="s">
        <v>150</v>
      </c>
      <c r="E445" s="4">
        <v>9</v>
      </c>
      <c r="F445" s="4">
        <v>8</v>
      </c>
      <c r="G445" s="4">
        <v>4</v>
      </c>
      <c r="H445" s="115"/>
      <c r="I445" s="115"/>
      <c r="J445" s="115"/>
      <c r="K445" s="115">
        <v>0</v>
      </c>
      <c r="L445" s="12">
        <f t="shared" si="36"/>
        <v>0</v>
      </c>
      <c r="M445" s="4">
        <f t="shared" si="37"/>
        <v>0</v>
      </c>
      <c r="N445" s="4">
        <f t="shared" si="38"/>
        <v>0</v>
      </c>
      <c r="O445" s="13">
        <f t="shared" si="39"/>
        <v>0</v>
      </c>
    </row>
    <row r="446" spans="2:15">
      <c r="B446" s="12">
        <v>4</v>
      </c>
      <c r="C446" s="4" t="s">
        <v>152</v>
      </c>
      <c r="D446" s="4" t="s">
        <v>150</v>
      </c>
      <c r="E446" s="4">
        <v>9</v>
      </c>
      <c r="F446" s="4">
        <v>8</v>
      </c>
      <c r="G446" s="4">
        <v>5</v>
      </c>
      <c r="H446" s="115"/>
      <c r="I446" s="115"/>
      <c r="J446" s="115"/>
      <c r="K446" s="115">
        <v>0</v>
      </c>
      <c r="L446" s="12">
        <f t="shared" si="36"/>
        <v>0</v>
      </c>
      <c r="M446" s="4">
        <f t="shared" si="37"/>
        <v>0</v>
      </c>
      <c r="N446" s="4">
        <f t="shared" si="38"/>
        <v>0</v>
      </c>
      <c r="O446" s="13">
        <f t="shared" si="39"/>
        <v>0</v>
      </c>
    </row>
    <row r="447" spans="2:15">
      <c r="B447" s="12">
        <v>4</v>
      </c>
      <c r="C447" s="4" t="s">
        <v>152</v>
      </c>
      <c r="D447" s="4" t="s">
        <v>150</v>
      </c>
      <c r="E447" s="4">
        <v>9</v>
      </c>
      <c r="F447" s="4">
        <v>8</v>
      </c>
      <c r="G447" s="4">
        <v>6</v>
      </c>
      <c r="H447" s="115"/>
      <c r="I447" s="115"/>
      <c r="J447" s="115"/>
      <c r="K447" s="115">
        <v>0</v>
      </c>
      <c r="L447" s="12">
        <f t="shared" si="36"/>
        <v>0</v>
      </c>
      <c r="M447" s="4">
        <f t="shared" si="37"/>
        <v>0</v>
      </c>
      <c r="N447" s="4">
        <f t="shared" si="38"/>
        <v>0</v>
      </c>
      <c r="O447" s="13">
        <f t="shared" si="39"/>
        <v>0</v>
      </c>
    </row>
    <row r="448" spans="2:15">
      <c r="B448" s="12">
        <v>4</v>
      </c>
      <c r="C448" s="4" t="s">
        <v>152</v>
      </c>
      <c r="D448" s="4" t="s">
        <v>150</v>
      </c>
      <c r="E448" s="4">
        <v>9</v>
      </c>
      <c r="F448" s="4">
        <v>8</v>
      </c>
      <c r="G448" s="4">
        <v>7</v>
      </c>
      <c r="H448" s="115"/>
      <c r="I448" s="115"/>
      <c r="J448" s="115"/>
      <c r="K448" s="115">
        <v>0</v>
      </c>
      <c r="L448" s="12">
        <f t="shared" si="36"/>
        <v>0</v>
      </c>
      <c r="M448" s="4">
        <f t="shared" si="37"/>
        <v>0</v>
      </c>
      <c r="N448" s="4">
        <f t="shared" si="38"/>
        <v>0</v>
      </c>
      <c r="O448" s="13">
        <f t="shared" si="39"/>
        <v>0</v>
      </c>
    </row>
    <row r="449" spans="2:15">
      <c r="B449" s="12">
        <v>4</v>
      </c>
      <c r="C449" s="4" t="s">
        <v>152</v>
      </c>
      <c r="D449" s="4" t="s">
        <v>150</v>
      </c>
      <c r="E449" s="4">
        <v>9</v>
      </c>
      <c r="F449" s="4">
        <v>8</v>
      </c>
      <c r="G449" s="4">
        <v>8</v>
      </c>
      <c r="H449" s="115"/>
      <c r="I449" s="115"/>
      <c r="J449" s="115"/>
      <c r="K449" s="115">
        <v>0</v>
      </c>
      <c r="L449" s="12">
        <f t="shared" si="36"/>
        <v>0</v>
      </c>
      <c r="M449" s="4">
        <f t="shared" si="37"/>
        <v>0</v>
      </c>
      <c r="N449" s="4">
        <f t="shared" si="38"/>
        <v>0</v>
      </c>
      <c r="O449" s="13">
        <f t="shared" si="39"/>
        <v>0</v>
      </c>
    </row>
    <row r="450" spans="2:15">
      <c r="B450" s="12">
        <v>4</v>
      </c>
      <c r="C450" s="4" t="s">
        <v>152</v>
      </c>
      <c r="D450" s="4" t="s">
        <v>150</v>
      </c>
      <c r="E450" s="4">
        <v>9</v>
      </c>
      <c r="F450" s="4">
        <v>8</v>
      </c>
      <c r="G450" s="4">
        <v>9</v>
      </c>
      <c r="H450" s="115"/>
      <c r="I450" s="115"/>
      <c r="J450" s="115"/>
      <c r="K450" s="115">
        <v>0</v>
      </c>
      <c r="L450" s="12">
        <f t="shared" si="36"/>
        <v>0</v>
      </c>
      <c r="M450" s="4">
        <f t="shared" si="37"/>
        <v>0</v>
      </c>
      <c r="N450" s="4">
        <f t="shared" si="38"/>
        <v>0</v>
      </c>
      <c r="O450" s="13">
        <f t="shared" si="39"/>
        <v>0</v>
      </c>
    </row>
    <row r="451" spans="2:15" ht="13.8" thickBot="1">
      <c r="B451" s="14">
        <v>4</v>
      </c>
      <c r="C451" s="15" t="s">
        <v>152</v>
      </c>
      <c r="D451" s="15" t="s">
        <v>150</v>
      </c>
      <c r="E451" s="15">
        <v>9</v>
      </c>
      <c r="F451" s="15">
        <v>8</v>
      </c>
      <c r="G451" s="15">
        <v>10</v>
      </c>
      <c r="H451" s="121"/>
      <c r="I451" s="121"/>
      <c r="J451" s="121"/>
      <c r="K451" s="121">
        <v>0</v>
      </c>
      <c r="L451" s="14">
        <f t="shared" si="36"/>
        <v>0</v>
      </c>
      <c r="M451" s="15">
        <f t="shared" si="37"/>
        <v>0</v>
      </c>
      <c r="N451" s="15">
        <f t="shared" si="38"/>
        <v>0</v>
      </c>
      <c r="O451" s="16">
        <f t="shared" si="39"/>
        <v>0</v>
      </c>
    </row>
    <row r="452" spans="2:15">
      <c r="B452" s="9">
        <v>4</v>
      </c>
      <c r="C452" s="10" t="s">
        <v>152</v>
      </c>
      <c r="D452" s="10" t="s">
        <v>154</v>
      </c>
      <c r="E452" s="93">
        <v>10</v>
      </c>
      <c r="F452" s="93">
        <v>12</v>
      </c>
      <c r="G452" s="10">
        <v>1</v>
      </c>
      <c r="H452" s="120">
        <v>5.09800000000007</v>
      </c>
      <c r="I452" s="120">
        <v>0.11700000000007549</v>
      </c>
      <c r="J452" s="120">
        <v>0.26700000000005275</v>
      </c>
      <c r="K452" s="120">
        <v>5.4820000000001983</v>
      </c>
      <c r="L452" s="9">
        <f t="shared" si="36"/>
        <v>0.78518742002936692</v>
      </c>
      <c r="M452" s="10">
        <f t="shared" si="37"/>
        <v>4.8053173115638406E-2</v>
      </c>
      <c r="N452" s="10">
        <f t="shared" si="38"/>
        <v>0.10277661488345942</v>
      </c>
      <c r="O452" s="11">
        <f t="shared" si="39"/>
        <v>0.81170902669620448</v>
      </c>
    </row>
    <row r="453" spans="2:15">
      <c r="B453" s="12">
        <v>4</v>
      </c>
      <c r="C453" s="4" t="s">
        <v>152</v>
      </c>
      <c r="D453" s="4" t="s">
        <v>154</v>
      </c>
      <c r="E453" s="4">
        <v>10</v>
      </c>
      <c r="F453" s="4">
        <v>12</v>
      </c>
      <c r="G453" s="4">
        <v>2</v>
      </c>
      <c r="H453" s="115">
        <v>0.43399999999996908</v>
      </c>
      <c r="I453" s="115"/>
      <c r="J453" s="115"/>
      <c r="K453" s="115">
        <v>0.43399999999996908</v>
      </c>
      <c r="L453" s="12">
        <f t="shared" si="36"/>
        <v>0.15654915133177194</v>
      </c>
      <c r="M453" s="4">
        <f t="shared" si="37"/>
        <v>0</v>
      </c>
      <c r="N453" s="4">
        <f t="shared" si="38"/>
        <v>0</v>
      </c>
      <c r="O453" s="13">
        <f t="shared" si="39"/>
        <v>0.15654915133177194</v>
      </c>
    </row>
    <row r="454" spans="2:15">
      <c r="B454" s="12">
        <v>4</v>
      </c>
      <c r="C454" s="4" t="s">
        <v>152</v>
      </c>
      <c r="D454" s="4" t="s">
        <v>154</v>
      </c>
      <c r="E454" s="4">
        <v>10</v>
      </c>
      <c r="F454" s="4">
        <v>12</v>
      </c>
      <c r="G454" s="4">
        <v>3</v>
      </c>
      <c r="H454" s="115"/>
      <c r="I454" s="115"/>
      <c r="J454" s="115"/>
      <c r="K454" s="115">
        <v>0</v>
      </c>
      <c r="L454" s="12">
        <f t="shared" si="36"/>
        <v>0</v>
      </c>
      <c r="M454" s="4">
        <f t="shared" si="37"/>
        <v>0</v>
      </c>
      <c r="N454" s="4">
        <f t="shared" si="38"/>
        <v>0</v>
      </c>
      <c r="O454" s="13">
        <f t="shared" si="39"/>
        <v>0</v>
      </c>
    </row>
    <row r="455" spans="2:15">
      <c r="B455" s="12">
        <v>4</v>
      </c>
      <c r="C455" s="4" t="s">
        <v>152</v>
      </c>
      <c r="D455" s="4" t="s">
        <v>154</v>
      </c>
      <c r="E455" s="4">
        <v>10</v>
      </c>
      <c r="F455" s="4">
        <v>12</v>
      </c>
      <c r="G455" s="4">
        <v>4</v>
      </c>
      <c r="H455" s="115"/>
      <c r="I455" s="115"/>
      <c r="J455" s="115"/>
      <c r="K455" s="115">
        <v>0</v>
      </c>
      <c r="L455" s="12">
        <f t="shared" si="36"/>
        <v>0</v>
      </c>
      <c r="M455" s="4">
        <f t="shared" si="37"/>
        <v>0</v>
      </c>
      <c r="N455" s="4">
        <f t="shared" si="38"/>
        <v>0</v>
      </c>
      <c r="O455" s="13">
        <f t="shared" si="39"/>
        <v>0</v>
      </c>
    </row>
    <row r="456" spans="2:15">
      <c r="B456" s="12">
        <v>4</v>
      </c>
      <c r="C456" s="4" t="s">
        <v>152</v>
      </c>
      <c r="D456" s="4" t="s">
        <v>154</v>
      </c>
      <c r="E456" s="4">
        <v>10</v>
      </c>
      <c r="F456" s="4">
        <v>12</v>
      </c>
      <c r="G456" s="4">
        <v>5</v>
      </c>
      <c r="H456" s="115"/>
      <c r="I456" s="115"/>
      <c r="J456" s="115"/>
      <c r="K456" s="115">
        <v>0</v>
      </c>
      <c r="L456" s="12">
        <f t="shared" si="36"/>
        <v>0</v>
      </c>
      <c r="M456" s="4">
        <f t="shared" si="37"/>
        <v>0</v>
      </c>
      <c r="N456" s="4">
        <f t="shared" si="38"/>
        <v>0</v>
      </c>
      <c r="O456" s="13">
        <f t="shared" si="39"/>
        <v>0</v>
      </c>
    </row>
    <row r="457" spans="2:15">
      <c r="B457" s="12">
        <v>4</v>
      </c>
      <c r="C457" s="4" t="s">
        <v>152</v>
      </c>
      <c r="D457" s="4" t="s">
        <v>154</v>
      </c>
      <c r="E457" s="4">
        <v>10</v>
      </c>
      <c r="F457" s="4">
        <v>12</v>
      </c>
      <c r="G457" s="4">
        <v>6</v>
      </c>
      <c r="H457" s="115"/>
      <c r="I457" s="115"/>
      <c r="J457" s="115"/>
      <c r="K457" s="115">
        <v>0</v>
      </c>
      <c r="L457" s="12">
        <f t="shared" si="36"/>
        <v>0</v>
      </c>
      <c r="M457" s="4">
        <f t="shared" si="37"/>
        <v>0</v>
      </c>
      <c r="N457" s="4">
        <f t="shared" si="38"/>
        <v>0</v>
      </c>
      <c r="O457" s="13">
        <f t="shared" si="39"/>
        <v>0</v>
      </c>
    </row>
    <row r="458" spans="2:15">
      <c r="B458" s="12">
        <v>4</v>
      </c>
      <c r="C458" s="4" t="s">
        <v>152</v>
      </c>
      <c r="D458" s="4" t="s">
        <v>154</v>
      </c>
      <c r="E458" s="4">
        <v>10</v>
      </c>
      <c r="F458" s="4">
        <v>12</v>
      </c>
      <c r="G458" s="4">
        <v>7</v>
      </c>
      <c r="H458" s="115"/>
      <c r="I458" s="115"/>
      <c r="J458" s="115"/>
      <c r="K458" s="115">
        <v>0</v>
      </c>
      <c r="L458" s="12">
        <f t="shared" si="36"/>
        <v>0</v>
      </c>
      <c r="M458" s="4">
        <f t="shared" si="37"/>
        <v>0</v>
      </c>
      <c r="N458" s="4">
        <f t="shared" si="38"/>
        <v>0</v>
      </c>
      <c r="O458" s="13">
        <f t="shared" si="39"/>
        <v>0</v>
      </c>
    </row>
    <row r="459" spans="2:15">
      <c r="B459" s="12">
        <v>4</v>
      </c>
      <c r="C459" s="4" t="s">
        <v>152</v>
      </c>
      <c r="D459" s="4" t="s">
        <v>154</v>
      </c>
      <c r="E459" s="4">
        <v>10</v>
      </c>
      <c r="F459" s="4">
        <v>12</v>
      </c>
      <c r="G459" s="4">
        <v>8</v>
      </c>
      <c r="H459" s="115"/>
      <c r="I459" s="115"/>
      <c r="J459" s="115"/>
      <c r="K459" s="115">
        <v>0</v>
      </c>
      <c r="L459" s="12">
        <f t="shared" si="36"/>
        <v>0</v>
      </c>
      <c r="M459" s="4">
        <f t="shared" si="37"/>
        <v>0</v>
      </c>
      <c r="N459" s="4">
        <f t="shared" si="38"/>
        <v>0</v>
      </c>
      <c r="O459" s="13">
        <f t="shared" si="39"/>
        <v>0</v>
      </c>
    </row>
    <row r="460" spans="2:15">
      <c r="B460" s="12">
        <v>4</v>
      </c>
      <c r="C460" s="4" t="s">
        <v>152</v>
      </c>
      <c r="D460" s="4" t="s">
        <v>154</v>
      </c>
      <c r="E460" s="4">
        <v>10</v>
      </c>
      <c r="F460" s="4">
        <v>12</v>
      </c>
      <c r="G460" s="4">
        <v>9</v>
      </c>
      <c r="H460" s="115"/>
      <c r="I460" s="115"/>
      <c r="J460" s="115"/>
      <c r="K460" s="115">
        <v>0</v>
      </c>
      <c r="L460" s="12">
        <f t="shared" si="36"/>
        <v>0</v>
      </c>
      <c r="M460" s="4">
        <f t="shared" si="37"/>
        <v>0</v>
      </c>
      <c r="N460" s="4">
        <f t="shared" si="38"/>
        <v>0</v>
      </c>
      <c r="O460" s="13">
        <f t="shared" si="39"/>
        <v>0</v>
      </c>
    </row>
    <row r="461" spans="2:15" ht="13.8" thickBot="1">
      <c r="B461" s="14">
        <v>4</v>
      </c>
      <c r="C461" s="15" t="s">
        <v>152</v>
      </c>
      <c r="D461" s="15" t="s">
        <v>154</v>
      </c>
      <c r="E461" s="15">
        <v>10</v>
      </c>
      <c r="F461" s="15">
        <v>12</v>
      </c>
      <c r="G461" s="15">
        <v>10</v>
      </c>
      <c r="H461" s="121"/>
      <c r="I461" s="121"/>
      <c r="J461" s="121"/>
      <c r="K461" s="121">
        <v>0</v>
      </c>
      <c r="L461" s="14">
        <f t="shared" si="36"/>
        <v>0</v>
      </c>
      <c r="M461" s="15">
        <f t="shared" si="37"/>
        <v>0</v>
      </c>
      <c r="N461" s="15">
        <f t="shared" si="38"/>
        <v>0</v>
      </c>
      <c r="O461" s="16">
        <f t="shared" si="39"/>
        <v>0</v>
      </c>
    </row>
    <row r="462" spans="2:15">
      <c r="B462" s="9">
        <v>4</v>
      </c>
      <c r="C462" s="10" t="s">
        <v>152</v>
      </c>
      <c r="D462" s="10" t="s">
        <v>149</v>
      </c>
      <c r="E462" s="93">
        <v>11</v>
      </c>
      <c r="F462" s="93">
        <v>2</v>
      </c>
      <c r="G462" s="10">
        <v>1</v>
      </c>
      <c r="H462" s="120">
        <v>11.968000000000075</v>
      </c>
      <c r="I462" s="120">
        <v>2.4149999999999636</v>
      </c>
      <c r="J462" s="120">
        <v>7.0140000000000668</v>
      </c>
      <c r="K462" s="120">
        <v>21.397000000000105</v>
      </c>
      <c r="L462" s="9">
        <f t="shared" si="36"/>
        <v>1.1128730018404611</v>
      </c>
      <c r="M462" s="10">
        <f t="shared" si="37"/>
        <v>0.53339070801754673</v>
      </c>
      <c r="N462" s="10">
        <f t="shared" si="38"/>
        <v>0.90384933809668455</v>
      </c>
      <c r="O462" s="11">
        <f t="shared" si="39"/>
        <v>1.3501898499993363</v>
      </c>
    </row>
    <row r="463" spans="2:15">
      <c r="B463" s="12">
        <v>4</v>
      </c>
      <c r="C463" s="4" t="s">
        <v>152</v>
      </c>
      <c r="D463" s="4" t="s">
        <v>149</v>
      </c>
      <c r="E463" s="4">
        <v>11</v>
      </c>
      <c r="F463" s="4">
        <v>2</v>
      </c>
      <c r="G463" s="4">
        <v>2</v>
      </c>
      <c r="H463" s="115">
        <v>0.83299999999999841</v>
      </c>
      <c r="I463" s="115">
        <v>0.76700000000002433</v>
      </c>
      <c r="J463" s="115">
        <v>0.23300000000000409</v>
      </c>
      <c r="K463" s="115">
        <v>1.8330000000000268</v>
      </c>
      <c r="L463" s="12">
        <f t="shared" si="36"/>
        <v>0.26316246496221629</v>
      </c>
      <c r="M463" s="4">
        <f t="shared" si="37"/>
        <v>0.24723654950677007</v>
      </c>
      <c r="N463" s="4">
        <f t="shared" si="38"/>
        <v>9.0963076595733078E-2</v>
      </c>
      <c r="O463" s="13">
        <f t="shared" si="39"/>
        <v>0.45224657452044131</v>
      </c>
    </row>
    <row r="464" spans="2:15">
      <c r="B464" s="12">
        <v>4</v>
      </c>
      <c r="C464" s="4" t="s">
        <v>152</v>
      </c>
      <c r="D464" s="4" t="s">
        <v>149</v>
      </c>
      <c r="E464" s="4">
        <v>11</v>
      </c>
      <c r="F464" s="4">
        <v>2</v>
      </c>
      <c r="G464" s="4">
        <v>3</v>
      </c>
      <c r="H464" s="115">
        <v>0.26699999999999591</v>
      </c>
      <c r="I464" s="115">
        <v>0.21600000000000819</v>
      </c>
      <c r="J464" s="115">
        <v>0.36599999999998545</v>
      </c>
      <c r="K464" s="115">
        <v>0.84899999999998954</v>
      </c>
      <c r="L464" s="12">
        <f t="shared" si="36"/>
        <v>0.10277661488343993</v>
      </c>
      <c r="M464" s="4">
        <f t="shared" si="37"/>
        <v>8.4933574936719061E-2</v>
      </c>
      <c r="N464" s="4">
        <f t="shared" si="38"/>
        <v>0.13545069934550913</v>
      </c>
      <c r="O464" s="13">
        <f t="shared" si="39"/>
        <v>0.26693691115917062</v>
      </c>
    </row>
    <row r="465" spans="2:15">
      <c r="B465" s="12">
        <v>4</v>
      </c>
      <c r="C465" s="4" t="s">
        <v>152</v>
      </c>
      <c r="D465" s="4" t="s">
        <v>149</v>
      </c>
      <c r="E465" s="4">
        <v>11</v>
      </c>
      <c r="F465" s="4">
        <v>2</v>
      </c>
      <c r="G465" s="4">
        <v>4</v>
      </c>
      <c r="H465" s="115">
        <v>0.28299999999998704</v>
      </c>
      <c r="I465" s="115">
        <v>0.21699999999998454</v>
      </c>
      <c r="J465" s="115">
        <v>0.65000000000000568</v>
      </c>
      <c r="K465" s="115">
        <v>1.1499999999999773</v>
      </c>
      <c r="L465" s="12">
        <f t="shared" si="36"/>
        <v>0.10822665637492411</v>
      </c>
      <c r="M465" s="4">
        <f t="shared" si="37"/>
        <v>8.5290578230059477E-2</v>
      </c>
      <c r="N465" s="4">
        <f t="shared" si="38"/>
        <v>0.21748394421390779</v>
      </c>
      <c r="O465" s="13">
        <f t="shared" si="39"/>
        <v>0.33243845991560073</v>
      </c>
    </row>
    <row r="466" spans="2:15">
      <c r="B466" s="12">
        <v>4</v>
      </c>
      <c r="C466" s="4" t="s">
        <v>152</v>
      </c>
      <c r="D466" s="4" t="s">
        <v>149</v>
      </c>
      <c r="E466" s="4">
        <v>11</v>
      </c>
      <c r="F466" s="4">
        <v>2</v>
      </c>
      <c r="G466" s="4">
        <v>5</v>
      </c>
      <c r="H466" s="115"/>
      <c r="I466" s="115"/>
      <c r="J466" s="115"/>
      <c r="K466" s="115">
        <v>0</v>
      </c>
      <c r="L466" s="12">
        <f t="shared" si="36"/>
        <v>0</v>
      </c>
      <c r="M466" s="4">
        <f t="shared" si="37"/>
        <v>0</v>
      </c>
      <c r="N466" s="4">
        <f t="shared" si="38"/>
        <v>0</v>
      </c>
      <c r="O466" s="13">
        <f t="shared" si="39"/>
        <v>0</v>
      </c>
    </row>
    <row r="467" spans="2:15">
      <c r="B467" s="12">
        <v>4</v>
      </c>
      <c r="C467" s="4" t="s">
        <v>152</v>
      </c>
      <c r="D467" s="4" t="s">
        <v>149</v>
      </c>
      <c r="E467" s="4">
        <v>11</v>
      </c>
      <c r="F467" s="4">
        <v>2</v>
      </c>
      <c r="G467" s="4">
        <v>6</v>
      </c>
      <c r="H467" s="115"/>
      <c r="I467" s="115"/>
      <c r="J467" s="115"/>
      <c r="K467" s="115">
        <v>0</v>
      </c>
      <c r="L467" s="12">
        <f t="shared" si="36"/>
        <v>0</v>
      </c>
      <c r="M467" s="4">
        <f t="shared" si="37"/>
        <v>0</v>
      </c>
      <c r="N467" s="4">
        <f t="shared" si="38"/>
        <v>0</v>
      </c>
      <c r="O467" s="13">
        <f t="shared" si="39"/>
        <v>0</v>
      </c>
    </row>
    <row r="468" spans="2:15">
      <c r="B468" s="12">
        <v>4</v>
      </c>
      <c r="C468" s="4" t="s">
        <v>152</v>
      </c>
      <c r="D468" s="4" t="s">
        <v>149</v>
      </c>
      <c r="E468" s="4">
        <v>11</v>
      </c>
      <c r="F468" s="4">
        <v>2</v>
      </c>
      <c r="G468" s="4">
        <v>7</v>
      </c>
      <c r="H468" s="115"/>
      <c r="I468" s="115"/>
      <c r="J468" s="115"/>
      <c r="K468" s="115">
        <v>0</v>
      </c>
      <c r="L468" s="12">
        <f t="shared" si="36"/>
        <v>0</v>
      </c>
      <c r="M468" s="4">
        <f t="shared" si="37"/>
        <v>0</v>
      </c>
      <c r="N468" s="4">
        <f t="shared" si="38"/>
        <v>0</v>
      </c>
      <c r="O468" s="13">
        <f t="shared" si="39"/>
        <v>0</v>
      </c>
    </row>
    <row r="469" spans="2:15">
      <c r="B469" s="12">
        <v>4</v>
      </c>
      <c r="C469" s="4" t="s">
        <v>152</v>
      </c>
      <c r="D469" s="4" t="s">
        <v>149</v>
      </c>
      <c r="E469" s="4">
        <v>11</v>
      </c>
      <c r="F469" s="4">
        <v>2</v>
      </c>
      <c r="G469" s="4">
        <v>8</v>
      </c>
      <c r="H469" s="115"/>
      <c r="I469" s="115"/>
      <c r="J469" s="115"/>
      <c r="K469" s="115">
        <v>0</v>
      </c>
      <c r="L469" s="12">
        <f t="shared" si="36"/>
        <v>0</v>
      </c>
      <c r="M469" s="4">
        <f t="shared" si="37"/>
        <v>0</v>
      </c>
      <c r="N469" s="4">
        <f t="shared" si="38"/>
        <v>0</v>
      </c>
      <c r="O469" s="13">
        <f t="shared" si="39"/>
        <v>0</v>
      </c>
    </row>
    <row r="470" spans="2:15">
      <c r="B470" s="12">
        <v>4</v>
      </c>
      <c r="C470" s="4" t="s">
        <v>152</v>
      </c>
      <c r="D470" s="4" t="s">
        <v>149</v>
      </c>
      <c r="E470" s="4">
        <v>11</v>
      </c>
      <c r="F470" s="4">
        <v>2</v>
      </c>
      <c r="G470" s="4">
        <v>9</v>
      </c>
      <c r="H470" s="115"/>
      <c r="I470" s="115"/>
      <c r="J470" s="115"/>
      <c r="K470" s="115">
        <v>0</v>
      </c>
      <c r="L470" s="12">
        <f t="shared" si="36"/>
        <v>0</v>
      </c>
      <c r="M470" s="4">
        <f t="shared" si="37"/>
        <v>0</v>
      </c>
      <c r="N470" s="4">
        <f t="shared" si="38"/>
        <v>0</v>
      </c>
      <c r="O470" s="13">
        <f t="shared" si="39"/>
        <v>0</v>
      </c>
    </row>
    <row r="471" spans="2:15" ht="13.8" thickBot="1">
      <c r="B471" s="14">
        <v>4</v>
      </c>
      <c r="C471" s="15" t="s">
        <v>152</v>
      </c>
      <c r="D471" s="15" t="s">
        <v>149</v>
      </c>
      <c r="E471" s="15">
        <v>11</v>
      </c>
      <c r="F471" s="15">
        <v>2</v>
      </c>
      <c r="G471" s="15">
        <v>10</v>
      </c>
      <c r="H471" s="121"/>
      <c r="I471" s="121"/>
      <c r="J471" s="121"/>
      <c r="K471" s="121">
        <v>0</v>
      </c>
      <c r="L471" s="14">
        <f t="shared" si="36"/>
        <v>0</v>
      </c>
      <c r="M471" s="15">
        <f t="shared" si="37"/>
        <v>0</v>
      </c>
      <c r="N471" s="15">
        <f t="shared" si="38"/>
        <v>0</v>
      </c>
      <c r="O471" s="16">
        <f t="shared" si="39"/>
        <v>0</v>
      </c>
    </row>
    <row r="472" spans="2:15">
      <c r="B472" s="9">
        <v>4</v>
      </c>
      <c r="C472" s="10" t="s">
        <v>152</v>
      </c>
      <c r="D472" s="10" t="s">
        <v>150</v>
      </c>
      <c r="E472" s="93">
        <v>12</v>
      </c>
      <c r="F472" s="93">
        <v>6</v>
      </c>
      <c r="G472" s="10">
        <v>1</v>
      </c>
      <c r="H472" s="120">
        <v>4.2000000000001592</v>
      </c>
      <c r="I472" s="120">
        <v>1.4170000000001437</v>
      </c>
      <c r="J472" s="120">
        <v>2.2960000000001628</v>
      </c>
      <c r="K472" s="120">
        <v>7.9130000000004657</v>
      </c>
      <c r="L472" s="9">
        <f t="shared" si="36"/>
        <v>0.71600334363481244</v>
      </c>
      <c r="M472" s="10">
        <f t="shared" si="37"/>
        <v>0.38327665040767617</v>
      </c>
      <c r="N472" s="10">
        <f t="shared" si="38"/>
        <v>0.5179872030250996</v>
      </c>
      <c r="O472" s="11">
        <f t="shared" si="39"/>
        <v>0.95002390652334923</v>
      </c>
    </row>
    <row r="473" spans="2:15">
      <c r="B473" s="12">
        <v>4</v>
      </c>
      <c r="C473" s="4" t="s">
        <v>152</v>
      </c>
      <c r="D473" s="4" t="s">
        <v>150</v>
      </c>
      <c r="E473" s="4">
        <v>12</v>
      </c>
      <c r="F473" s="4">
        <v>6</v>
      </c>
      <c r="G473" s="4">
        <v>2</v>
      </c>
      <c r="H473" s="115"/>
      <c r="I473" s="115"/>
      <c r="J473" s="115">
        <v>0.10000000000002274</v>
      </c>
      <c r="K473" s="115">
        <v>0.10000000000002274</v>
      </c>
      <c r="L473" s="12">
        <f t="shared" si="36"/>
        <v>0</v>
      </c>
      <c r="M473" s="4">
        <f t="shared" si="37"/>
        <v>0</v>
      </c>
      <c r="N473" s="4">
        <f t="shared" si="38"/>
        <v>4.1392685158234015E-2</v>
      </c>
      <c r="O473" s="13">
        <f t="shared" si="39"/>
        <v>4.1392685158234015E-2</v>
      </c>
    </row>
    <row r="474" spans="2:15">
      <c r="B474" s="12">
        <v>4</v>
      </c>
      <c r="C474" s="4" t="s">
        <v>152</v>
      </c>
      <c r="D474" s="4" t="s">
        <v>150</v>
      </c>
      <c r="E474" s="4">
        <v>12</v>
      </c>
      <c r="F474" s="4">
        <v>6</v>
      </c>
      <c r="G474" s="4">
        <v>3</v>
      </c>
      <c r="H474" s="115">
        <v>0.29999999999995453</v>
      </c>
      <c r="I474" s="115">
        <v>0.30100000000004457</v>
      </c>
      <c r="J474" s="115"/>
      <c r="K474" s="115">
        <v>0.60099999999999909</v>
      </c>
      <c r="L474" s="12">
        <f t="shared" si="36"/>
        <v>0.11394335230682158</v>
      </c>
      <c r="M474" s="4">
        <f t="shared" si="37"/>
        <v>0.11427729656160113</v>
      </c>
      <c r="N474" s="4">
        <f t="shared" si="38"/>
        <v>0</v>
      </c>
      <c r="O474" s="13">
        <f t="shared" si="39"/>
        <v>0.20439133191929948</v>
      </c>
    </row>
    <row r="475" spans="2:15">
      <c r="B475" s="12">
        <v>4</v>
      </c>
      <c r="C475" s="4" t="s">
        <v>152</v>
      </c>
      <c r="D475" s="4" t="s">
        <v>150</v>
      </c>
      <c r="E475" s="4">
        <v>12</v>
      </c>
      <c r="F475" s="4">
        <v>6</v>
      </c>
      <c r="G475" s="4">
        <v>4</v>
      </c>
      <c r="H475" s="115"/>
      <c r="I475" s="115"/>
      <c r="J475" s="115"/>
      <c r="K475" s="115">
        <v>0</v>
      </c>
      <c r="L475" s="12">
        <f t="shared" si="36"/>
        <v>0</v>
      </c>
      <c r="M475" s="4">
        <f t="shared" si="37"/>
        <v>0</v>
      </c>
      <c r="N475" s="4">
        <f t="shared" si="38"/>
        <v>0</v>
      </c>
      <c r="O475" s="13">
        <f t="shared" si="39"/>
        <v>0</v>
      </c>
    </row>
    <row r="476" spans="2:15">
      <c r="B476" s="12">
        <v>4</v>
      </c>
      <c r="C476" s="4" t="s">
        <v>152</v>
      </c>
      <c r="D476" s="4" t="s">
        <v>150</v>
      </c>
      <c r="E476" s="4">
        <v>12</v>
      </c>
      <c r="F476" s="4">
        <v>6</v>
      </c>
      <c r="G476" s="4">
        <v>5</v>
      </c>
      <c r="H476" s="115"/>
      <c r="I476" s="115"/>
      <c r="J476" s="115"/>
      <c r="K476" s="115">
        <v>0</v>
      </c>
      <c r="L476" s="12">
        <f t="shared" si="36"/>
        <v>0</v>
      </c>
      <c r="M476" s="4">
        <f t="shared" si="37"/>
        <v>0</v>
      </c>
      <c r="N476" s="4">
        <f t="shared" si="38"/>
        <v>0</v>
      </c>
      <c r="O476" s="13">
        <f t="shared" si="39"/>
        <v>0</v>
      </c>
    </row>
    <row r="477" spans="2:15">
      <c r="B477" s="12">
        <v>4</v>
      </c>
      <c r="C477" s="4" t="s">
        <v>152</v>
      </c>
      <c r="D477" s="4" t="s">
        <v>150</v>
      </c>
      <c r="E477" s="4">
        <v>12</v>
      </c>
      <c r="F477" s="4">
        <v>6</v>
      </c>
      <c r="G477" s="4">
        <v>6</v>
      </c>
      <c r="H477" s="115"/>
      <c r="I477" s="115"/>
      <c r="J477" s="115"/>
      <c r="K477" s="115">
        <v>0</v>
      </c>
      <c r="L477" s="12">
        <f t="shared" si="36"/>
        <v>0</v>
      </c>
      <c r="M477" s="4">
        <f t="shared" si="37"/>
        <v>0</v>
      </c>
      <c r="N477" s="4">
        <f t="shared" si="38"/>
        <v>0</v>
      </c>
      <c r="O477" s="13">
        <f t="shared" si="39"/>
        <v>0</v>
      </c>
    </row>
    <row r="478" spans="2:15">
      <c r="B478" s="12">
        <v>4</v>
      </c>
      <c r="C478" s="4" t="s">
        <v>152</v>
      </c>
      <c r="D478" s="4" t="s">
        <v>150</v>
      </c>
      <c r="E478" s="4">
        <v>12</v>
      </c>
      <c r="F478" s="4">
        <v>6</v>
      </c>
      <c r="G478" s="4">
        <v>7</v>
      </c>
      <c r="H478" s="115"/>
      <c r="I478" s="115"/>
      <c r="J478" s="115"/>
      <c r="K478" s="115">
        <v>0</v>
      </c>
      <c r="L478" s="12">
        <f t="shared" si="36"/>
        <v>0</v>
      </c>
      <c r="M478" s="4">
        <f t="shared" si="37"/>
        <v>0</v>
      </c>
      <c r="N478" s="4">
        <f t="shared" si="38"/>
        <v>0</v>
      </c>
      <c r="O478" s="13">
        <f t="shared" si="39"/>
        <v>0</v>
      </c>
    </row>
    <row r="479" spans="2:15">
      <c r="B479" s="12">
        <v>4</v>
      </c>
      <c r="C479" s="4" t="s">
        <v>152</v>
      </c>
      <c r="D479" s="4" t="s">
        <v>150</v>
      </c>
      <c r="E479" s="4">
        <v>12</v>
      </c>
      <c r="F479" s="4">
        <v>6</v>
      </c>
      <c r="G479" s="4">
        <v>8</v>
      </c>
      <c r="H479" s="115"/>
      <c r="I479" s="115"/>
      <c r="J479" s="115"/>
      <c r="K479" s="115">
        <v>0</v>
      </c>
      <c r="L479" s="12">
        <f t="shared" si="36"/>
        <v>0</v>
      </c>
      <c r="M479" s="4">
        <f t="shared" si="37"/>
        <v>0</v>
      </c>
      <c r="N479" s="4">
        <f t="shared" si="38"/>
        <v>0</v>
      </c>
      <c r="O479" s="13">
        <f t="shared" si="39"/>
        <v>0</v>
      </c>
    </row>
    <row r="480" spans="2:15">
      <c r="B480" s="12">
        <v>4</v>
      </c>
      <c r="C480" s="4" t="s">
        <v>152</v>
      </c>
      <c r="D480" s="4" t="s">
        <v>150</v>
      </c>
      <c r="E480" s="4">
        <v>12</v>
      </c>
      <c r="F480" s="4">
        <v>6</v>
      </c>
      <c r="G480" s="4">
        <v>9</v>
      </c>
      <c r="H480" s="115"/>
      <c r="I480" s="115"/>
      <c r="J480" s="115"/>
      <c r="K480" s="115">
        <v>0</v>
      </c>
      <c r="L480" s="12">
        <f t="shared" si="36"/>
        <v>0</v>
      </c>
      <c r="M480" s="4">
        <f t="shared" si="37"/>
        <v>0</v>
      </c>
      <c r="N480" s="4">
        <f t="shared" si="38"/>
        <v>0</v>
      </c>
      <c r="O480" s="13">
        <f t="shared" si="39"/>
        <v>0</v>
      </c>
    </row>
    <row r="481" spans="2:15" ht="13.8" thickBot="1">
      <c r="B481" s="14">
        <v>4</v>
      </c>
      <c r="C481" s="15" t="s">
        <v>152</v>
      </c>
      <c r="D481" s="15" t="s">
        <v>150</v>
      </c>
      <c r="E481" s="15">
        <v>12</v>
      </c>
      <c r="F481" s="15">
        <v>6</v>
      </c>
      <c r="G481" s="15">
        <v>10</v>
      </c>
      <c r="H481" s="121"/>
      <c r="I481" s="121"/>
      <c r="J481" s="121"/>
      <c r="K481" s="121">
        <v>0</v>
      </c>
      <c r="L481" s="14">
        <f t="shared" si="36"/>
        <v>0</v>
      </c>
      <c r="M481" s="15">
        <f t="shared" si="37"/>
        <v>0</v>
      </c>
      <c r="N481" s="15">
        <f t="shared" si="38"/>
        <v>0</v>
      </c>
      <c r="O481" s="16">
        <f t="shared" si="39"/>
        <v>0</v>
      </c>
    </row>
    <row r="482" spans="2:15">
      <c r="B482" s="9">
        <v>5</v>
      </c>
      <c r="C482" s="10" t="s">
        <v>151</v>
      </c>
      <c r="D482" s="10" t="s">
        <v>154</v>
      </c>
      <c r="E482" s="93">
        <v>1</v>
      </c>
      <c r="F482" s="93">
        <v>7</v>
      </c>
      <c r="G482" s="10">
        <v>1</v>
      </c>
      <c r="H482" s="120">
        <v>3.2990000000000919</v>
      </c>
      <c r="I482" s="120">
        <v>0.51499999999998636</v>
      </c>
      <c r="J482" s="120">
        <v>1.7839999999999918</v>
      </c>
      <c r="K482" s="120">
        <v>5.59800000000007</v>
      </c>
      <c r="L482" s="9">
        <f t="shared" si="36"/>
        <v>0.63336744511701615</v>
      </c>
      <c r="M482" s="10">
        <f t="shared" si="37"/>
        <v>0.1804126328383199</v>
      </c>
      <c r="N482" s="10">
        <f t="shared" si="38"/>
        <v>0.44466923093852323</v>
      </c>
      <c r="O482" s="11">
        <f t="shared" si="39"/>
        <v>0.81941231120932967</v>
      </c>
    </row>
    <row r="483" spans="2:15">
      <c r="B483" s="12">
        <v>5</v>
      </c>
      <c r="C483" s="4" t="s">
        <v>151</v>
      </c>
      <c r="D483" s="4" t="s">
        <v>154</v>
      </c>
      <c r="E483" s="4">
        <v>1</v>
      </c>
      <c r="F483" s="4">
        <v>7</v>
      </c>
      <c r="G483" s="4">
        <v>2</v>
      </c>
      <c r="H483" s="115">
        <v>0.29899999999997817</v>
      </c>
      <c r="I483" s="115">
        <v>0.10000000000002274</v>
      </c>
      <c r="J483" s="115"/>
      <c r="K483" s="115">
        <v>0.39900000000000091</v>
      </c>
      <c r="L483" s="12">
        <f t="shared" si="36"/>
        <v>0.11360915107302058</v>
      </c>
      <c r="M483" s="4">
        <f t="shared" si="37"/>
        <v>4.1392685158234015E-2</v>
      </c>
      <c r="N483" s="4">
        <f t="shared" si="38"/>
        <v>0</v>
      </c>
      <c r="O483" s="13">
        <f t="shared" si="39"/>
        <v>0.1458177144918279</v>
      </c>
    </row>
    <row r="484" spans="2:15">
      <c r="B484" s="12">
        <v>5</v>
      </c>
      <c r="C484" s="4" t="s">
        <v>151</v>
      </c>
      <c r="D484" s="4" t="s">
        <v>154</v>
      </c>
      <c r="E484" s="4">
        <v>1</v>
      </c>
      <c r="F484" s="4">
        <v>7</v>
      </c>
      <c r="G484" s="4">
        <v>3</v>
      </c>
      <c r="H484" s="115"/>
      <c r="I484" s="115">
        <v>0.1330000000000382</v>
      </c>
      <c r="J484" s="115"/>
      <c r="K484" s="115">
        <v>0.1330000000000382</v>
      </c>
      <c r="L484" s="12">
        <f t="shared" si="36"/>
        <v>0</v>
      </c>
      <c r="M484" s="4">
        <f t="shared" si="37"/>
        <v>5.422990986341189E-2</v>
      </c>
      <c r="N484" s="4">
        <f t="shared" si="38"/>
        <v>0</v>
      </c>
      <c r="O484" s="13">
        <f t="shared" si="39"/>
        <v>5.422990986341189E-2</v>
      </c>
    </row>
    <row r="485" spans="2:15">
      <c r="B485" s="12">
        <v>5</v>
      </c>
      <c r="C485" s="4" t="s">
        <v>151</v>
      </c>
      <c r="D485" s="4" t="s">
        <v>154</v>
      </c>
      <c r="E485" s="4">
        <v>1</v>
      </c>
      <c r="F485" s="4">
        <v>7</v>
      </c>
      <c r="G485" s="4">
        <v>4</v>
      </c>
      <c r="H485" s="115"/>
      <c r="I485" s="115"/>
      <c r="J485" s="115"/>
      <c r="K485" s="115">
        <v>0</v>
      </c>
      <c r="L485" s="12">
        <f t="shared" si="36"/>
        <v>0</v>
      </c>
      <c r="M485" s="4">
        <f t="shared" si="37"/>
        <v>0</v>
      </c>
      <c r="N485" s="4">
        <f t="shared" si="38"/>
        <v>0</v>
      </c>
      <c r="O485" s="13">
        <f t="shared" si="39"/>
        <v>0</v>
      </c>
    </row>
    <row r="486" spans="2:15">
      <c r="B486" s="12">
        <v>5</v>
      </c>
      <c r="C486" s="4" t="s">
        <v>151</v>
      </c>
      <c r="D486" s="4" t="s">
        <v>154</v>
      </c>
      <c r="E486" s="4">
        <v>1</v>
      </c>
      <c r="F486" s="4">
        <v>7</v>
      </c>
      <c r="G486" s="4">
        <v>5</v>
      </c>
      <c r="H486" s="115"/>
      <c r="I486" s="115">
        <v>0.33400000000000318</v>
      </c>
      <c r="J486" s="115"/>
      <c r="K486" s="115">
        <v>0.33400000000000318</v>
      </c>
      <c r="L486" s="12">
        <f t="shared" si="36"/>
        <v>0</v>
      </c>
      <c r="M486" s="4">
        <f t="shared" si="37"/>
        <v>0.1251558295805312</v>
      </c>
      <c r="N486" s="4">
        <f t="shared" si="38"/>
        <v>0</v>
      </c>
      <c r="O486" s="13">
        <f t="shared" si="39"/>
        <v>0.1251558295805312</v>
      </c>
    </row>
    <row r="487" spans="2:15">
      <c r="B487" s="12">
        <v>5</v>
      </c>
      <c r="C487" s="4" t="s">
        <v>151</v>
      </c>
      <c r="D487" s="4" t="s">
        <v>154</v>
      </c>
      <c r="E487" s="4">
        <v>1</v>
      </c>
      <c r="F487" s="4">
        <v>7</v>
      </c>
      <c r="G487" s="4">
        <v>6</v>
      </c>
      <c r="H487" s="115"/>
      <c r="I487" s="115"/>
      <c r="J487" s="115"/>
      <c r="K487" s="115">
        <v>0</v>
      </c>
      <c r="L487" s="12">
        <f t="shared" ref="L487:L550" si="40">LOG10(H487+1)</f>
        <v>0</v>
      </c>
      <c r="M487" s="4">
        <f t="shared" ref="M487:M550" si="41">LOG10(I487+1)</f>
        <v>0</v>
      </c>
      <c r="N487" s="4">
        <f t="shared" ref="N487:N550" si="42">LOG10(J487+1)</f>
        <v>0</v>
      </c>
      <c r="O487" s="13">
        <f t="shared" ref="O487:O550" si="43">LOG10(K487+1)</f>
        <v>0</v>
      </c>
    </row>
    <row r="488" spans="2:15">
      <c r="B488" s="12">
        <v>5</v>
      </c>
      <c r="C488" s="4" t="s">
        <v>151</v>
      </c>
      <c r="D488" s="4" t="s">
        <v>154</v>
      </c>
      <c r="E488" s="4">
        <v>1</v>
      </c>
      <c r="F488" s="4">
        <v>7</v>
      </c>
      <c r="G488" s="4">
        <v>7</v>
      </c>
      <c r="H488" s="115"/>
      <c r="I488" s="115"/>
      <c r="J488" s="115"/>
      <c r="K488" s="115">
        <v>0</v>
      </c>
      <c r="L488" s="12">
        <f t="shared" si="40"/>
        <v>0</v>
      </c>
      <c r="M488" s="4">
        <f t="shared" si="41"/>
        <v>0</v>
      </c>
      <c r="N488" s="4">
        <f t="shared" si="42"/>
        <v>0</v>
      </c>
      <c r="O488" s="13">
        <f t="shared" si="43"/>
        <v>0</v>
      </c>
    </row>
    <row r="489" spans="2:15">
      <c r="B489" s="12">
        <v>5</v>
      </c>
      <c r="C489" s="4" t="s">
        <v>151</v>
      </c>
      <c r="D489" s="4" t="s">
        <v>154</v>
      </c>
      <c r="E489" s="4">
        <v>1</v>
      </c>
      <c r="F489" s="4">
        <v>7</v>
      </c>
      <c r="G489" s="4">
        <v>8</v>
      </c>
      <c r="H489" s="115"/>
      <c r="I489" s="115"/>
      <c r="J489" s="115"/>
      <c r="K489" s="115">
        <v>0</v>
      </c>
      <c r="L489" s="12">
        <f t="shared" si="40"/>
        <v>0</v>
      </c>
      <c r="M489" s="4">
        <f t="shared" si="41"/>
        <v>0</v>
      </c>
      <c r="N489" s="4">
        <f t="shared" si="42"/>
        <v>0</v>
      </c>
      <c r="O489" s="13">
        <f t="shared" si="43"/>
        <v>0</v>
      </c>
    </row>
    <row r="490" spans="2:15">
      <c r="B490" s="12">
        <v>5</v>
      </c>
      <c r="C490" s="4" t="s">
        <v>151</v>
      </c>
      <c r="D490" s="4" t="s">
        <v>154</v>
      </c>
      <c r="E490" s="4">
        <v>1</v>
      </c>
      <c r="F490" s="4">
        <v>7</v>
      </c>
      <c r="G490" s="4">
        <v>9</v>
      </c>
      <c r="H490" s="115"/>
      <c r="I490" s="115"/>
      <c r="J490" s="115"/>
      <c r="K490" s="115">
        <v>0</v>
      </c>
      <c r="L490" s="12">
        <f t="shared" si="40"/>
        <v>0</v>
      </c>
      <c r="M490" s="4">
        <f t="shared" si="41"/>
        <v>0</v>
      </c>
      <c r="N490" s="4">
        <f t="shared" si="42"/>
        <v>0</v>
      </c>
      <c r="O490" s="13">
        <f t="shared" si="43"/>
        <v>0</v>
      </c>
    </row>
    <row r="491" spans="2:15" ht="13.8" thickBot="1">
      <c r="B491" s="14">
        <v>5</v>
      </c>
      <c r="C491" s="15" t="s">
        <v>151</v>
      </c>
      <c r="D491" s="15" t="s">
        <v>154</v>
      </c>
      <c r="E491" s="15">
        <v>1</v>
      </c>
      <c r="F491" s="15">
        <v>7</v>
      </c>
      <c r="G491" s="15">
        <v>10</v>
      </c>
      <c r="H491" s="121"/>
      <c r="I491" s="121"/>
      <c r="J491" s="121"/>
      <c r="K491" s="121">
        <v>0</v>
      </c>
      <c r="L491" s="14">
        <f t="shared" si="40"/>
        <v>0</v>
      </c>
      <c r="M491" s="15">
        <f t="shared" si="41"/>
        <v>0</v>
      </c>
      <c r="N491" s="15">
        <f t="shared" si="42"/>
        <v>0</v>
      </c>
      <c r="O491" s="16">
        <f t="shared" si="43"/>
        <v>0</v>
      </c>
    </row>
    <row r="492" spans="2:15">
      <c r="B492" s="9">
        <v>5</v>
      </c>
      <c r="C492" s="10" t="s">
        <v>151</v>
      </c>
      <c r="D492" s="10" t="s">
        <v>149</v>
      </c>
      <c r="E492" s="93">
        <v>2</v>
      </c>
      <c r="F492" s="93">
        <v>11</v>
      </c>
      <c r="G492" s="10">
        <v>1</v>
      </c>
      <c r="H492" s="120">
        <v>8.0680000000000973</v>
      </c>
      <c r="I492" s="120">
        <v>1.7160000000000082</v>
      </c>
      <c r="J492" s="120">
        <v>3.182999999999879</v>
      </c>
      <c r="K492" s="120">
        <v>12.966999999999985</v>
      </c>
      <c r="L492" s="9">
        <f t="shared" si="40"/>
        <v>0.95751151145448443</v>
      </c>
      <c r="M492" s="10">
        <f t="shared" si="41"/>
        <v>0.43392976560846536</v>
      </c>
      <c r="N492" s="10">
        <f t="shared" si="42"/>
        <v>0.62148786458061767</v>
      </c>
      <c r="O492" s="11">
        <f t="shared" si="43"/>
        <v>1.1451031331463812</v>
      </c>
    </row>
    <row r="493" spans="2:15">
      <c r="B493" s="12">
        <v>5</v>
      </c>
      <c r="C493" s="4" t="s">
        <v>151</v>
      </c>
      <c r="D493" s="4" t="s">
        <v>149</v>
      </c>
      <c r="E493" s="4">
        <v>2</v>
      </c>
      <c r="F493" s="4">
        <v>11</v>
      </c>
      <c r="G493" s="4">
        <v>2</v>
      </c>
      <c r="H493" s="115">
        <v>1.5169999999998254</v>
      </c>
      <c r="I493" s="115">
        <v>1.6649999999999636</v>
      </c>
      <c r="J493" s="115">
        <v>1.8990000000001146</v>
      </c>
      <c r="K493" s="115">
        <v>5.0809999999999036</v>
      </c>
      <c r="L493" s="12">
        <f t="shared" si="40"/>
        <v>0.40088321554833256</v>
      </c>
      <c r="M493" s="4">
        <f t="shared" si="41"/>
        <v>0.42569721336258515</v>
      </c>
      <c r="N493" s="4">
        <f t="shared" si="42"/>
        <v>0.46224821535501459</v>
      </c>
      <c r="O493" s="13">
        <f t="shared" si="43"/>
        <v>0.78397500341266424</v>
      </c>
    </row>
    <row r="494" spans="2:15">
      <c r="B494" s="12">
        <v>5</v>
      </c>
      <c r="C494" s="4" t="s">
        <v>151</v>
      </c>
      <c r="D494" s="4" t="s">
        <v>149</v>
      </c>
      <c r="E494" s="4">
        <v>2</v>
      </c>
      <c r="F494" s="4">
        <v>11</v>
      </c>
      <c r="G494" s="4">
        <v>3</v>
      </c>
      <c r="H494" s="115">
        <v>1.5339999999999918</v>
      </c>
      <c r="I494" s="115"/>
      <c r="J494" s="115"/>
      <c r="K494" s="115">
        <v>1.5339999999999918</v>
      </c>
      <c r="L494" s="12">
        <f t="shared" si="40"/>
        <v>0.40380661054742112</v>
      </c>
      <c r="M494" s="4">
        <f t="shared" si="41"/>
        <v>0</v>
      </c>
      <c r="N494" s="4">
        <f t="shared" si="42"/>
        <v>0</v>
      </c>
      <c r="O494" s="13">
        <f t="shared" si="43"/>
        <v>0.40380661054742112</v>
      </c>
    </row>
    <row r="495" spans="2:15">
      <c r="B495" s="12">
        <v>5</v>
      </c>
      <c r="C495" s="4" t="s">
        <v>151</v>
      </c>
      <c r="D495" s="4" t="s">
        <v>149</v>
      </c>
      <c r="E495" s="4">
        <v>2</v>
      </c>
      <c r="F495" s="4">
        <v>11</v>
      </c>
      <c r="G495" s="4">
        <v>4</v>
      </c>
      <c r="H495" s="115"/>
      <c r="I495" s="115">
        <v>1.1830000000001064</v>
      </c>
      <c r="J495" s="115">
        <v>1.2009999999999081</v>
      </c>
      <c r="K495" s="115">
        <v>2.3840000000000146</v>
      </c>
      <c r="L495" s="12">
        <f t="shared" si="40"/>
        <v>0</v>
      </c>
      <c r="M495" s="4">
        <f t="shared" si="41"/>
        <v>0.33905373570916036</v>
      </c>
      <c r="N495" s="4">
        <f t="shared" si="42"/>
        <v>0.34262004255332984</v>
      </c>
      <c r="O495" s="13">
        <f t="shared" si="43"/>
        <v>0.52943035436698782</v>
      </c>
    </row>
    <row r="496" spans="2:15">
      <c r="B496" s="12">
        <v>5</v>
      </c>
      <c r="C496" s="4" t="s">
        <v>151</v>
      </c>
      <c r="D496" s="4" t="s">
        <v>149</v>
      </c>
      <c r="E496" s="4">
        <v>2</v>
      </c>
      <c r="F496" s="4">
        <v>11</v>
      </c>
      <c r="G496" s="4">
        <v>5</v>
      </c>
      <c r="H496" s="115">
        <v>0.33300000000008367</v>
      </c>
      <c r="I496" s="115"/>
      <c r="J496" s="115">
        <v>0.25000000000011369</v>
      </c>
      <c r="K496" s="115">
        <v>0.58300000000019736</v>
      </c>
      <c r="L496" s="12">
        <f t="shared" si="40"/>
        <v>0.12483014941388647</v>
      </c>
      <c r="M496" s="4">
        <f t="shared" si="41"/>
        <v>0</v>
      </c>
      <c r="N496" s="4">
        <f t="shared" si="42"/>
        <v>9.6910013008095916E-2</v>
      </c>
      <c r="O496" s="13">
        <f t="shared" si="43"/>
        <v>0.19948091486241007</v>
      </c>
    </row>
    <row r="497" spans="2:15">
      <c r="B497" s="12">
        <v>5</v>
      </c>
      <c r="C497" s="4" t="s">
        <v>151</v>
      </c>
      <c r="D497" s="4" t="s">
        <v>149</v>
      </c>
      <c r="E497" s="4">
        <v>2</v>
      </c>
      <c r="F497" s="4">
        <v>11</v>
      </c>
      <c r="G497" s="4">
        <v>6</v>
      </c>
      <c r="H497" s="115">
        <v>0.1330000000000382</v>
      </c>
      <c r="I497" s="115"/>
      <c r="J497" s="115"/>
      <c r="K497" s="115">
        <v>0.1330000000000382</v>
      </c>
      <c r="L497" s="12">
        <f t="shared" si="40"/>
        <v>5.422990986341189E-2</v>
      </c>
      <c r="M497" s="4">
        <f t="shared" si="41"/>
        <v>0</v>
      </c>
      <c r="N497" s="4">
        <f t="shared" si="42"/>
        <v>0</v>
      </c>
      <c r="O497" s="13">
        <f t="shared" si="43"/>
        <v>5.422990986341189E-2</v>
      </c>
    </row>
    <row r="498" spans="2:15">
      <c r="B498" s="12">
        <v>5</v>
      </c>
      <c r="C498" s="4" t="s">
        <v>151</v>
      </c>
      <c r="D498" s="4" t="s">
        <v>149</v>
      </c>
      <c r="E498" s="4">
        <v>2</v>
      </c>
      <c r="F498" s="4">
        <v>11</v>
      </c>
      <c r="G498" s="4">
        <v>7</v>
      </c>
      <c r="H498" s="115">
        <v>0.14999999999997726</v>
      </c>
      <c r="I498" s="115">
        <v>0.11700000000007549</v>
      </c>
      <c r="J498" s="115"/>
      <c r="K498" s="115">
        <v>0.26700000000005275</v>
      </c>
      <c r="L498" s="12">
        <f t="shared" si="40"/>
        <v>6.0697840353603094E-2</v>
      </c>
      <c r="M498" s="4">
        <f t="shared" si="41"/>
        <v>4.8053173115638406E-2</v>
      </c>
      <c r="N498" s="4">
        <f t="shared" si="42"/>
        <v>0</v>
      </c>
      <c r="O498" s="13">
        <f t="shared" si="43"/>
        <v>0.10277661488345942</v>
      </c>
    </row>
    <row r="499" spans="2:15">
      <c r="B499" s="12">
        <v>5</v>
      </c>
      <c r="C499" s="4" t="s">
        <v>151</v>
      </c>
      <c r="D499" s="4" t="s">
        <v>149</v>
      </c>
      <c r="E499" s="4">
        <v>2</v>
      </c>
      <c r="F499" s="4">
        <v>11</v>
      </c>
      <c r="G499" s="4">
        <v>8</v>
      </c>
      <c r="H499" s="115"/>
      <c r="I499" s="115"/>
      <c r="J499" s="115"/>
      <c r="K499" s="115">
        <v>0</v>
      </c>
      <c r="L499" s="12">
        <f t="shared" si="40"/>
        <v>0</v>
      </c>
      <c r="M499" s="4">
        <f t="shared" si="41"/>
        <v>0</v>
      </c>
      <c r="N499" s="4">
        <f t="shared" si="42"/>
        <v>0</v>
      </c>
      <c r="O499" s="13">
        <f t="shared" si="43"/>
        <v>0</v>
      </c>
    </row>
    <row r="500" spans="2:15">
      <c r="B500" s="12">
        <v>5</v>
      </c>
      <c r="C500" s="4" t="s">
        <v>151</v>
      </c>
      <c r="D500" s="4" t="s">
        <v>149</v>
      </c>
      <c r="E500" s="4">
        <v>2</v>
      </c>
      <c r="F500" s="4">
        <v>11</v>
      </c>
      <c r="G500" s="4">
        <v>9</v>
      </c>
      <c r="H500" s="115"/>
      <c r="I500" s="115"/>
      <c r="J500" s="115"/>
      <c r="K500" s="115">
        <v>0</v>
      </c>
      <c r="L500" s="12">
        <f t="shared" si="40"/>
        <v>0</v>
      </c>
      <c r="M500" s="4">
        <f t="shared" si="41"/>
        <v>0</v>
      </c>
      <c r="N500" s="4">
        <f t="shared" si="42"/>
        <v>0</v>
      </c>
      <c r="O500" s="13">
        <f t="shared" si="43"/>
        <v>0</v>
      </c>
    </row>
    <row r="501" spans="2:15" ht="13.8" thickBot="1">
      <c r="B501" s="14">
        <v>5</v>
      </c>
      <c r="C501" s="15" t="s">
        <v>151</v>
      </c>
      <c r="D501" s="15" t="s">
        <v>149</v>
      </c>
      <c r="E501" s="15">
        <v>2</v>
      </c>
      <c r="F501" s="15">
        <v>11</v>
      </c>
      <c r="G501" s="15">
        <v>10</v>
      </c>
      <c r="H501" s="121"/>
      <c r="I501" s="121"/>
      <c r="J501" s="121"/>
      <c r="K501" s="121">
        <v>0</v>
      </c>
      <c r="L501" s="14">
        <f t="shared" si="40"/>
        <v>0</v>
      </c>
      <c r="M501" s="15">
        <f t="shared" si="41"/>
        <v>0</v>
      </c>
      <c r="N501" s="15">
        <f t="shared" si="42"/>
        <v>0</v>
      </c>
      <c r="O501" s="16">
        <f t="shared" si="43"/>
        <v>0</v>
      </c>
    </row>
    <row r="502" spans="2:15">
      <c r="B502" s="9">
        <v>5</v>
      </c>
      <c r="C502" s="10" t="s">
        <v>151</v>
      </c>
      <c r="D502" s="10" t="s">
        <v>150</v>
      </c>
      <c r="E502" s="93">
        <v>3</v>
      </c>
      <c r="F502" s="93">
        <v>1</v>
      </c>
      <c r="G502" s="10">
        <v>1</v>
      </c>
      <c r="H502" s="120">
        <v>0.8329999999999913</v>
      </c>
      <c r="I502" s="120">
        <v>0.53199999999999648</v>
      </c>
      <c r="J502" s="120">
        <v>3.9709999999999823</v>
      </c>
      <c r="K502" s="120">
        <v>5.3359999999999701</v>
      </c>
      <c r="L502" s="9">
        <f t="shared" si="40"/>
        <v>0.26316246496221463</v>
      </c>
      <c r="M502" s="10">
        <f t="shared" si="41"/>
        <v>0.18525876529658414</v>
      </c>
      <c r="N502" s="10">
        <f t="shared" si="42"/>
        <v>0.69644376313899758</v>
      </c>
      <c r="O502" s="11">
        <f t="shared" si="43"/>
        <v>0.80181516858143509</v>
      </c>
    </row>
    <row r="503" spans="2:15">
      <c r="B503" s="12">
        <v>5</v>
      </c>
      <c r="C503" s="4" t="s">
        <v>151</v>
      </c>
      <c r="D503" s="4" t="s">
        <v>150</v>
      </c>
      <c r="E503" s="4">
        <v>3</v>
      </c>
      <c r="F503" s="4">
        <v>1</v>
      </c>
      <c r="G503" s="4">
        <v>2</v>
      </c>
      <c r="H503" s="115">
        <v>0.81599999999998829</v>
      </c>
      <c r="I503" s="115"/>
      <c r="J503" s="115">
        <v>2.3810000000000429</v>
      </c>
      <c r="K503" s="115">
        <v>3.1970000000000312</v>
      </c>
      <c r="L503" s="12">
        <f t="shared" si="40"/>
        <v>0.2591158441850635</v>
      </c>
      <c r="M503" s="4">
        <f t="shared" si="41"/>
        <v>0</v>
      </c>
      <c r="N503" s="4">
        <f t="shared" si="42"/>
        <v>0.52904517076577451</v>
      </c>
      <c r="O503" s="13">
        <f t="shared" si="43"/>
        <v>0.62293896921149328</v>
      </c>
    </row>
    <row r="504" spans="2:15">
      <c r="B504" s="12">
        <v>5</v>
      </c>
      <c r="C504" s="4" t="s">
        <v>151</v>
      </c>
      <c r="D504" s="4" t="s">
        <v>150</v>
      </c>
      <c r="E504" s="4">
        <v>3</v>
      </c>
      <c r="F504" s="4">
        <v>1</v>
      </c>
      <c r="G504" s="4">
        <v>3</v>
      </c>
      <c r="H504" s="115">
        <v>0.38400000000000034</v>
      </c>
      <c r="I504" s="115"/>
      <c r="J504" s="115"/>
      <c r="K504" s="115">
        <v>0.38400000000000034</v>
      </c>
      <c r="L504" s="12">
        <f t="shared" si="40"/>
        <v>0.1411360901207391</v>
      </c>
      <c r="M504" s="4">
        <f t="shared" si="41"/>
        <v>0</v>
      </c>
      <c r="N504" s="4">
        <f t="shared" si="42"/>
        <v>0</v>
      </c>
      <c r="O504" s="13">
        <f t="shared" si="43"/>
        <v>0.1411360901207391</v>
      </c>
    </row>
    <row r="505" spans="2:15">
      <c r="B505" s="12">
        <v>5</v>
      </c>
      <c r="C505" s="4" t="s">
        <v>151</v>
      </c>
      <c r="D505" s="4" t="s">
        <v>150</v>
      </c>
      <c r="E505" s="4">
        <v>3</v>
      </c>
      <c r="F505" s="4">
        <v>1</v>
      </c>
      <c r="G505" s="4">
        <v>4</v>
      </c>
      <c r="H505" s="115"/>
      <c r="I505" s="115"/>
      <c r="J505" s="115"/>
      <c r="K505" s="115">
        <v>0</v>
      </c>
      <c r="L505" s="12">
        <f t="shared" si="40"/>
        <v>0</v>
      </c>
      <c r="M505" s="4">
        <f t="shared" si="41"/>
        <v>0</v>
      </c>
      <c r="N505" s="4">
        <f t="shared" si="42"/>
        <v>0</v>
      </c>
      <c r="O505" s="13">
        <f t="shared" si="43"/>
        <v>0</v>
      </c>
    </row>
    <row r="506" spans="2:15">
      <c r="B506" s="12">
        <v>5</v>
      </c>
      <c r="C506" s="4" t="s">
        <v>151</v>
      </c>
      <c r="D506" s="4" t="s">
        <v>150</v>
      </c>
      <c r="E506" s="4">
        <v>3</v>
      </c>
      <c r="F506" s="4">
        <v>1</v>
      </c>
      <c r="G506" s="4">
        <v>5</v>
      </c>
      <c r="H506" s="115"/>
      <c r="I506" s="115"/>
      <c r="J506" s="115"/>
      <c r="K506" s="115">
        <v>0</v>
      </c>
      <c r="L506" s="12">
        <f t="shared" si="40"/>
        <v>0</v>
      </c>
      <c r="M506" s="4">
        <f t="shared" si="41"/>
        <v>0</v>
      </c>
      <c r="N506" s="4">
        <f t="shared" si="42"/>
        <v>0</v>
      </c>
      <c r="O506" s="13">
        <f t="shared" si="43"/>
        <v>0</v>
      </c>
    </row>
    <row r="507" spans="2:15">
      <c r="B507" s="12">
        <v>5</v>
      </c>
      <c r="C507" s="4" t="s">
        <v>151</v>
      </c>
      <c r="D507" s="4" t="s">
        <v>150</v>
      </c>
      <c r="E507" s="4">
        <v>3</v>
      </c>
      <c r="F507" s="4">
        <v>1</v>
      </c>
      <c r="G507" s="4">
        <v>6</v>
      </c>
      <c r="H507" s="115"/>
      <c r="I507" s="115"/>
      <c r="J507" s="115"/>
      <c r="K507" s="115">
        <v>0</v>
      </c>
      <c r="L507" s="12">
        <f t="shared" si="40"/>
        <v>0</v>
      </c>
      <c r="M507" s="4">
        <f t="shared" si="41"/>
        <v>0</v>
      </c>
      <c r="N507" s="4">
        <f t="shared" si="42"/>
        <v>0</v>
      </c>
      <c r="O507" s="13">
        <f t="shared" si="43"/>
        <v>0</v>
      </c>
    </row>
    <row r="508" spans="2:15">
      <c r="B508" s="12">
        <v>5</v>
      </c>
      <c r="C508" s="4" t="s">
        <v>151</v>
      </c>
      <c r="D508" s="4" t="s">
        <v>150</v>
      </c>
      <c r="E508" s="4">
        <v>3</v>
      </c>
      <c r="F508" s="4">
        <v>1</v>
      </c>
      <c r="G508" s="4">
        <v>7</v>
      </c>
      <c r="H508" s="115"/>
      <c r="I508" s="115"/>
      <c r="J508" s="115"/>
      <c r="K508" s="115">
        <v>0</v>
      </c>
      <c r="L508" s="12">
        <f t="shared" si="40"/>
        <v>0</v>
      </c>
      <c r="M508" s="4">
        <f t="shared" si="41"/>
        <v>0</v>
      </c>
      <c r="N508" s="4">
        <f t="shared" si="42"/>
        <v>0</v>
      </c>
      <c r="O508" s="13">
        <f t="shared" si="43"/>
        <v>0</v>
      </c>
    </row>
    <row r="509" spans="2:15">
      <c r="B509" s="12">
        <v>5</v>
      </c>
      <c r="C509" s="4" t="s">
        <v>151</v>
      </c>
      <c r="D509" s="4" t="s">
        <v>150</v>
      </c>
      <c r="E509" s="4">
        <v>3</v>
      </c>
      <c r="F509" s="4">
        <v>1</v>
      </c>
      <c r="G509" s="4">
        <v>8</v>
      </c>
      <c r="H509" s="115"/>
      <c r="I509" s="115"/>
      <c r="J509" s="115"/>
      <c r="K509" s="115">
        <v>0</v>
      </c>
      <c r="L509" s="12">
        <f t="shared" si="40"/>
        <v>0</v>
      </c>
      <c r="M509" s="4">
        <f t="shared" si="41"/>
        <v>0</v>
      </c>
      <c r="N509" s="4">
        <f t="shared" si="42"/>
        <v>0</v>
      </c>
      <c r="O509" s="13">
        <f t="shared" si="43"/>
        <v>0</v>
      </c>
    </row>
    <row r="510" spans="2:15">
      <c r="B510" s="12">
        <v>5</v>
      </c>
      <c r="C510" s="4" t="s">
        <v>151</v>
      </c>
      <c r="D510" s="4" t="s">
        <v>150</v>
      </c>
      <c r="E510" s="4">
        <v>3</v>
      </c>
      <c r="F510" s="4">
        <v>1</v>
      </c>
      <c r="G510" s="4">
        <v>9</v>
      </c>
      <c r="H510" s="115"/>
      <c r="I510" s="115"/>
      <c r="J510" s="115"/>
      <c r="K510" s="115">
        <v>0</v>
      </c>
      <c r="L510" s="12">
        <f t="shared" si="40"/>
        <v>0</v>
      </c>
      <c r="M510" s="4">
        <f t="shared" si="41"/>
        <v>0</v>
      </c>
      <c r="N510" s="4">
        <f t="shared" si="42"/>
        <v>0</v>
      </c>
      <c r="O510" s="13">
        <f t="shared" si="43"/>
        <v>0</v>
      </c>
    </row>
    <row r="511" spans="2:15" ht="13.8" thickBot="1">
      <c r="B511" s="14">
        <v>5</v>
      </c>
      <c r="C511" s="15" t="s">
        <v>151</v>
      </c>
      <c r="D511" s="15" t="s">
        <v>150</v>
      </c>
      <c r="E511" s="15">
        <v>3</v>
      </c>
      <c r="F511" s="15">
        <v>1</v>
      </c>
      <c r="G511" s="15">
        <v>10</v>
      </c>
      <c r="H511" s="121"/>
      <c r="I511" s="121"/>
      <c r="J511" s="121"/>
      <c r="K511" s="121">
        <v>0</v>
      </c>
      <c r="L511" s="14">
        <f t="shared" si="40"/>
        <v>0</v>
      </c>
      <c r="M511" s="15">
        <f t="shared" si="41"/>
        <v>0</v>
      </c>
      <c r="N511" s="15">
        <f t="shared" si="42"/>
        <v>0</v>
      </c>
      <c r="O511" s="16">
        <f t="shared" si="43"/>
        <v>0</v>
      </c>
    </row>
    <row r="512" spans="2:15">
      <c r="B512" s="9">
        <v>5</v>
      </c>
      <c r="C512" s="10" t="s">
        <v>151</v>
      </c>
      <c r="D512" s="10" t="s">
        <v>149</v>
      </c>
      <c r="E512" s="93">
        <v>4</v>
      </c>
      <c r="F512" s="93">
        <v>9</v>
      </c>
      <c r="G512" s="10">
        <v>1</v>
      </c>
      <c r="H512" s="120">
        <v>1.6829999999999927</v>
      </c>
      <c r="I512" s="120">
        <v>0.51699999999993906</v>
      </c>
      <c r="J512" s="120"/>
      <c r="K512" s="120">
        <v>2.1999999999999318</v>
      </c>
      <c r="L512" s="9">
        <f t="shared" si="40"/>
        <v>0.42862067267193782</v>
      </c>
      <c r="M512" s="10">
        <f t="shared" si="41"/>
        <v>0.18098558078671304</v>
      </c>
      <c r="N512" s="10">
        <f t="shared" si="42"/>
        <v>0</v>
      </c>
      <c r="O512" s="11">
        <f t="shared" si="43"/>
        <v>0.50514997831989672</v>
      </c>
    </row>
    <row r="513" spans="2:15">
      <c r="B513" s="12">
        <v>5</v>
      </c>
      <c r="C513" s="4" t="s">
        <v>151</v>
      </c>
      <c r="D513" s="4" t="s">
        <v>149</v>
      </c>
      <c r="E513" s="4">
        <v>4</v>
      </c>
      <c r="F513" s="4">
        <v>9</v>
      </c>
      <c r="G513" s="4">
        <v>2</v>
      </c>
      <c r="H513" s="115">
        <v>1.2829999999996744</v>
      </c>
      <c r="I513" s="115">
        <v>1.0819999999999936</v>
      </c>
      <c r="J513" s="115">
        <v>1.8490000000000464</v>
      </c>
      <c r="K513" s="115">
        <v>4.2139999999997144</v>
      </c>
      <c r="L513" s="12">
        <f t="shared" si="40"/>
        <v>0.3585059114901733</v>
      </c>
      <c r="M513" s="4">
        <f t="shared" si="41"/>
        <v>0.31848072517451603</v>
      </c>
      <c r="N513" s="4">
        <f t="shared" si="42"/>
        <v>0.45469244923948393</v>
      </c>
      <c r="O513" s="13">
        <f t="shared" si="43"/>
        <v>0.71717102683228628</v>
      </c>
    </row>
    <row r="514" spans="2:15">
      <c r="B514" s="12">
        <v>5</v>
      </c>
      <c r="C514" s="4" t="s">
        <v>151</v>
      </c>
      <c r="D514" s="4" t="s">
        <v>149</v>
      </c>
      <c r="E514" s="4">
        <v>4</v>
      </c>
      <c r="F514" s="4">
        <v>9</v>
      </c>
      <c r="G514" s="4">
        <v>3</v>
      </c>
      <c r="H514" s="115"/>
      <c r="I514" s="115"/>
      <c r="J514" s="115">
        <v>0.29999999999995453</v>
      </c>
      <c r="K514" s="115">
        <v>0.29999999999995453</v>
      </c>
      <c r="L514" s="12">
        <f t="shared" si="40"/>
        <v>0</v>
      </c>
      <c r="M514" s="4">
        <f t="shared" si="41"/>
        <v>0</v>
      </c>
      <c r="N514" s="4">
        <f t="shared" si="42"/>
        <v>0.11394335230682158</v>
      </c>
      <c r="O514" s="13">
        <f t="shared" si="43"/>
        <v>0.11394335230682158</v>
      </c>
    </row>
    <row r="515" spans="2:15">
      <c r="B515" s="12">
        <v>5</v>
      </c>
      <c r="C515" s="4" t="s">
        <v>151</v>
      </c>
      <c r="D515" s="4" t="s">
        <v>149</v>
      </c>
      <c r="E515" s="4">
        <v>4</v>
      </c>
      <c r="F515" s="4">
        <v>9</v>
      </c>
      <c r="G515" s="4">
        <v>4</v>
      </c>
      <c r="H515" s="115"/>
      <c r="I515" s="115"/>
      <c r="J515" s="115"/>
      <c r="K515" s="115">
        <v>0</v>
      </c>
      <c r="L515" s="12">
        <f t="shared" si="40"/>
        <v>0</v>
      </c>
      <c r="M515" s="4">
        <f t="shared" si="41"/>
        <v>0</v>
      </c>
      <c r="N515" s="4">
        <f t="shared" si="42"/>
        <v>0</v>
      </c>
      <c r="O515" s="13">
        <f t="shared" si="43"/>
        <v>0</v>
      </c>
    </row>
    <row r="516" spans="2:15">
      <c r="B516" s="12">
        <v>5</v>
      </c>
      <c r="C516" s="4" t="s">
        <v>151</v>
      </c>
      <c r="D516" s="4" t="s">
        <v>149</v>
      </c>
      <c r="E516" s="4">
        <v>4</v>
      </c>
      <c r="F516" s="4">
        <v>9</v>
      </c>
      <c r="G516" s="4">
        <v>5</v>
      </c>
      <c r="H516" s="115"/>
      <c r="I516" s="115"/>
      <c r="J516" s="115"/>
      <c r="K516" s="115">
        <v>0</v>
      </c>
      <c r="L516" s="12">
        <f t="shared" si="40"/>
        <v>0</v>
      </c>
      <c r="M516" s="4">
        <f t="shared" si="41"/>
        <v>0</v>
      </c>
      <c r="N516" s="4">
        <f t="shared" si="42"/>
        <v>0</v>
      </c>
      <c r="O516" s="13">
        <f t="shared" si="43"/>
        <v>0</v>
      </c>
    </row>
    <row r="517" spans="2:15">
      <c r="B517" s="12">
        <v>5</v>
      </c>
      <c r="C517" s="4" t="s">
        <v>151</v>
      </c>
      <c r="D517" s="4" t="s">
        <v>149</v>
      </c>
      <c r="E517" s="4">
        <v>4</v>
      </c>
      <c r="F517" s="4">
        <v>9</v>
      </c>
      <c r="G517" s="4">
        <v>6</v>
      </c>
      <c r="H517" s="115"/>
      <c r="I517" s="115"/>
      <c r="J517" s="115"/>
      <c r="K517" s="115">
        <v>0</v>
      </c>
      <c r="L517" s="12">
        <f t="shared" si="40"/>
        <v>0</v>
      </c>
      <c r="M517" s="4">
        <f t="shared" si="41"/>
        <v>0</v>
      </c>
      <c r="N517" s="4">
        <f t="shared" si="42"/>
        <v>0</v>
      </c>
      <c r="O517" s="13">
        <f t="shared" si="43"/>
        <v>0</v>
      </c>
    </row>
    <row r="518" spans="2:15">
      <c r="B518" s="12">
        <v>5</v>
      </c>
      <c r="C518" s="4" t="s">
        <v>151</v>
      </c>
      <c r="D518" s="4" t="s">
        <v>149</v>
      </c>
      <c r="E518" s="4">
        <v>4</v>
      </c>
      <c r="F518" s="4">
        <v>9</v>
      </c>
      <c r="G518" s="4">
        <v>7</v>
      </c>
      <c r="H518" s="115"/>
      <c r="I518" s="115"/>
      <c r="J518" s="115"/>
      <c r="K518" s="115">
        <v>0</v>
      </c>
      <c r="L518" s="12">
        <f t="shared" si="40"/>
        <v>0</v>
      </c>
      <c r="M518" s="4">
        <f t="shared" si="41"/>
        <v>0</v>
      </c>
      <c r="N518" s="4">
        <f t="shared" si="42"/>
        <v>0</v>
      </c>
      <c r="O518" s="13">
        <f t="shared" si="43"/>
        <v>0</v>
      </c>
    </row>
    <row r="519" spans="2:15">
      <c r="B519" s="12">
        <v>5</v>
      </c>
      <c r="C519" s="4" t="s">
        <v>151</v>
      </c>
      <c r="D519" s="4" t="s">
        <v>149</v>
      </c>
      <c r="E519" s="4">
        <v>4</v>
      </c>
      <c r="F519" s="4">
        <v>9</v>
      </c>
      <c r="G519" s="4">
        <v>8</v>
      </c>
      <c r="H519" s="115"/>
      <c r="I519" s="115"/>
      <c r="J519" s="115"/>
      <c r="K519" s="115">
        <v>0</v>
      </c>
      <c r="L519" s="12">
        <f t="shared" si="40"/>
        <v>0</v>
      </c>
      <c r="M519" s="4">
        <f t="shared" si="41"/>
        <v>0</v>
      </c>
      <c r="N519" s="4">
        <f t="shared" si="42"/>
        <v>0</v>
      </c>
      <c r="O519" s="13">
        <f t="shared" si="43"/>
        <v>0</v>
      </c>
    </row>
    <row r="520" spans="2:15">
      <c r="B520" s="12">
        <v>5</v>
      </c>
      <c r="C520" s="4" t="s">
        <v>151</v>
      </c>
      <c r="D520" s="4" t="s">
        <v>149</v>
      </c>
      <c r="E520" s="4">
        <v>4</v>
      </c>
      <c r="F520" s="4">
        <v>9</v>
      </c>
      <c r="G520" s="4">
        <v>9</v>
      </c>
      <c r="H520" s="115"/>
      <c r="I520" s="115"/>
      <c r="J520" s="115"/>
      <c r="K520" s="115">
        <v>0</v>
      </c>
      <c r="L520" s="12">
        <f t="shared" si="40"/>
        <v>0</v>
      </c>
      <c r="M520" s="4">
        <f t="shared" si="41"/>
        <v>0</v>
      </c>
      <c r="N520" s="4">
        <f t="shared" si="42"/>
        <v>0</v>
      </c>
      <c r="O520" s="13">
        <f t="shared" si="43"/>
        <v>0</v>
      </c>
    </row>
    <row r="521" spans="2:15" ht="13.8" thickBot="1">
      <c r="B521" s="14">
        <v>5</v>
      </c>
      <c r="C521" s="15" t="s">
        <v>151</v>
      </c>
      <c r="D521" s="15" t="s">
        <v>149</v>
      </c>
      <c r="E521" s="15">
        <v>4</v>
      </c>
      <c r="F521" s="15">
        <v>9</v>
      </c>
      <c r="G521" s="15">
        <v>10</v>
      </c>
      <c r="H521" s="121"/>
      <c r="I521" s="121"/>
      <c r="J521" s="121"/>
      <c r="K521" s="121">
        <v>0</v>
      </c>
      <c r="L521" s="14">
        <f t="shared" si="40"/>
        <v>0</v>
      </c>
      <c r="M521" s="15">
        <f t="shared" si="41"/>
        <v>0</v>
      </c>
      <c r="N521" s="15">
        <f t="shared" si="42"/>
        <v>0</v>
      </c>
      <c r="O521" s="16">
        <f t="shared" si="43"/>
        <v>0</v>
      </c>
    </row>
    <row r="522" spans="2:15">
      <c r="B522" s="9">
        <v>5</v>
      </c>
      <c r="C522" s="10" t="s">
        <v>151</v>
      </c>
      <c r="D522" s="10" t="s">
        <v>154</v>
      </c>
      <c r="E522" s="93">
        <v>5</v>
      </c>
      <c r="F522" s="93">
        <v>5</v>
      </c>
      <c r="G522" s="10">
        <v>1</v>
      </c>
      <c r="H522" s="120">
        <v>0.98400000000003729</v>
      </c>
      <c r="I522" s="120">
        <v>1.5339999999999918</v>
      </c>
      <c r="J522" s="120">
        <v>0.10000000000002274</v>
      </c>
      <c r="K522" s="120">
        <v>2.6180000000000518</v>
      </c>
      <c r="L522" s="9">
        <f t="shared" si="40"/>
        <v>0.29754166781816799</v>
      </c>
      <c r="M522" s="10">
        <f t="shared" si="41"/>
        <v>0.40380661054742112</v>
      </c>
      <c r="N522" s="10">
        <f t="shared" si="42"/>
        <v>4.1392685158234015E-2</v>
      </c>
      <c r="O522" s="11">
        <f t="shared" si="43"/>
        <v>0.55846856252380117</v>
      </c>
    </row>
    <row r="523" spans="2:15">
      <c r="B523" s="12">
        <v>5</v>
      </c>
      <c r="C523" s="4" t="s">
        <v>151</v>
      </c>
      <c r="D523" s="4" t="s">
        <v>154</v>
      </c>
      <c r="E523" s="4">
        <v>5</v>
      </c>
      <c r="F523" s="4">
        <v>5</v>
      </c>
      <c r="G523" s="4">
        <v>2</v>
      </c>
      <c r="H523" s="115">
        <v>2.800999999999874</v>
      </c>
      <c r="I523" s="115">
        <v>0.23300000000000409</v>
      </c>
      <c r="J523" s="115">
        <v>3.4480000000000359</v>
      </c>
      <c r="K523" s="115">
        <v>6.4819999999999141</v>
      </c>
      <c r="L523" s="12">
        <f t="shared" si="40"/>
        <v>0.57989786960308942</v>
      </c>
      <c r="M523" s="4">
        <f t="shared" si="41"/>
        <v>9.0963076595733078E-2</v>
      </c>
      <c r="N523" s="4">
        <f t="shared" si="42"/>
        <v>0.64816477857400456</v>
      </c>
      <c r="O523" s="13">
        <f t="shared" si="43"/>
        <v>0.87401770386218125</v>
      </c>
    </row>
    <row r="524" spans="2:15">
      <c r="B524" s="12">
        <v>5</v>
      </c>
      <c r="C524" s="4" t="s">
        <v>151</v>
      </c>
      <c r="D524" s="4" t="s">
        <v>154</v>
      </c>
      <c r="E524" s="4">
        <v>5</v>
      </c>
      <c r="F524" s="4">
        <v>5</v>
      </c>
      <c r="G524" s="4">
        <v>3</v>
      </c>
      <c r="H524" s="115">
        <v>1.9169999999999163</v>
      </c>
      <c r="I524" s="115"/>
      <c r="J524" s="115"/>
      <c r="K524" s="115">
        <v>1.9169999999999163</v>
      </c>
      <c r="L524" s="12">
        <f t="shared" si="40"/>
        <v>0.46493642912172023</v>
      </c>
      <c r="M524" s="4">
        <f t="shared" si="41"/>
        <v>0</v>
      </c>
      <c r="N524" s="4">
        <f t="shared" si="42"/>
        <v>0</v>
      </c>
      <c r="O524" s="13">
        <f t="shared" si="43"/>
        <v>0.46493642912172023</v>
      </c>
    </row>
    <row r="525" spans="2:15">
      <c r="B525" s="12">
        <v>5</v>
      </c>
      <c r="C525" s="4" t="s">
        <v>151</v>
      </c>
      <c r="D525" s="4" t="s">
        <v>154</v>
      </c>
      <c r="E525" s="4">
        <v>5</v>
      </c>
      <c r="F525" s="4">
        <v>5</v>
      </c>
      <c r="G525" s="4">
        <v>4</v>
      </c>
      <c r="H525" s="115">
        <v>0.20000000000004547</v>
      </c>
      <c r="I525" s="115">
        <v>0.11599999999998545</v>
      </c>
      <c r="J525" s="115"/>
      <c r="K525" s="115">
        <v>0.31600000000003092</v>
      </c>
      <c r="L525" s="12">
        <f t="shared" si="40"/>
        <v>7.918124604764129E-2</v>
      </c>
      <c r="M525" s="4">
        <f t="shared" si="41"/>
        <v>4.7664194601554279E-2</v>
      </c>
      <c r="N525" s="4">
        <f t="shared" si="42"/>
        <v>0</v>
      </c>
      <c r="O525" s="13">
        <f t="shared" si="43"/>
        <v>0.11925588927794689</v>
      </c>
    </row>
    <row r="526" spans="2:15">
      <c r="B526" s="12">
        <v>5</v>
      </c>
      <c r="C526" s="4" t="s">
        <v>151</v>
      </c>
      <c r="D526" s="4" t="s">
        <v>154</v>
      </c>
      <c r="E526" s="4">
        <v>5</v>
      </c>
      <c r="F526" s="4">
        <v>5</v>
      </c>
      <c r="G526" s="4">
        <v>5</v>
      </c>
      <c r="H526" s="115"/>
      <c r="I526" s="115"/>
      <c r="J526" s="115"/>
      <c r="K526" s="115">
        <v>0</v>
      </c>
      <c r="L526" s="12">
        <f t="shared" si="40"/>
        <v>0</v>
      </c>
      <c r="M526" s="4">
        <f t="shared" si="41"/>
        <v>0</v>
      </c>
      <c r="N526" s="4">
        <f t="shared" si="42"/>
        <v>0</v>
      </c>
      <c r="O526" s="13">
        <f t="shared" si="43"/>
        <v>0</v>
      </c>
    </row>
    <row r="527" spans="2:15">
      <c r="B527" s="12">
        <v>5</v>
      </c>
      <c r="C527" s="4" t="s">
        <v>151</v>
      </c>
      <c r="D527" s="4" t="s">
        <v>154</v>
      </c>
      <c r="E527" s="4">
        <v>5</v>
      </c>
      <c r="F527" s="4">
        <v>5</v>
      </c>
      <c r="G527" s="4">
        <v>6</v>
      </c>
      <c r="H527" s="115"/>
      <c r="I527" s="115"/>
      <c r="J527" s="115"/>
      <c r="K527" s="115">
        <v>0</v>
      </c>
      <c r="L527" s="12">
        <f t="shared" si="40"/>
        <v>0</v>
      </c>
      <c r="M527" s="4">
        <f t="shared" si="41"/>
        <v>0</v>
      </c>
      <c r="N527" s="4">
        <f t="shared" si="42"/>
        <v>0</v>
      </c>
      <c r="O527" s="13">
        <f t="shared" si="43"/>
        <v>0</v>
      </c>
    </row>
    <row r="528" spans="2:15">
      <c r="B528" s="12">
        <v>5</v>
      </c>
      <c r="C528" s="4" t="s">
        <v>151</v>
      </c>
      <c r="D528" s="4" t="s">
        <v>154</v>
      </c>
      <c r="E528" s="4">
        <v>5</v>
      </c>
      <c r="F528" s="4">
        <v>5</v>
      </c>
      <c r="G528" s="4">
        <v>7</v>
      </c>
      <c r="H528" s="115"/>
      <c r="I528" s="115"/>
      <c r="J528" s="115"/>
      <c r="K528" s="115">
        <v>0</v>
      </c>
      <c r="L528" s="12">
        <f t="shared" si="40"/>
        <v>0</v>
      </c>
      <c r="M528" s="4">
        <f t="shared" si="41"/>
        <v>0</v>
      </c>
      <c r="N528" s="4">
        <f t="shared" si="42"/>
        <v>0</v>
      </c>
      <c r="O528" s="13">
        <f t="shared" si="43"/>
        <v>0</v>
      </c>
    </row>
    <row r="529" spans="2:15">
      <c r="B529" s="12">
        <v>5</v>
      </c>
      <c r="C529" s="4" t="s">
        <v>151</v>
      </c>
      <c r="D529" s="4" t="s">
        <v>154</v>
      </c>
      <c r="E529" s="4">
        <v>5</v>
      </c>
      <c r="F529" s="4">
        <v>5</v>
      </c>
      <c r="G529" s="4">
        <v>8</v>
      </c>
      <c r="H529" s="115"/>
      <c r="I529" s="115"/>
      <c r="J529" s="115"/>
      <c r="K529" s="115">
        <v>0</v>
      </c>
      <c r="L529" s="12">
        <f t="shared" si="40"/>
        <v>0</v>
      </c>
      <c r="M529" s="4">
        <f t="shared" si="41"/>
        <v>0</v>
      </c>
      <c r="N529" s="4">
        <f t="shared" si="42"/>
        <v>0</v>
      </c>
      <c r="O529" s="13">
        <f t="shared" si="43"/>
        <v>0</v>
      </c>
    </row>
    <row r="530" spans="2:15">
      <c r="B530" s="12">
        <v>5</v>
      </c>
      <c r="C530" s="4" t="s">
        <v>151</v>
      </c>
      <c r="D530" s="4" t="s">
        <v>154</v>
      </c>
      <c r="E530" s="4">
        <v>5</v>
      </c>
      <c r="F530" s="4">
        <v>5</v>
      </c>
      <c r="G530" s="4">
        <v>9</v>
      </c>
      <c r="H530" s="115"/>
      <c r="I530" s="115"/>
      <c r="J530" s="115"/>
      <c r="K530" s="115">
        <v>0</v>
      </c>
      <c r="L530" s="12">
        <f t="shared" si="40"/>
        <v>0</v>
      </c>
      <c r="M530" s="4">
        <f t="shared" si="41"/>
        <v>0</v>
      </c>
      <c r="N530" s="4">
        <f t="shared" si="42"/>
        <v>0</v>
      </c>
      <c r="O530" s="13">
        <f t="shared" si="43"/>
        <v>0</v>
      </c>
    </row>
    <row r="531" spans="2:15" ht="13.8" thickBot="1">
      <c r="B531" s="14">
        <v>5</v>
      </c>
      <c r="C531" s="15" t="s">
        <v>151</v>
      </c>
      <c r="D531" s="15" t="s">
        <v>154</v>
      </c>
      <c r="E531" s="15">
        <v>5</v>
      </c>
      <c r="F531" s="15">
        <v>5</v>
      </c>
      <c r="G531" s="15">
        <v>10</v>
      </c>
      <c r="H531" s="121"/>
      <c r="I531" s="121"/>
      <c r="J531" s="121"/>
      <c r="K531" s="121">
        <v>0</v>
      </c>
      <c r="L531" s="14">
        <f t="shared" si="40"/>
        <v>0</v>
      </c>
      <c r="M531" s="15">
        <f t="shared" si="41"/>
        <v>0</v>
      </c>
      <c r="N531" s="15">
        <f t="shared" si="42"/>
        <v>0</v>
      </c>
      <c r="O531" s="16">
        <f t="shared" si="43"/>
        <v>0</v>
      </c>
    </row>
    <row r="532" spans="2:15">
      <c r="B532" s="9">
        <v>5</v>
      </c>
      <c r="C532" s="10" t="s">
        <v>151</v>
      </c>
      <c r="D532" s="10" t="s">
        <v>150</v>
      </c>
      <c r="E532" s="93">
        <v>6</v>
      </c>
      <c r="F532" s="93">
        <v>3</v>
      </c>
      <c r="G532" s="10">
        <v>1</v>
      </c>
      <c r="H532" s="120">
        <v>3.6840000000000259</v>
      </c>
      <c r="I532" s="120">
        <v>0.61600000000001387</v>
      </c>
      <c r="J532" s="120">
        <v>1.2489999999999952</v>
      </c>
      <c r="K532" s="120">
        <v>5.549000000000035</v>
      </c>
      <c r="L532" s="9">
        <f t="shared" si="40"/>
        <v>0.67061688640032791</v>
      </c>
      <c r="M532" s="10">
        <f t="shared" si="41"/>
        <v>0.20844135643857109</v>
      </c>
      <c r="N532" s="10">
        <f t="shared" si="42"/>
        <v>0.35198945543563126</v>
      </c>
      <c r="O532" s="11">
        <f t="shared" si="43"/>
        <v>0.81617499042880393</v>
      </c>
    </row>
    <row r="533" spans="2:15">
      <c r="B533" s="12">
        <v>5</v>
      </c>
      <c r="C533" s="4" t="s">
        <v>151</v>
      </c>
      <c r="D533" s="4" t="s">
        <v>150</v>
      </c>
      <c r="E533" s="4">
        <v>6</v>
      </c>
      <c r="F533" s="4">
        <v>3</v>
      </c>
      <c r="G533" s="4">
        <v>2</v>
      </c>
      <c r="H533" s="115">
        <v>1.0670000000000357</v>
      </c>
      <c r="I533" s="115"/>
      <c r="J533" s="115">
        <v>0.75100000000000477</v>
      </c>
      <c r="K533" s="115">
        <v>1.8180000000000405</v>
      </c>
      <c r="L533" s="12">
        <f t="shared" si="40"/>
        <v>0.31534047662729575</v>
      </c>
      <c r="M533" s="4">
        <f t="shared" si="41"/>
        <v>0</v>
      </c>
      <c r="N533" s="4">
        <f t="shared" si="42"/>
        <v>0.24328614608344731</v>
      </c>
      <c r="O533" s="13">
        <f t="shared" si="43"/>
        <v>0.44994098877334388</v>
      </c>
    </row>
    <row r="534" spans="2:15">
      <c r="B534" s="12">
        <v>5</v>
      </c>
      <c r="C534" s="4" t="s">
        <v>151</v>
      </c>
      <c r="D534" s="4" t="s">
        <v>150</v>
      </c>
      <c r="E534" s="4">
        <v>6</v>
      </c>
      <c r="F534" s="4">
        <v>3</v>
      </c>
      <c r="G534" s="4">
        <v>3</v>
      </c>
      <c r="H534" s="115"/>
      <c r="I534" s="115"/>
      <c r="J534" s="115"/>
      <c r="K534" s="115">
        <v>0</v>
      </c>
      <c r="L534" s="12">
        <f t="shared" si="40"/>
        <v>0</v>
      </c>
      <c r="M534" s="4">
        <f t="shared" si="41"/>
        <v>0</v>
      </c>
      <c r="N534" s="4">
        <f t="shared" si="42"/>
        <v>0</v>
      </c>
      <c r="O534" s="13">
        <f t="shared" si="43"/>
        <v>0</v>
      </c>
    </row>
    <row r="535" spans="2:15">
      <c r="B535" s="12">
        <v>5</v>
      </c>
      <c r="C535" s="4" t="s">
        <v>151</v>
      </c>
      <c r="D535" s="4" t="s">
        <v>150</v>
      </c>
      <c r="E535" s="4">
        <v>6</v>
      </c>
      <c r="F535" s="4">
        <v>3</v>
      </c>
      <c r="G535" s="4">
        <v>4</v>
      </c>
      <c r="H535" s="115"/>
      <c r="I535" s="115"/>
      <c r="J535" s="115"/>
      <c r="K535" s="115">
        <v>0</v>
      </c>
      <c r="L535" s="12">
        <f t="shared" si="40"/>
        <v>0</v>
      </c>
      <c r="M535" s="4">
        <f t="shared" si="41"/>
        <v>0</v>
      </c>
      <c r="N535" s="4">
        <f t="shared" si="42"/>
        <v>0</v>
      </c>
      <c r="O535" s="13">
        <f t="shared" si="43"/>
        <v>0</v>
      </c>
    </row>
    <row r="536" spans="2:15">
      <c r="B536" s="12">
        <v>5</v>
      </c>
      <c r="C536" s="4" t="s">
        <v>151</v>
      </c>
      <c r="D536" s="4" t="s">
        <v>150</v>
      </c>
      <c r="E536" s="4">
        <v>6</v>
      </c>
      <c r="F536" s="4">
        <v>3</v>
      </c>
      <c r="G536" s="4">
        <v>5</v>
      </c>
      <c r="H536" s="115"/>
      <c r="I536" s="115"/>
      <c r="J536" s="115"/>
      <c r="K536" s="115">
        <v>0</v>
      </c>
      <c r="L536" s="12">
        <f t="shared" si="40"/>
        <v>0</v>
      </c>
      <c r="M536" s="4">
        <f t="shared" si="41"/>
        <v>0</v>
      </c>
      <c r="N536" s="4">
        <f t="shared" si="42"/>
        <v>0</v>
      </c>
      <c r="O536" s="13">
        <f t="shared" si="43"/>
        <v>0</v>
      </c>
    </row>
    <row r="537" spans="2:15">
      <c r="B537" s="12">
        <v>5</v>
      </c>
      <c r="C537" s="4" t="s">
        <v>151</v>
      </c>
      <c r="D537" s="4" t="s">
        <v>150</v>
      </c>
      <c r="E537" s="4">
        <v>6</v>
      </c>
      <c r="F537" s="4">
        <v>3</v>
      </c>
      <c r="G537" s="4">
        <v>6</v>
      </c>
      <c r="H537" s="115"/>
      <c r="I537" s="115"/>
      <c r="J537" s="115"/>
      <c r="K537" s="115">
        <v>0</v>
      </c>
      <c r="L537" s="12">
        <f t="shared" si="40"/>
        <v>0</v>
      </c>
      <c r="M537" s="4">
        <f t="shared" si="41"/>
        <v>0</v>
      </c>
      <c r="N537" s="4">
        <f t="shared" si="42"/>
        <v>0</v>
      </c>
      <c r="O537" s="13">
        <f t="shared" si="43"/>
        <v>0</v>
      </c>
    </row>
    <row r="538" spans="2:15">
      <c r="B538" s="12">
        <v>5</v>
      </c>
      <c r="C538" s="4" t="s">
        <v>151</v>
      </c>
      <c r="D538" s="4" t="s">
        <v>150</v>
      </c>
      <c r="E538" s="4">
        <v>6</v>
      </c>
      <c r="F538" s="4">
        <v>3</v>
      </c>
      <c r="G538" s="4">
        <v>7</v>
      </c>
      <c r="H538" s="115"/>
      <c r="I538" s="115"/>
      <c r="J538" s="115"/>
      <c r="K538" s="115">
        <v>0</v>
      </c>
      <c r="L538" s="12">
        <f t="shared" si="40"/>
        <v>0</v>
      </c>
      <c r="M538" s="4">
        <f t="shared" si="41"/>
        <v>0</v>
      </c>
      <c r="N538" s="4">
        <f t="shared" si="42"/>
        <v>0</v>
      </c>
      <c r="O538" s="13">
        <f t="shared" si="43"/>
        <v>0</v>
      </c>
    </row>
    <row r="539" spans="2:15">
      <c r="B539" s="12">
        <v>5</v>
      </c>
      <c r="C539" s="4" t="s">
        <v>151</v>
      </c>
      <c r="D539" s="4" t="s">
        <v>150</v>
      </c>
      <c r="E539" s="4">
        <v>6</v>
      </c>
      <c r="F539" s="4">
        <v>3</v>
      </c>
      <c r="G539" s="4">
        <v>8</v>
      </c>
      <c r="H539" s="115"/>
      <c r="I539" s="115"/>
      <c r="J539" s="115"/>
      <c r="K539" s="115">
        <v>0</v>
      </c>
      <c r="L539" s="12">
        <f t="shared" si="40"/>
        <v>0</v>
      </c>
      <c r="M539" s="4">
        <f t="shared" si="41"/>
        <v>0</v>
      </c>
      <c r="N539" s="4">
        <f t="shared" si="42"/>
        <v>0</v>
      </c>
      <c r="O539" s="13">
        <f t="shared" si="43"/>
        <v>0</v>
      </c>
    </row>
    <row r="540" spans="2:15">
      <c r="B540" s="12">
        <v>5</v>
      </c>
      <c r="C540" s="4" t="s">
        <v>151</v>
      </c>
      <c r="D540" s="4" t="s">
        <v>150</v>
      </c>
      <c r="E540" s="4">
        <v>6</v>
      </c>
      <c r="F540" s="4">
        <v>3</v>
      </c>
      <c r="G540" s="4">
        <v>9</v>
      </c>
      <c r="H540" s="115"/>
      <c r="I540" s="115"/>
      <c r="J540" s="115"/>
      <c r="K540" s="115">
        <v>0</v>
      </c>
      <c r="L540" s="12">
        <f t="shared" si="40"/>
        <v>0</v>
      </c>
      <c r="M540" s="4">
        <f t="shared" si="41"/>
        <v>0</v>
      </c>
      <c r="N540" s="4">
        <f t="shared" si="42"/>
        <v>0</v>
      </c>
      <c r="O540" s="13">
        <f t="shared" si="43"/>
        <v>0</v>
      </c>
    </row>
    <row r="541" spans="2:15" ht="13.8" thickBot="1">
      <c r="B541" s="14">
        <v>5</v>
      </c>
      <c r="C541" s="15" t="s">
        <v>151</v>
      </c>
      <c r="D541" s="15" t="s">
        <v>150</v>
      </c>
      <c r="E541" s="15">
        <v>6</v>
      </c>
      <c r="F541" s="15">
        <v>3</v>
      </c>
      <c r="G541" s="15">
        <v>10</v>
      </c>
      <c r="H541" s="121"/>
      <c r="I541" s="121"/>
      <c r="J541" s="121"/>
      <c r="K541" s="121">
        <v>0</v>
      </c>
      <c r="L541" s="14">
        <f t="shared" si="40"/>
        <v>0</v>
      </c>
      <c r="M541" s="15">
        <f t="shared" si="41"/>
        <v>0</v>
      </c>
      <c r="N541" s="15">
        <f t="shared" si="42"/>
        <v>0</v>
      </c>
      <c r="O541" s="16">
        <f t="shared" si="43"/>
        <v>0</v>
      </c>
    </row>
    <row r="542" spans="2:15">
      <c r="B542" s="9">
        <v>5</v>
      </c>
      <c r="C542" s="10" t="s">
        <v>152</v>
      </c>
      <c r="D542" s="10" t="s">
        <v>149</v>
      </c>
      <c r="E542" s="93">
        <v>7</v>
      </c>
      <c r="F542" s="93">
        <v>12</v>
      </c>
      <c r="G542" s="10">
        <v>1</v>
      </c>
      <c r="H542" s="120">
        <v>2.1339999999999009</v>
      </c>
      <c r="I542" s="120">
        <v>1.33400000000006</v>
      </c>
      <c r="J542" s="120">
        <v>2.0990000000000464</v>
      </c>
      <c r="K542" s="120">
        <v>5.5670000000000073</v>
      </c>
      <c r="L542" s="9">
        <f t="shared" si="40"/>
        <v>0.49609899213255759</v>
      </c>
      <c r="M542" s="10">
        <f t="shared" si="41"/>
        <v>0.36810085170936252</v>
      </c>
      <c r="N542" s="10">
        <f t="shared" si="42"/>
        <v>0.49122157623928953</v>
      </c>
      <c r="O542" s="11">
        <f t="shared" si="43"/>
        <v>0.81736701628759456</v>
      </c>
    </row>
    <row r="543" spans="2:15">
      <c r="B543" s="12">
        <v>5</v>
      </c>
      <c r="C543" s="4" t="s">
        <v>152</v>
      </c>
      <c r="D543" s="4" t="s">
        <v>149</v>
      </c>
      <c r="E543" s="4">
        <v>7</v>
      </c>
      <c r="F543" s="4">
        <v>12</v>
      </c>
      <c r="G543" s="4">
        <v>2</v>
      </c>
      <c r="H543" s="115">
        <v>0.1169999999999618</v>
      </c>
      <c r="I543" s="115">
        <v>0.91700000000003001</v>
      </c>
      <c r="J543" s="115">
        <v>0.3830000000000382</v>
      </c>
      <c r="K543" s="115">
        <v>1.41700000000003</v>
      </c>
      <c r="L543" s="12">
        <f t="shared" si="40"/>
        <v>4.8053173115594205E-2</v>
      </c>
      <c r="M543" s="4">
        <f t="shared" si="41"/>
        <v>0.28262211287806938</v>
      </c>
      <c r="N543" s="4">
        <f t="shared" si="42"/>
        <v>0.14082218010932257</v>
      </c>
      <c r="O543" s="13">
        <f t="shared" si="43"/>
        <v>0.38327665040765574</v>
      </c>
    </row>
    <row r="544" spans="2:15">
      <c r="B544" s="12">
        <v>5</v>
      </c>
      <c r="C544" s="4" t="s">
        <v>152</v>
      </c>
      <c r="D544" s="4" t="s">
        <v>149</v>
      </c>
      <c r="E544" s="4">
        <v>7</v>
      </c>
      <c r="F544" s="4">
        <v>12</v>
      </c>
      <c r="G544" s="4">
        <v>3</v>
      </c>
      <c r="H544" s="115"/>
      <c r="I544" s="115"/>
      <c r="J544" s="115">
        <v>0.25000000000011369</v>
      </c>
      <c r="K544" s="115">
        <v>0.25000000000011369</v>
      </c>
      <c r="L544" s="12">
        <f t="shared" si="40"/>
        <v>0</v>
      </c>
      <c r="M544" s="4">
        <f t="shared" si="41"/>
        <v>0</v>
      </c>
      <c r="N544" s="4">
        <f t="shared" si="42"/>
        <v>9.6910013008095916E-2</v>
      </c>
      <c r="O544" s="13">
        <f t="shared" si="43"/>
        <v>9.6910013008095916E-2</v>
      </c>
    </row>
    <row r="545" spans="2:15">
      <c r="B545" s="12">
        <v>5</v>
      </c>
      <c r="C545" s="4" t="s">
        <v>152</v>
      </c>
      <c r="D545" s="4" t="s">
        <v>149</v>
      </c>
      <c r="E545" s="4">
        <v>7</v>
      </c>
      <c r="F545" s="4">
        <v>12</v>
      </c>
      <c r="G545" s="4">
        <v>4</v>
      </c>
      <c r="H545" s="115"/>
      <c r="I545" s="115"/>
      <c r="J545" s="115">
        <v>0.14999999999997726</v>
      </c>
      <c r="K545" s="115">
        <v>0.14999999999997726</v>
      </c>
      <c r="L545" s="12">
        <f t="shared" si="40"/>
        <v>0</v>
      </c>
      <c r="M545" s="4">
        <f t="shared" si="41"/>
        <v>0</v>
      </c>
      <c r="N545" s="4">
        <f t="shared" si="42"/>
        <v>6.0697840353603094E-2</v>
      </c>
      <c r="O545" s="13">
        <f t="shared" si="43"/>
        <v>6.0697840353603094E-2</v>
      </c>
    </row>
    <row r="546" spans="2:15">
      <c r="B546" s="12">
        <v>5</v>
      </c>
      <c r="C546" s="4" t="s">
        <v>152</v>
      </c>
      <c r="D546" s="4" t="s">
        <v>149</v>
      </c>
      <c r="E546" s="4">
        <v>7</v>
      </c>
      <c r="F546" s="4">
        <v>12</v>
      </c>
      <c r="G546" s="4">
        <v>5</v>
      </c>
      <c r="H546" s="115"/>
      <c r="I546" s="115"/>
      <c r="J546" s="115"/>
      <c r="K546" s="115">
        <v>0</v>
      </c>
      <c r="L546" s="12">
        <f t="shared" si="40"/>
        <v>0</v>
      </c>
      <c r="M546" s="4">
        <f t="shared" si="41"/>
        <v>0</v>
      </c>
      <c r="N546" s="4">
        <f t="shared" si="42"/>
        <v>0</v>
      </c>
      <c r="O546" s="13">
        <f t="shared" si="43"/>
        <v>0</v>
      </c>
    </row>
    <row r="547" spans="2:15">
      <c r="B547" s="12">
        <v>5</v>
      </c>
      <c r="C547" s="4" t="s">
        <v>152</v>
      </c>
      <c r="D547" s="4" t="s">
        <v>149</v>
      </c>
      <c r="E547" s="4">
        <v>7</v>
      </c>
      <c r="F547" s="4">
        <v>12</v>
      </c>
      <c r="G547" s="4">
        <v>6</v>
      </c>
      <c r="H547" s="115"/>
      <c r="I547" s="115"/>
      <c r="J547" s="115"/>
      <c r="K547" s="115">
        <v>0</v>
      </c>
      <c r="L547" s="12">
        <f t="shared" si="40"/>
        <v>0</v>
      </c>
      <c r="M547" s="4">
        <f t="shared" si="41"/>
        <v>0</v>
      </c>
      <c r="N547" s="4">
        <f t="shared" si="42"/>
        <v>0</v>
      </c>
      <c r="O547" s="13">
        <f t="shared" si="43"/>
        <v>0</v>
      </c>
    </row>
    <row r="548" spans="2:15">
      <c r="B548" s="12">
        <v>5</v>
      </c>
      <c r="C548" s="4" t="s">
        <v>152</v>
      </c>
      <c r="D548" s="4" t="s">
        <v>149</v>
      </c>
      <c r="E548" s="4">
        <v>7</v>
      </c>
      <c r="F548" s="4">
        <v>12</v>
      </c>
      <c r="G548" s="4">
        <v>7</v>
      </c>
      <c r="H548" s="115"/>
      <c r="I548" s="115"/>
      <c r="J548" s="115"/>
      <c r="K548" s="115">
        <v>0</v>
      </c>
      <c r="L548" s="12">
        <f t="shared" si="40"/>
        <v>0</v>
      </c>
      <c r="M548" s="4">
        <f t="shared" si="41"/>
        <v>0</v>
      </c>
      <c r="N548" s="4">
        <f t="shared" si="42"/>
        <v>0</v>
      </c>
      <c r="O548" s="13">
        <f t="shared" si="43"/>
        <v>0</v>
      </c>
    </row>
    <row r="549" spans="2:15">
      <c r="B549" s="12">
        <v>5</v>
      </c>
      <c r="C549" s="4" t="s">
        <v>152</v>
      </c>
      <c r="D549" s="4" t="s">
        <v>149</v>
      </c>
      <c r="E549" s="4">
        <v>7</v>
      </c>
      <c r="F549" s="4">
        <v>12</v>
      </c>
      <c r="G549" s="4">
        <v>8</v>
      </c>
      <c r="H549" s="115"/>
      <c r="I549" s="115"/>
      <c r="J549" s="115"/>
      <c r="K549" s="115">
        <v>0</v>
      </c>
      <c r="L549" s="12">
        <f t="shared" si="40"/>
        <v>0</v>
      </c>
      <c r="M549" s="4">
        <f t="shared" si="41"/>
        <v>0</v>
      </c>
      <c r="N549" s="4">
        <f t="shared" si="42"/>
        <v>0</v>
      </c>
      <c r="O549" s="13">
        <f t="shared" si="43"/>
        <v>0</v>
      </c>
    </row>
    <row r="550" spans="2:15">
      <c r="B550" s="12">
        <v>5</v>
      </c>
      <c r="C550" s="4" t="s">
        <v>152</v>
      </c>
      <c r="D550" s="4" t="s">
        <v>149</v>
      </c>
      <c r="E550" s="4">
        <v>7</v>
      </c>
      <c r="F550" s="4">
        <v>12</v>
      </c>
      <c r="G550" s="4">
        <v>9</v>
      </c>
      <c r="H550" s="115"/>
      <c r="I550" s="115"/>
      <c r="J550" s="115"/>
      <c r="K550" s="115">
        <v>0</v>
      </c>
      <c r="L550" s="12">
        <f t="shared" si="40"/>
        <v>0</v>
      </c>
      <c r="M550" s="4">
        <f t="shared" si="41"/>
        <v>0</v>
      </c>
      <c r="N550" s="4">
        <f t="shared" si="42"/>
        <v>0</v>
      </c>
      <c r="O550" s="13">
        <f t="shared" si="43"/>
        <v>0</v>
      </c>
    </row>
    <row r="551" spans="2:15" ht="13.8" thickBot="1">
      <c r="B551" s="14">
        <v>5</v>
      </c>
      <c r="C551" s="15" t="s">
        <v>152</v>
      </c>
      <c r="D551" s="15" t="s">
        <v>149</v>
      </c>
      <c r="E551" s="15">
        <v>7</v>
      </c>
      <c r="F551" s="15">
        <v>12</v>
      </c>
      <c r="G551" s="15">
        <v>10</v>
      </c>
      <c r="H551" s="121"/>
      <c r="I551" s="121"/>
      <c r="J551" s="121"/>
      <c r="K551" s="121">
        <v>0</v>
      </c>
      <c r="L551" s="14">
        <f t="shared" ref="L551:L614" si="44">LOG10(H551+1)</f>
        <v>0</v>
      </c>
      <c r="M551" s="15">
        <f t="shared" ref="M551:M614" si="45">LOG10(I551+1)</f>
        <v>0</v>
      </c>
      <c r="N551" s="15">
        <f t="shared" ref="N551:N614" si="46">LOG10(J551+1)</f>
        <v>0</v>
      </c>
      <c r="O551" s="16">
        <f t="shared" ref="O551:O614" si="47">LOG10(K551+1)</f>
        <v>0</v>
      </c>
    </row>
    <row r="552" spans="2:15">
      <c r="B552" s="9">
        <v>5</v>
      </c>
      <c r="C552" s="10" t="s">
        <v>152</v>
      </c>
      <c r="D552" s="10" t="s">
        <v>149</v>
      </c>
      <c r="E552" s="93">
        <v>8</v>
      </c>
      <c r="F552" s="93">
        <v>10</v>
      </c>
      <c r="G552" s="10">
        <v>1</v>
      </c>
      <c r="H552" s="120">
        <v>2.4990000000001373</v>
      </c>
      <c r="I552" s="120">
        <v>1.3979999999999109</v>
      </c>
      <c r="J552" s="120">
        <v>0.28399999999999181</v>
      </c>
      <c r="K552" s="120">
        <v>4.18100000000004</v>
      </c>
      <c r="L552" s="9">
        <f t="shared" si="44"/>
        <v>0.54394394248292344</v>
      </c>
      <c r="M552" s="10">
        <f t="shared" si="45"/>
        <v>0.37984917876281371</v>
      </c>
      <c r="N552" s="10">
        <f t="shared" si="46"/>
        <v>0.10856502373283169</v>
      </c>
      <c r="O552" s="11">
        <f t="shared" si="47"/>
        <v>0.71441359228712453</v>
      </c>
    </row>
    <row r="553" spans="2:15">
      <c r="B553" s="12">
        <v>5</v>
      </c>
      <c r="C553" s="4" t="s">
        <v>152</v>
      </c>
      <c r="D553" s="4" t="s">
        <v>149</v>
      </c>
      <c r="E553" s="4">
        <v>8</v>
      </c>
      <c r="F553" s="4">
        <v>10</v>
      </c>
      <c r="G553" s="4">
        <v>2</v>
      </c>
      <c r="H553" s="115"/>
      <c r="I553" s="115"/>
      <c r="J553" s="115"/>
      <c r="K553" s="115">
        <v>0</v>
      </c>
      <c r="L553" s="12">
        <f t="shared" si="44"/>
        <v>0</v>
      </c>
      <c r="M553" s="4">
        <f t="shared" si="45"/>
        <v>0</v>
      </c>
      <c r="N553" s="4">
        <f t="shared" si="46"/>
        <v>0</v>
      </c>
      <c r="O553" s="13">
        <f t="shared" si="47"/>
        <v>0</v>
      </c>
    </row>
    <row r="554" spans="2:15">
      <c r="B554" s="12">
        <v>5</v>
      </c>
      <c r="C554" s="4" t="s">
        <v>152</v>
      </c>
      <c r="D554" s="4" t="s">
        <v>149</v>
      </c>
      <c r="E554" s="4">
        <v>8</v>
      </c>
      <c r="F554" s="4">
        <v>10</v>
      </c>
      <c r="G554" s="4">
        <v>3</v>
      </c>
      <c r="H554" s="115"/>
      <c r="I554" s="115"/>
      <c r="J554" s="115"/>
      <c r="K554" s="115">
        <v>0</v>
      </c>
      <c r="L554" s="12">
        <f t="shared" si="44"/>
        <v>0</v>
      </c>
      <c r="M554" s="4">
        <f t="shared" si="45"/>
        <v>0</v>
      </c>
      <c r="N554" s="4">
        <f t="shared" si="46"/>
        <v>0</v>
      </c>
      <c r="O554" s="13">
        <f t="shared" si="47"/>
        <v>0</v>
      </c>
    </row>
    <row r="555" spans="2:15">
      <c r="B555" s="12">
        <v>5</v>
      </c>
      <c r="C555" s="4" t="s">
        <v>152</v>
      </c>
      <c r="D555" s="4" t="s">
        <v>149</v>
      </c>
      <c r="E555" s="4">
        <v>8</v>
      </c>
      <c r="F555" s="4">
        <v>10</v>
      </c>
      <c r="G555" s="4">
        <v>4</v>
      </c>
      <c r="H555" s="115">
        <v>0.31600000000003092</v>
      </c>
      <c r="I555" s="115"/>
      <c r="J555" s="115"/>
      <c r="K555" s="115">
        <v>0.31600000000003092</v>
      </c>
      <c r="L555" s="12">
        <f t="shared" si="44"/>
        <v>0.11925588927794689</v>
      </c>
      <c r="M555" s="4">
        <f t="shared" si="45"/>
        <v>0</v>
      </c>
      <c r="N555" s="4">
        <f t="shared" si="46"/>
        <v>0</v>
      </c>
      <c r="O555" s="13">
        <f t="shared" si="47"/>
        <v>0.11925588927794689</v>
      </c>
    </row>
    <row r="556" spans="2:15">
      <c r="B556" s="12">
        <v>5</v>
      </c>
      <c r="C556" s="4" t="s">
        <v>152</v>
      </c>
      <c r="D556" s="4" t="s">
        <v>149</v>
      </c>
      <c r="E556" s="4">
        <v>8</v>
      </c>
      <c r="F556" s="4">
        <v>10</v>
      </c>
      <c r="G556" s="4">
        <v>5</v>
      </c>
      <c r="H556" s="115"/>
      <c r="I556" s="115"/>
      <c r="J556" s="115"/>
      <c r="K556" s="115">
        <v>0</v>
      </c>
      <c r="L556" s="12">
        <f t="shared" si="44"/>
        <v>0</v>
      </c>
      <c r="M556" s="4">
        <f t="shared" si="45"/>
        <v>0</v>
      </c>
      <c r="N556" s="4">
        <f t="shared" si="46"/>
        <v>0</v>
      </c>
      <c r="O556" s="13">
        <f t="shared" si="47"/>
        <v>0</v>
      </c>
    </row>
    <row r="557" spans="2:15">
      <c r="B557" s="12">
        <v>5</v>
      </c>
      <c r="C557" s="4" t="s">
        <v>152</v>
      </c>
      <c r="D557" s="4" t="s">
        <v>149</v>
      </c>
      <c r="E557" s="4">
        <v>8</v>
      </c>
      <c r="F557" s="4">
        <v>10</v>
      </c>
      <c r="G557" s="4">
        <v>6</v>
      </c>
      <c r="H557" s="115"/>
      <c r="I557" s="115"/>
      <c r="J557" s="115"/>
      <c r="K557" s="115">
        <v>0</v>
      </c>
      <c r="L557" s="12">
        <f t="shared" si="44"/>
        <v>0</v>
      </c>
      <c r="M557" s="4">
        <f t="shared" si="45"/>
        <v>0</v>
      </c>
      <c r="N557" s="4">
        <f t="shared" si="46"/>
        <v>0</v>
      </c>
      <c r="O557" s="13">
        <f t="shared" si="47"/>
        <v>0</v>
      </c>
    </row>
    <row r="558" spans="2:15">
      <c r="B558" s="12">
        <v>5</v>
      </c>
      <c r="C558" s="4" t="s">
        <v>152</v>
      </c>
      <c r="D558" s="4" t="s">
        <v>149</v>
      </c>
      <c r="E558" s="4">
        <v>8</v>
      </c>
      <c r="F558" s="4">
        <v>10</v>
      </c>
      <c r="G558" s="4">
        <v>7</v>
      </c>
      <c r="H558" s="115"/>
      <c r="I558" s="115"/>
      <c r="J558" s="115"/>
      <c r="K558" s="115">
        <v>0</v>
      </c>
      <c r="L558" s="12">
        <f t="shared" si="44"/>
        <v>0</v>
      </c>
      <c r="M558" s="4">
        <f t="shared" si="45"/>
        <v>0</v>
      </c>
      <c r="N558" s="4">
        <f t="shared" si="46"/>
        <v>0</v>
      </c>
      <c r="O558" s="13">
        <f t="shared" si="47"/>
        <v>0</v>
      </c>
    </row>
    <row r="559" spans="2:15">
      <c r="B559" s="12">
        <v>5</v>
      </c>
      <c r="C559" s="4" t="s">
        <v>152</v>
      </c>
      <c r="D559" s="4" t="s">
        <v>149</v>
      </c>
      <c r="E559" s="4">
        <v>8</v>
      </c>
      <c r="F559" s="4">
        <v>10</v>
      </c>
      <c r="G559" s="4">
        <v>8</v>
      </c>
      <c r="H559" s="115"/>
      <c r="I559" s="115"/>
      <c r="J559" s="115"/>
      <c r="K559" s="115">
        <v>0</v>
      </c>
      <c r="L559" s="12">
        <f t="shared" si="44"/>
        <v>0</v>
      </c>
      <c r="M559" s="4">
        <f t="shared" si="45"/>
        <v>0</v>
      </c>
      <c r="N559" s="4">
        <f t="shared" si="46"/>
        <v>0</v>
      </c>
      <c r="O559" s="13">
        <f t="shared" si="47"/>
        <v>0</v>
      </c>
    </row>
    <row r="560" spans="2:15">
      <c r="B560" s="12">
        <v>5</v>
      </c>
      <c r="C560" s="4" t="s">
        <v>152</v>
      </c>
      <c r="D560" s="4" t="s">
        <v>149</v>
      </c>
      <c r="E560" s="4">
        <v>8</v>
      </c>
      <c r="F560" s="4">
        <v>10</v>
      </c>
      <c r="G560" s="4">
        <v>9</v>
      </c>
      <c r="H560" s="115"/>
      <c r="I560" s="115"/>
      <c r="J560" s="115"/>
      <c r="K560" s="115">
        <v>0</v>
      </c>
      <c r="L560" s="12">
        <f t="shared" si="44"/>
        <v>0</v>
      </c>
      <c r="M560" s="4">
        <f t="shared" si="45"/>
        <v>0</v>
      </c>
      <c r="N560" s="4">
        <f t="shared" si="46"/>
        <v>0</v>
      </c>
      <c r="O560" s="13">
        <f t="shared" si="47"/>
        <v>0</v>
      </c>
    </row>
    <row r="561" spans="2:15" ht="13.8" thickBot="1">
      <c r="B561" s="14">
        <v>5</v>
      </c>
      <c r="C561" s="15" t="s">
        <v>152</v>
      </c>
      <c r="D561" s="15" t="s">
        <v>149</v>
      </c>
      <c r="E561" s="15">
        <v>8</v>
      </c>
      <c r="F561" s="15">
        <v>10</v>
      </c>
      <c r="G561" s="15">
        <v>10</v>
      </c>
      <c r="H561" s="121"/>
      <c r="I561" s="121"/>
      <c r="J561" s="121"/>
      <c r="K561" s="121">
        <v>0</v>
      </c>
      <c r="L561" s="14">
        <f t="shared" si="44"/>
        <v>0</v>
      </c>
      <c r="M561" s="15">
        <f t="shared" si="45"/>
        <v>0</v>
      </c>
      <c r="N561" s="15">
        <f t="shared" si="46"/>
        <v>0</v>
      </c>
      <c r="O561" s="16">
        <f t="shared" si="47"/>
        <v>0</v>
      </c>
    </row>
    <row r="562" spans="2:15">
      <c r="B562" s="9">
        <v>5</v>
      </c>
      <c r="C562" s="10" t="s">
        <v>152</v>
      </c>
      <c r="D562" s="10" t="s">
        <v>150</v>
      </c>
      <c r="E562" s="93">
        <v>9</v>
      </c>
      <c r="F562" s="93">
        <v>2</v>
      </c>
      <c r="G562" s="10">
        <v>1</v>
      </c>
      <c r="H562" s="120">
        <v>1.4350000000000023</v>
      </c>
      <c r="I562" s="120">
        <v>0.51500000000001478</v>
      </c>
      <c r="J562" s="120">
        <v>0.84899999999998954</v>
      </c>
      <c r="K562" s="120">
        <v>2.7990000000000066</v>
      </c>
      <c r="L562" s="9">
        <f t="shared" si="44"/>
        <v>0.38649896555065355</v>
      </c>
      <c r="M562" s="10">
        <f t="shared" si="45"/>
        <v>0.18041263283832806</v>
      </c>
      <c r="N562" s="10">
        <f t="shared" si="46"/>
        <v>0.26693691115917062</v>
      </c>
      <c r="O562" s="11">
        <f t="shared" si="47"/>
        <v>0.57966929355472108</v>
      </c>
    </row>
    <row r="563" spans="2:15">
      <c r="B563" s="12">
        <v>5</v>
      </c>
      <c r="C563" s="4" t="s">
        <v>152</v>
      </c>
      <c r="D563" s="4" t="s">
        <v>150</v>
      </c>
      <c r="E563" s="4">
        <v>9</v>
      </c>
      <c r="F563" s="4">
        <v>2</v>
      </c>
      <c r="G563" s="4">
        <v>2</v>
      </c>
      <c r="H563" s="115">
        <v>2.7159999999999513</v>
      </c>
      <c r="I563" s="115">
        <v>0.86500000000000909</v>
      </c>
      <c r="J563" s="115">
        <v>0.29999999999998295</v>
      </c>
      <c r="K563" s="115">
        <v>3.8809999999999434</v>
      </c>
      <c r="L563" s="12">
        <f t="shared" si="44"/>
        <v>0.57007570532159846</v>
      </c>
      <c r="M563" s="4">
        <f t="shared" si="45"/>
        <v>0.2706788361447085</v>
      </c>
      <c r="N563" s="4">
        <f t="shared" si="46"/>
        <v>0.11394335230683107</v>
      </c>
      <c r="O563" s="13">
        <f t="shared" si="47"/>
        <v>0.68850880765651623</v>
      </c>
    </row>
    <row r="564" spans="2:15">
      <c r="B564" s="12">
        <v>5</v>
      </c>
      <c r="C564" s="4" t="s">
        <v>152</v>
      </c>
      <c r="D564" s="4" t="s">
        <v>150</v>
      </c>
      <c r="E564" s="4">
        <v>9</v>
      </c>
      <c r="F564" s="4">
        <v>2</v>
      </c>
      <c r="G564" s="4">
        <v>3</v>
      </c>
      <c r="H564" s="115">
        <v>0.11600000000001387</v>
      </c>
      <c r="I564" s="115"/>
      <c r="J564" s="115">
        <v>0.13300000000000978</v>
      </c>
      <c r="K564" s="115">
        <v>0.24900000000002365</v>
      </c>
      <c r="L564" s="12">
        <f t="shared" si="44"/>
        <v>4.7664194601565339E-2</v>
      </c>
      <c r="M564" s="4">
        <f t="shared" si="45"/>
        <v>0</v>
      </c>
      <c r="N564" s="4">
        <f t="shared" si="46"/>
        <v>5.4229909863400996E-2</v>
      </c>
      <c r="O564" s="13">
        <f t="shared" si="47"/>
        <v>9.656243837414373E-2</v>
      </c>
    </row>
    <row r="565" spans="2:15">
      <c r="B565" s="12">
        <v>5</v>
      </c>
      <c r="C565" s="4" t="s">
        <v>152</v>
      </c>
      <c r="D565" s="4" t="s">
        <v>150</v>
      </c>
      <c r="E565" s="4">
        <v>9</v>
      </c>
      <c r="F565" s="4">
        <v>2</v>
      </c>
      <c r="G565" s="4">
        <v>4</v>
      </c>
      <c r="H565" s="115"/>
      <c r="I565" s="115"/>
      <c r="J565" s="115"/>
      <c r="K565" s="115">
        <v>0</v>
      </c>
      <c r="L565" s="12">
        <f t="shared" si="44"/>
        <v>0</v>
      </c>
      <c r="M565" s="4">
        <f t="shared" si="45"/>
        <v>0</v>
      </c>
      <c r="N565" s="4">
        <f t="shared" si="46"/>
        <v>0</v>
      </c>
      <c r="O565" s="13">
        <f t="shared" si="47"/>
        <v>0</v>
      </c>
    </row>
    <row r="566" spans="2:15">
      <c r="B566" s="12">
        <v>5</v>
      </c>
      <c r="C566" s="4" t="s">
        <v>152</v>
      </c>
      <c r="D566" s="4" t="s">
        <v>150</v>
      </c>
      <c r="E566" s="4">
        <v>9</v>
      </c>
      <c r="F566" s="4">
        <v>2</v>
      </c>
      <c r="G566" s="4">
        <v>5</v>
      </c>
      <c r="H566" s="115"/>
      <c r="I566" s="115"/>
      <c r="J566" s="115"/>
      <c r="K566" s="115">
        <v>0</v>
      </c>
      <c r="L566" s="12">
        <f t="shared" si="44"/>
        <v>0</v>
      </c>
      <c r="M566" s="4">
        <f t="shared" si="45"/>
        <v>0</v>
      </c>
      <c r="N566" s="4">
        <f t="shared" si="46"/>
        <v>0</v>
      </c>
      <c r="O566" s="13">
        <f t="shared" si="47"/>
        <v>0</v>
      </c>
    </row>
    <row r="567" spans="2:15">
      <c r="B567" s="12">
        <v>5</v>
      </c>
      <c r="C567" s="4" t="s">
        <v>152</v>
      </c>
      <c r="D567" s="4" t="s">
        <v>150</v>
      </c>
      <c r="E567" s="4">
        <v>9</v>
      </c>
      <c r="F567" s="4">
        <v>2</v>
      </c>
      <c r="G567" s="4">
        <v>6</v>
      </c>
      <c r="H567" s="115"/>
      <c r="I567" s="115"/>
      <c r="J567" s="115"/>
      <c r="K567" s="115">
        <v>0</v>
      </c>
      <c r="L567" s="12">
        <f t="shared" si="44"/>
        <v>0</v>
      </c>
      <c r="M567" s="4">
        <f t="shared" si="45"/>
        <v>0</v>
      </c>
      <c r="N567" s="4">
        <f t="shared" si="46"/>
        <v>0</v>
      </c>
      <c r="O567" s="13">
        <f t="shared" si="47"/>
        <v>0</v>
      </c>
    </row>
    <row r="568" spans="2:15">
      <c r="B568" s="12">
        <v>5</v>
      </c>
      <c r="C568" s="4" t="s">
        <v>152</v>
      </c>
      <c r="D568" s="4" t="s">
        <v>150</v>
      </c>
      <c r="E568" s="4">
        <v>9</v>
      </c>
      <c r="F568" s="4">
        <v>2</v>
      </c>
      <c r="G568" s="4">
        <v>7</v>
      </c>
      <c r="H568" s="115"/>
      <c r="I568" s="115"/>
      <c r="J568" s="115"/>
      <c r="K568" s="115">
        <v>0</v>
      </c>
      <c r="L568" s="12">
        <f t="shared" si="44"/>
        <v>0</v>
      </c>
      <c r="M568" s="4">
        <f t="shared" si="45"/>
        <v>0</v>
      </c>
      <c r="N568" s="4">
        <f t="shared" si="46"/>
        <v>0</v>
      </c>
      <c r="O568" s="13">
        <f t="shared" si="47"/>
        <v>0</v>
      </c>
    </row>
    <row r="569" spans="2:15">
      <c r="B569" s="12">
        <v>5</v>
      </c>
      <c r="C569" s="4" t="s">
        <v>152</v>
      </c>
      <c r="D569" s="4" t="s">
        <v>150</v>
      </c>
      <c r="E569" s="4">
        <v>9</v>
      </c>
      <c r="F569" s="4">
        <v>2</v>
      </c>
      <c r="G569" s="4">
        <v>8</v>
      </c>
      <c r="H569" s="115"/>
      <c r="I569" s="115"/>
      <c r="J569" s="115"/>
      <c r="K569" s="115">
        <v>0</v>
      </c>
      <c r="L569" s="12">
        <f t="shared" si="44"/>
        <v>0</v>
      </c>
      <c r="M569" s="4">
        <f t="shared" si="45"/>
        <v>0</v>
      </c>
      <c r="N569" s="4">
        <f t="shared" si="46"/>
        <v>0</v>
      </c>
      <c r="O569" s="13">
        <f t="shared" si="47"/>
        <v>0</v>
      </c>
    </row>
    <row r="570" spans="2:15">
      <c r="B570" s="12">
        <v>5</v>
      </c>
      <c r="C570" s="4" t="s">
        <v>152</v>
      </c>
      <c r="D570" s="4" t="s">
        <v>150</v>
      </c>
      <c r="E570" s="4">
        <v>9</v>
      </c>
      <c r="F570" s="4">
        <v>2</v>
      </c>
      <c r="G570" s="4">
        <v>9</v>
      </c>
      <c r="H570" s="115"/>
      <c r="I570" s="115"/>
      <c r="J570" s="115"/>
      <c r="K570" s="115">
        <v>0</v>
      </c>
      <c r="L570" s="12">
        <f t="shared" si="44"/>
        <v>0</v>
      </c>
      <c r="M570" s="4">
        <f t="shared" si="45"/>
        <v>0</v>
      </c>
      <c r="N570" s="4">
        <f t="shared" si="46"/>
        <v>0</v>
      </c>
      <c r="O570" s="13">
        <f t="shared" si="47"/>
        <v>0</v>
      </c>
    </row>
    <row r="571" spans="2:15" ht="13.8" thickBot="1">
      <c r="B571" s="14">
        <v>5</v>
      </c>
      <c r="C571" s="15" t="s">
        <v>152</v>
      </c>
      <c r="D571" s="15" t="s">
        <v>150</v>
      </c>
      <c r="E571" s="15">
        <v>9</v>
      </c>
      <c r="F571" s="15">
        <v>2</v>
      </c>
      <c r="G571" s="15">
        <v>10</v>
      </c>
      <c r="H571" s="121"/>
      <c r="I571" s="121"/>
      <c r="J571" s="121"/>
      <c r="K571" s="121">
        <v>0</v>
      </c>
      <c r="L571" s="14">
        <f t="shared" si="44"/>
        <v>0</v>
      </c>
      <c r="M571" s="15">
        <f t="shared" si="45"/>
        <v>0</v>
      </c>
      <c r="N571" s="15">
        <f t="shared" si="46"/>
        <v>0</v>
      </c>
      <c r="O571" s="16">
        <f t="shared" si="47"/>
        <v>0</v>
      </c>
    </row>
    <row r="572" spans="2:15">
      <c r="B572" s="9">
        <v>5</v>
      </c>
      <c r="C572" s="10" t="s">
        <v>152</v>
      </c>
      <c r="D572" s="10" t="s">
        <v>150</v>
      </c>
      <c r="E572" s="93">
        <v>10</v>
      </c>
      <c r="F572" s="93">
        <v>4</v>
      </c>
      <c r="G572" s="10">
        <v>1</v>
      </c>
      <c r="H572" s="120">
        <v>1</v>
      </c>
      <c r="I572" s="120">
        <v>1.7160000000000082</v>
      </c>
      <c r="J572" s="120">
        <v>2.0659999999999741</v>
      </c>
      <c r="K572" s="120">
        <v>4.7819999999999823</v>
      </c>
      <c r="L572" s="9">
        <f t="shared" si="44"/>
        <v>0.3010299956639812</v>
      </c>
      <c r="M572" s="10">
        <f t="shared" si="45"/>
        <v>0.43392976560846536</v>
      </c>
      <c r="N572" s="10">
        <f t="shared" si="46"/>
        <v>0.48657215051835268</v>
      </c>
      <c r="O572" s="11">
        <f t="shared" si="47"/>
        <v>0.76207808733463767</v>
      </c>
    </row>
    <row r="573" spans="2:15">
      <c r="B573" s="12">
        <v>5</v>
      </c>
      <c r="C573" s="4" t="s">
        <v>152</v>
      </c>
      <c r="D573" s="4" t="s">
        <v>150</v>
      </c>
      <c r="E573" s="4">
        <v>10</v>
      </c>
      <c r="F573" s="4">
        <v>4</v>
      </c>
      <c r="G573" s="4">
        <v>2</v>
      </c>
      <c r="H573" s="115"/>
      <c r="I573" s="115"/>
      <c r="J573" s="115"/>
      <c r="K573" s="115">
        <v>0</v>
      </c>
      <c r="L573" s="12">
        <f t="shared" si="44"/>
        <v>0</v>
      </c>
      <c r="M573" s="4">
        <f t="shared" si="45"/>
        <v>0</v>
      </c>
      <c r="N573" s="4">
        <f t="shared" si="46"/>
        <v>0</v>
      </c>
      <c r="O573" s="13">
        <f t="shared" si="47"/>
        <v>0</v>
      </c>
    </row>
    <row r="574" spans="2:15">
      <c r="B574" s="12">
        <v>5</v>
      </c>
      <c r="C574" s="4" t="s">
        <v>152</v>
      </c>
      <c r="D574" s="4" t="s">
        <v>150</v>
      </c>
      <c r="E574" s="4">
        <v>10</v>
      </c>
      <c r="F574" s="4">
        <v>4</v>
      </c>
      <c r="G574" s="4">
        <v>3</v>
      </c>
      <c r="H574" s="115">
        <v>9.9999999999965894E-2</v>
      </c>
      <c r="I574" s="115"/>
      <c r="J574" s="115"/>
      <c r="K574" s="115">
        <v>9.9999999999965894E-2</v>
      </c>
      <c r="L574" s="12">
        <f t="shared" si="44"/>
        <v>4.1392685158211574E-2</v>
      </c>
      <c r="M574" s="4">
        <f t="shared" si="45"/>
        <v>0</v>
      </c>
      <c r="N574" s="4">
        <f t="shared" si="46"/>
        <v>0</v>
      </c>
      <c r="O574" s="13">
        <f t="shared" si="47"/>
        <v>4.1392685158211574E-2</v>
      </c>
    </row>
    <row r="575" spans="2:15">
      <c r="B575" s="12">
        <v>5</v>
      </c>
      <c r="C575" s="4" t="s">
        <v>152</v>
      </c>
      <c r="D575" s="4" t="s">
        <v>150</v>
      </c>
      <c r="E575" s="4">
        <v>10</v>
      </c>
      <c r="F575" s="4">
        <v>4</v>
      </c>
      <c r="G575" s="4">
        <v>4</v>
      </c>
      <c r="H575" s="115"/>
      <c r="I575" s="115"/>
      <c r="J575" s="115"/>
      <c r="K575" s="115">
        <v>0</v>
      </c>
      <c r="L575" s="12">
        <f t="shared" si="44"/>
        <v>0</v>
      </c>
      <c r="M575" s="4">
        <f t="shared" si="45"/>
        <v>0</v>
      </c>
      <c r="N575" s="4">
        <f t="shared" si="46"/>
        <v>0</v>
      </c>
      <c r="O575" s="13">
        <f t="shared" si="47"/>
        <v>0</v>
      </c>
    </row>
    <row r="576" spans="2:15">
      <c r="B576" s="12">
        <v>5</v>
      </c>
      <c r="C576" s="4" t="s">
        <v>152</v>
      </c>
      <c r="D576" s="4" t="s">
        <v>150</v>
      </c>
      <c r="E576" s="4">
        <v>10</v>
      </c>
      <c r="F576" s="4">
        <v>4</v>
      </c>
      <c r="G576" s="4">
        <v>5</v>
      </c>
      <c r="H576" s="115"/>
      <c r="I576" s="115"/>
      <c r="J576" s="115"/>
      <c r="K576" s="115">
        <v>0</v>
      </c>
      <c r="L576" s="12">
        <f t="shared" si="44"/>
        <v>0</v>
      </c>
      <c r="M576" s="4">
        <f t="shared" si="45"/>
        <v>0</v>
      </c>
      <c r="N576" s="4">
        <f t="shared" si="46"/>
        <v>0</v>
      </c>
      <c r="O576" s="13">
        <f t="shared" si="47"/>
        <v>0</v>
      </c>
    </row>
    <row r="577" spans="2:15">
      <c r="B577" s="12">
        <v>5</v>
      </c>
      <c r="C577" s="4" t="s">
        <v>152</v>
      </c>
      <c r="D577" s="4" t="s">
        <v>150</v>
      </c>
      <c r="E577" s="4">
        <v>10</v>
      </c>
      <c r="F577" s="4">
        <v>4</v>
      </c>
      <c r="G577" s="4">
        <v>6</v>
      </c>
      <c r="H577" s="115"/>
      <c r="I577" s="115"/>
      <c r="J577" s="115"/>
      <c r="K577" s="115">
        <v>0</v>
      </c>
      <c r="L577" s="12">
        <f t="shared" si="44"/>
        <v>0</v>
      </c>
      <c r="M577" s="4">
        <f t="shared" si="45"/>
        <v>0</v>
      </c>
      <c r="N577" s="4">
        <f t="shared" si="46"/>
        <v>0</v>
      </c>
      <c r="O577" s="13">
        <f t="shared" si="47"/>
        <v>0</v>
      </c>
    </row>
    <row r="578" spans="2:15">
      <c r="B578" s="12">
        <v>5</v>
      </c>
      <c r="C578" s="4" t="s">
        <v>152</v>
      </c>
      <c r="D578" s="4" t="s">
        <v>150</v>
      </c>
      <c r="E578" s="4">
        <v>10</v>
      </c>
      <c r="F578" s="4">
        <v>4</v>
      </c>
      <c r="G578" s="4">
        <v>7</v>
      </c>
      <c r="H578" s="115"/>
      <c r="I578" s="115"/>
      <c r="J578" s="115"/>
      <c r="K578" s="115">
        <v>0</v>
      </c>
      <c r="L578" s="12">
        <f t="shared" si="44"/>
        <v>0</v>
      </c>
      <c r="M578" s="4">
        <f t="shared" si="45"/>
        <v>0</v>
      </c>
      <c r="N578" s="4">
        <f t="shared" si="46"/>
        <v>0</v>
      </c>
      <c r="O578" s="13">
        <f t="shared" si="47"/>
        <v>0</v>
      </c>
    </row>
    <row r="579" spans="2:15">
      <c r="B579" s="12">
        <v>5</v>
      </c>
      <c r="C579" s="4" t="s">
        <v>152</v>
      </c>
      <c r="D579" s="4" t="s">
        <v>150</v>
      </c>
      <c r="E579" s="4">
        <v>10</v>
      </c>
      <c r="F579" s="4">
        <v>4</v>
      </c>
      <c r="G579" s="4">
        <v>8</v>
      </c>
      <c r="H579" s="115"/>
      <c r="I579" s="115"/>
      <c r="J579" s="115"/>
      <c r="K579" s="115">
        <v>0</v>
      </c>
      <c r="L579" s="12">
        <f t="shared" si="44"/>
        <v>0</v>
      </c>
      <c r="M579" s="4">
        <f t="shared" si="45"/>
        <v>0</v>
      </c>
      <c r="N579" s="4">
        <f t="shared" si="46"/>
        <v>0</v>
      </c>
      <c r="O579" s="13">
        <f t="shared" si="47"/>
        <v>0</v>
      </c>
    </row>
    <row r="580" spans="2:15">
      <c r="B580" s="12">
        <v>5</v>
      </c>
      <c r="C580" s="4" t="s">
        <v>152</v>
      </c>
      <c r="D580" s="4" t="s">
        <v>150</v>
      </c>
      <c r="E580" s="4">
        <v>10</v>
      </c>
      <c r="F580" s="4">
        <v>4</v>
      </c>
      <c r="G580" s="4">
        <v>9</v>
      </c>
      <c r="H580" s="115"/>
      <c r="I580" s="115"/>
      <c r="J580" s="115"/>
      <c r="K580" s="115">
        <v>0</v>
      </c>
      <c r="L580" s="12">
        <f t="shared" si="44"/>
        <v>0</v>
      </c>
      <c r="M580" s="4">
        <f t="shared" si="45"/>
        <v>0</v>
      </c>
      <c r="N580" s="4">
        <f t="shared" si="46"/>
        <v>0</v>
      </c>
      <c r="O580" s="13">
        <f t="shared" si="47"/>
        <v>0</v>
      </c>
    </row>
    <row r="581" spans="2:15" ht="13.8" thickBot="1">
      <c r="B581" s="14">
        <v>5</v>
      </c>
      <c r="C581" s="15" t="s">
        <v>152</v>
      </c>
      <c r="D581" s="15" t="s">
        <v>150</v>
      </c>
      <c r="E581" s="15">
        <v>10</v>
      </c>
      <c r="F581" s="15">
        <v>4</v>
      </c>
      <c r="G581" s="15">
        <v>10</v>
      </c>
      <c r="H581" s="121"/>
      <c r="I581" s="121"/>
      <c r="J581" s="121"/>
      <c r="K581" s="121">
        <v>0</v>
      </c>
      <c r="L581" s="14">
        <f t="shared" si="44"/>
        <v>0</v>
      </c>
      <c r="M581" s="15">
        <f t="shared" si="45"/>
        <v>0</v>
      </c>
      <c r="N581" s="15">
        <f t="shared" si="46"/>
        <v>0</v>
      </c>
      <c r="O581" s="16">
        <f t="shared" si="47"/>
        <v>0</v>
      </c>
    </row>
    <row r="582" spans="2:15">
      <c r="B582" s="9">
        <v>5</v>
      </c>
      <c r="C582" s="10" t="s">
        <v>152</v>
      </c>
      <c r="D582" s="10" t="s">
        <v>154</v>
      </c>
      <c r="E582" s="93">
        <v>11</v>
      </c>
      <c r="F582" s="93">
        <v>6</v>
      </c>
      <c r="G582" s="10">
        <v>1</v>
      </c>
      <c r="H582" s="120">
        <v>3.8160000000000309</v>
      </c>
      <c r="I582" s="120">
        <v>0.15000000000003411</v>
      </c>
      <c r="J582" s="120"/>
      <c r="K582" s="120">
        <v>3.966000000000065</v>
      </c>
      <c r="L582" s="9">
        <f t="shared" si="44"/>
        <v>0.68268647824977091</v>
      </c>
      <c r="M582" s="10">
        <f t="shared" si="45"/>
        <v>6.0697840353624563E-2</v>
      </c>
      <c r="N582" s="10">
        <f t="shared" si="46"/>
        <v>0</v>
      </c>
      <c r="O582" s="11">
        <f t="shared" si="47"/>
        <v>0.69600671521855118</v>
      </c>
    </row>
    <row r="583" spans="2:15">
      <c r="B583" s="12">
        <v>5</v>
      </c>
      <c r="C583" s="4" t="s">
        <v>152</v>
      </c>
      <c r="D583" s="4" t="s">
        <v>154</v>
      </c>
      <c r="E583" s="4">
        <v>11</v>
      </c>
      <c r="F583" s="4">
        <v>6</v>
      </c>
      <c r="G583" s="4">
        <v>2</v>
      </c>
      <c r="H583" s="115">
        <v>0.30000000000001137</v>
      </c>
      <c r="I583" s="115">
        <v>0.91600000000005366</v>
      </c>
      <c r="J583" s="115">
        <v>0.28400000000004866</v>
      </c>
      <c r="K583" s="115">
        <v>1.5000000000001137</v>
      </c>
      <c r="L583" s="12">
        <f t="shared" si="44"/>
        <v>0.11394335230684056</v>
      </c>
      <c r="M583" s="4">
        <f t="shared" si="45"/>
        <v>0.28239550474253777</v>
      </c>
      <c r="N583" s="4">
        <f t="shared" si="46"/>
        <v>0.10856502373285093</v>
      </c>
      <c r="O583" s="13">
        <f t="shared" si="47"/>
        <v>0.39794000867205737</v>
      </c>
    </row>
    <row r="584" spans="2:15">
      <c r="B584" s="12">
        <v>5</v>
      </c>
      <c r="C584" s="4" t="s">
        <v>152</v>
      </c>
      <c r="D584" s="4" t="s">
        <v>154</v>
      </c>
      <c r="E584" s="4">
        <v>11</v>
      </c>
      <c r="F584" s="4">
        <v>6</v>
      </c>
      <c r="G584" s="4">
        <v>3</v>
      </c>
      <c r="H584" s="115">
        <v>6.8630000000000564</v>
      </c>
      <c r="I584" s="115">
        <v>1.5989999999999327</v>
      </c>
      <c r="J584" s="115">
        <v>0.50099999999997635</v>
      </c>
      <c r="K584" s="115">
        <v>8.9629999999999654</v>
      </c>
      <c r="L584" s="12">
        <f t="shared" si="44"/>
        <v>0.89558827566626598</v>
      </c>
      <c r="M584" s="4">
        <f t="shared" si="45"/>
        <v>0.41480627950100135</v>
      </c>
      <c r="N584" s="4">
        <f t="shared" si="46"/>
        <v>0.17638069224326355</v>
      </c>
      <c r="O584" s="13">
        <f t="shared" si="47"/>
        <v>0.99839013031804613</v>
      </c>
    </row>
    <row r="585" spans="2:15">
      <c r="B585" s="12">
        <v>5</v>
      </c>
      <c r="C585" s="4" t="s">
        <v>152</v>
      </c>
      <c r="D585" s="4" t="s">
        <v>154</v>
      </c>
      <c r="E585" s="4">
        <v>11</v>
      </c>
      <c r="F585" s="4">
        <v>6</v>
      </c>
      <c r="G585" s="4">
        <v>4</v>
      </c>
      <c r="H585" s="115"/>
      <c r="I585" s="115">
        <v>0.34899999999998954</v>
      </c>
      <c r="J585" s="115"/>
      <c r="K585" s="115">
        <v>0.34899999999998954</v>
      </c>
      <c r="L585" s="12">
        <f t="shared" si="44"/>
        <v>0</v>
      </c>
      <c r="M585" s="4">
        <f t="shared" si="45"/>
        <v>0.13001194967190088</v>
      </c>
      <c r="N585" s="4">
        <f t="shared" si="46"/>
        <v>0</v>
      </c>
      <c r="O585" s="13">
        <f t="shared" si="47"/>
        <v>0.13001194967190088</v>
      </c>
    </row>
    <row r="586" spans="2:15">
      <c r="B586" s="12">
        <v>5</v>
      </c>
      <c r="C586" s="4" t="s">
        <v>152</v>
      </c>
      <c r="D586" s="4" t="s">
        <v>154</v>
      </c>
      <c r="E586" s="4">
        <v>11</v>
      </c>
      <c r="F586" s="4">
        <v>6</v>
      </c>
      <c r="G586" s="4">
        <v>5</v>
      </c>
      <c r="H586" s="115">
        <v>0.28400000000004866</v>
      </c>
      <c r="I586" s="115">
        <v>0.29999999999995453</v>
      </c>
      <c r="J586" s="115">
        <v>0.31700000000000728</v>
      </c>
      <c r="K586" s="115">
        <v>0.90100000000001046</v>
      </c>
      <c r="L586" s="12">
        <f t="shared" si="44"/>
        <v>0.10856502373285093</v>
      </c>
      <c r="M586" s="4">
        <f t="shared" si="45"/>
        <v>0.11394335230682158</v>
      </c>
      <c r="N586" s="4">
        <f t="shared" si="46"/>
        <v>0.11958577496178621</v>
      </c>
      <c r="O586" s="13">
        <f t="shared" si="47"/>
        <v>0.27898211686544555</v>
      </c>
    </row>
    <row r="587" spans="2:15">
      <c r="B587" s="12">
        <v>5</v>
      </c>
      <c r="C587" s="4" t="s">
        <v>152</v>
      </c>
      <c r="D587" s="4" t="s">
        <v>154</v>
      </c>
      <c r="E587" s="4">
        <v>11</v>
      </c>
      <c r="F587" s="4">
        <v>6</v>
      </c>
      <c r="G587" s="4">
        <v>6</v>
      </c>
      <c r="H587" s="115"/>
      <c r="I587" s="115"/>
      <c r="J587" s="115"/>
      <c r="K587" s="115">
        <v>0</v>
      </c>
      <c r="L587" s="12">
        <f t="shared" si="44"/>
        <v>0</v>
      </c>
      <c r="M587" s="4">
        <f t="shared" si="45"/>
        <v>0</v>
      </c>
      <c r="N587" s="4">
        <f t="shared" si="46"/>
        <v>0</v>
      </c>
      <c r="O587" s="13">
        <f t="shared" si="47"/>
        <v>0</v>
      </c>
    </row>
    <row r="588" spans="2:15">
      <c r="B588" s="12">
        <v>5</v>
      </c>
      <c r="C588" s="4" t="s">
        <v>152</v>
      </c>
      <c r="D588" s="4" t="s">
        <v>154</v>
      </c>
      <c r="E588" s="4">
        <v>11</v>
      </c>
      <c r="F588" s="4">
        <v>6</v>
      </c>
      <c r="G588" s="4">
        <v>7</v>
      </c>
      <c r="H588" s="115"/>
      <c r="I588" s="115"/>
      <c r="J588" s="115"/>
      <c r="K588" s="115">
        <v>0</v>
      </c>
      <c r="L588" s="12">
        <f t="shared" si="44"/>
        <v>0</v>
      </c>
      <c r="M588" s="4">
        <f t="shared" si="45"/>
        <v>0</v>
      </c>
      <c r="N588" s="4">
        <f t="shared" si="46"/>
        <v>0</v>
      </c>
      <c r="O588" s="13">
        <f t="shared" si="47"/>
        <v>0</v>
      </c>
    </row>
    <row r="589" spans="2:15">
      <c r="B589" s="12">
        <v>5</v>
      </c>
      <c r="C589" s="4" t="s">
        <v>152</v>
      </c>
      <c r="D589" s="4" t="s">
        <v>154</v>
      </c>
      <c r="E589" s="4">
        <v>11</v>
      </c>
      <c r="F589" s="4">
        <v>6</v>
      </c>
      <c r="G589" s="4">
        <v>8</v>
      </c>
      <c r="H589" s="115"/>
      <c r="I589" s="115"/>
      <c r="J589" s="115"/>
      <c r="K589" s="115">
        <v>0</v>
      </c>
      <c r="L589" s="12">
        <f t="shared" si="44"/>
        <v>0</v>
      </c>
      <c r="M589" s="4">
        <f t="shared" si="45"/>
        <v>0</v>
      </c>
      <c r="N589" s="4">
        <f t="shared" si="46"/>
        <v>0</v>
      </c>
      <c r="O589" s="13">
        <f t="shared" si="47"/>
        <v>0</v>
      </c>
    </row>
    <row r="590" spans="2:15">
      <c r="B590" s="12">
        <v>5</v>
      </c>
      <c r="C590" s="4" t="s">
        <v>152</v>
      </c>
      <c r="D590" s="4" t="s">
        <v>154</v>
      </c>
      <c r="E590" s="4">
        <v>11</v>
      </c>
      <c r="F590" s="4">
        <v>6</v>
      </c>
      <c r="G590" s="4">
        <v>9</v>
      </c>
      <c r="H590" s="115"/>
      <c r="I590" s="115"/>
      <c r="J590" s="115"/>
      <c r="K590" s="115">
        <v>0</v>
      </c>
      <c r="L590" s="12">
        <f t="shared" si="44"/>
        <v>0</v>
      </c>
      <c r="M590" s="4">
        <f t="shared" si="45"/>
        <v>0</v>
      </c>
      <c r="N590" s="4">
        <f t="shared" si="46"/>
        <v>0</v>
      </c>
      <c r="O590" s="13">
        <f t="shared" si="47"/>
        <v>0</v>
      </c>
    </row>
    <row r="591" spans="2:15" ht="13.8" thickBot="1">
      <c r="B591" s="14">
        <v>5</v>
      </c>
      <c r="C591" s="15" t="s">
        <v>152</v>
      </c>
      <c r="D591" s="15" t="s">
        <v>154</v>
      </c>
      <c r="E591" s="15">
        <v>11</v>
      </c>
      <c r="F591" s="15">
        <v>6</v>
      </c>
      <c r="G591" s="15">
        <v>10</v>
      </c>
      <c r="H591" s="121"/>
      <c r="I591" s="121"/>
      <c r="J591" s="121"/>
      <c r="K591" s="121">
        <v>0</v>
      </c>
      <c r="L591" s="14">
        <f t="shared" si="44"/>
        <v>0</v>
      </c>
      <c r="M591" s="15">
        <f t="shared" si="45"/>
        <v>0</v>
      </c>
      <c r="N591" s="15">
        <f t="shared" si="46"/>
        <v>0</v>
      </c>
      <c r="O591" s="16">
        <f t="shared" si="47"/>
        <v>0</v>
      </c>
    </row>
    <row r="592" spans="2:15">
      <c r="B592" s="9">
        <v>5</v>
      </c>
      <c r="C592" s="10" t="s">
        <v>152</v>
      </c>
      <c r="D592" s="10" t="s">
        <v>154</v>
      </c>
      <c r="E592" s="93">
        <v>12</v>
      </c>
      <c r="F592" s="93">
        <v>8</v>
      </c>
      <c r="G592" s="10">
        <v>1</v>
      </c>
      <c r="H592" s="120">
        <v>2.25</v>
      </c>
      <c r="I592" s="120">
        <v>6.5330000000000155</v>
      </c>
      <c r="J592" s="120">
        <v>0.43299999999999272</v>
      </c>
      <c r="K592" s="120">
        <v>9.2160000000000082</v>
      </c>
      <c r="L592" s="9">
        <f t="shared" si="44"/>
        <v>0.51188336097887432</v>
      </c>
      <c r="M592" s="10">
        <f t="shared" si="45"/>
        <v>0.87696796743258576</v>
      </c>
      <c r="N592" s="10">
        <f t="shared" si="46"/>
        <v>0.15624619039734228</v>
      </c>
      <c r="O592" s="11">
        <f t="shared" si="47"/>
        <v>1.0092808842553591</v>
      </c>
    </row>
    <row r="593" spans="2:15">
      <c r="B593" s="12">
        <v>5</v>
      </c>
      <c r="C593" s="4" t="s">
        <v>152</v>
      </c>
      <c r="D593" s="4" t="s">
        <v>154</v>
      </c>
      <c r="E593" s="4">
        <v>12</v>
      </c>
      <c r="F593" s="4">
        <v>8</v>
      </c>
      <c r="G593" s="4">
        <v>2</v>
      </c>
      <c r="H593" s="115">
        <v>0.45000000000004547</v>
      </c>
      <c r="I593" s="115">
        <v>1.58299999999997</v>
      </c>
      <c r="J593" s="115"/>
      <c r="K593" s="115">
        <v>2.0330000000000155</v>
      </c>
      <c r="L593" s="12">
        <f t="shared" si="44"/>
        <v>0.16136800223498851</v>
      </c>
      <c r="M593" s="4">
        <f t="shared" si="45"/>
        <v>0.41212440617331214</v>
      </c>
      <c r="N593" s="4">
        <f t="shared" si="46"/>
        <v>0</v>
      </c>
      <c r="O593" s="13">
        <f t="shared" si="47"/>
        <v>0.48187241031066569</v>
      </c>
    </row>
    <row r="594" spans="2:15">
      <c r="B594" s="12">
        <v>5</v>
      </c>
      <c r="C594" s="4" t="s">
        <v>152</v>
      </c>
      <c r="D594" s="4" t="s">
        <v>154</v>
      </c>
      <c r="E594" s="4">
        <v>12</v>
      </c>
      <c r="F594" s="4">
        <v>8</v>
      </c>
      <c r="G594" s="4">
        <v>3</v>
      </c>
      <c r="H594" s="115">
        <v>1.8009999999999309</v>
      </c>
      <c r="I594" s="115">
        <v>2.5330000000000155</v>
      </c>
      <c r="J594" s="115">
        <v>0.16600000000005366</v>
      </c>
      <c r="K594" s="115">
        <v>4.5</v>
      </c>
      <c r="L594" s="12">
        <f t="shared" si="44"/>
        <v>0.44731310882355751</v>
      </c>
      <c r="M594" s="4">
        <f t="shared" si="45"/>
        <v>0.5481436374348474</v>
      </c>
      <c r="N594" s="4">
        <f t="shared" si="46"/>
        <v>6.6698550423015271E-2</v>
      </c>
      <c r="O594" s="13">
        <f t="shared" si="47"/>
        <v>0.74036268949424389</v>
      </c>
    </row>
    <row r="595" spans="2:15">
      <c r="B595" s="12">
        <v>5</v>
      </c>
      <c r="C595" s="4" t="s">
        <v>152</v>
      </c>
      <c r="D595" s="4" t="s">
        <v>154</v>
      </c>
      <c r="E595" s="4">
        <v>12</v>
      </c>
      <c r="F595" s="4">
        <v>8</v>
      </c>
      <c r="G595" s="4">
        <v>4</v>
      </c>
      <c r="H595" s="115"/>
      <c r="I595" s="115">
        <v>0.14999999999997726</v>
      </c>
      <c r="J595" s="115"/>
      <c r="K595" s="115">
        <v>0.14999999999997726</v>
      </c>
      <c r="L595" s="12">
        <f t="shared" si="44"/>
        <v>0</v>
      </c>
      <c r="M595" s="4">
        <f t="shared" si="45"/>
        <v>6.0697840353603094E-2</v>
      </c>
      <c r="N595" s="4">
        <f t="shared" si="46"/>
        <v>0</v>
      </c>
      <c r="O595" s="13">
        <f t="shared" si="47"/>
        <v>6.0697840353603094E-2</v>
      </c>
    </row>
    <row r="596" spans="2:15">
      <c r="B596" s="12">
        <v>5</v>
      </c>
      <c r="C596" s="4" t="s">
        <v>152</v>
      </c>
      <c r="D596" s="4" t="s">
        <v>154</v>
      </c>
      <c r="E596" s="4">
        <v>12</v>
      </c>
      <c r="F596" s="4">
        <v>8</v>
      </c>
      <c r="G596" s="4">
        <v>5</v>
      </c>
      <c r="H596" s="115"/>
      <c r="I596" s="115"/>
      <c r="J596" s="115"/>
      <c r="K596" s="115">
        <v>0</v>
      </c>
      <c r="L596" s="12">
        <f t="shared" si="44"/>
        <v>0</v>
      </c>
      <c r="M596" s="4">
        <f t="shared" si="45"/>
        <v>0</v>
      </c>
      <c r="N596" s="4">
        <f t="shared" si="46"/>
        <v>0</v>
      </c>
      <c r="O596" s="13">
        <f t="shared" si="47"/>
        <v>0</v>
      </c>
    </row>
    <row r="597" spans="2:15">
      <c r="B597" s="12">
        <v>5</v>
      </c>
      <c r="C597" s="4" t="s">
        <v>152</v>
      </c>
      <c r="D597" s="4" t="s">
        <v>154</v>
      </c>
      <c r="E597" s="4">
        <v>12</v>
      </c>
      <c r="F597" s="4">
        <v>8</v>
      </c>
      <c r="G597" s="4">
        <v>6</v>
      </c>
      <c r="H597" s="115"/>
      <c r="I597" s="115"/>
      <c r="J597" s="115"/>
      <c r="K597" s="115">
        <v>0</v>
      </c>
      <c r="L597" s="12">
        <f t="shared" si="44"/>
        <v>0</v>
      </c>
      <c r="M597" s="4">
        <f t="shared" si="45"/>
        <v>0</v>
      </c>
      <c r="N597" s="4">
        <f t="shared" si="46"/>
        <v>0</v>
      </c>
      <c r="O597" s="13">
        <f t="shared" si="47"/>
        <v>0</v>
      </c>
    </row>
    <row r="598" spans="2:15">
      <c r="B598" s="12">
        <v>5</v>
      </c>
      <c r="C598" s="4" t="s">
        <v>152</v>
      </c>
      <c r="D598" s="4" t="s">
        <v>154</v>
      </c>
      <c r="E598" s="4">
        <v>12</v>
      </c>
      <c r="F598" s="4">
        <v>8</v>
      </c>
      <c r="G598" s="4">
        <v>7</v>
      </c>
      <c r="H598" s="115"/>
      <c r="I598" s="115"/>
      <c r="J598" s="115"/>
      <c r="K598" s="115">
        <v>0</v>
      </c>
      <c r="L598" s="12">
        <f t="shared" si="44"/>
        <v>0</v>
      </c>
      <c r="M598" s="4">
        <f t="shared" si="45"/>
        <v>0</v>
      </c>
      <c r="N598" s="4">
        <f t="shared" si="46"/>
        <v>0</v>
      </c>
      <c r="O598" s="13">
        <f t="shared" si="47"/>
        <v>0</v>
      </c>
    </row>
    <row r="599" spans="2:15">
      <c r="B599" s="12">
        <v>5</v>
      </c>
      <c r="C599" s="4" t="s">
        <v>152</v>
      </c>
      <c r="D599" s="4" t="s">
        <v>154</v>
      </c>
      <c r="E599" s="4">
        <v>12</v>
      </c>
      <c r="F599" s="4">
        <v>8</v>
      </c>
      <c r="G599" s="4">
        <v>8</v>
      </c>
      <c r="H599" s="115"/>
      <c r="I599" s="115"/>
      <c r="J599" s="115"/>
      <c r="K599" s="115">
        <v>0</v>
      </c>
      <c r="L599" s="12">
        <f t="shared" si="44"/>
        <v>0</v>
      </c>
      <c r="M599" s="4">
        <f t="shared" si="45"/>
        <v>0</v>
      </c>
      <c r="N599" s="4">
        <f t="shared" si="46"/>
        <v>0</v>
      </c>
      <c r="O599" s="13">
        <f t="shared" si="47"/>
        <v>0</v>
      </c>
    </row>
    <row r="600" spans="2:15">
      <c r="B600" s="12">
        <v>5</v>
      </c>
      <c r="C600" s="4" t="s">
        <v>152</v>
      </c>
      <c r="D600" s="4" t="s">
        <v>154</v>
      </c>
      <c r="E600" s="4">
        <v>12</v>
      </c>
      <c r="F600" s="4">
        <v>8</v>
      </c>
      <c r="G600" s="4">
        <v>9</v>
      </c>
      <c r="H600" s="115"/>
      <c r="I600" s="115"/>
      <c r="J600" s="115"/>
      <c r="K600" s="115">
        <v>0</v>
      </c>
      <c r="L600" s="12">
        <f t="shared" si="44"/>
        <v>0</v>
      </c>
      <c r="M600" s="4">
        <f t="shared" si="45"/>
        <v>0</v>
      </c>
      <c r="N600" s="4">
        <f t="shared" si="46"/>
        <v>0</v>
      </c>
      <c r="O600" s="13">
        <f t="shared" si="47"/>
        <v>0</v>
      </c>
    </row>
    <row r="601" spans="2:15" ht="13.8" thickBot="1">
      <c r="B601" s="14">
        <v>5</v>
      </c>
      <c r="C601" s="15" t="s">
        <v>152</v>
      </c>
      <c r="D601" s="15" t="s">
        <v>154</v>
      </c>
      <c r="E601" s="15">
        <v>12</v>
      </c>
      <c r="F601" s="15">
        <v>8</v>
      </c>
      <c r="G601" s="15">
        <v>10</v>
      </c>
      <c r="H601" s="121"/>
      <c r="I601" s="121"/>
      <c r="J601" s="121"/>
      <c r="K601" s="121">
        <v>0</v>
      </c>
      <c r="L601" s="14">
        <f t="shared" si="44"/>
        <v>0</v>
      </c>
      <c r="M601" s="15">
        <f t="shared" si="45"/>
        <v>0</v>
      </c>
      <c r="N601" s="15">
        <f t="shared" si="46"/>
        <v>0</v>
      </c>
      <c r="O601" s="16">
        <f t="shared" si="47"/>
        <v>0</v>
      </c>
    </row>
    <row r="602" spans="2:15">
      <c r="B602" s="9">
        <v>6</v>
      </c>
      <c r="C602" s="10" t="s">
        <v>151</v>
      </c>
      <c r="D602" s="10" t="s">
        <v>149</v>
      </c>
      <c r="E602" s="93">
        <v>1</v>
      </c>
      <c r="F602" s="93">
        <v>5</v>
      </c>
      <c r="G602" s="10">
        <v>1</v>
      </c>
      <c r="H602" s="120">
        <v>0.63499999999993406</v>
      </c>
      <c r="I602" s="120">
        <v>0.65000000000009095</v>
      </c>
      <c r="J602" s="120">
        <v>1.7510000000000332</v>
      </c>
      <c r="K602" s="120">
        <v>3.0360000000000582</v>
      </c>
      <c r="L602" s="9">
        <f t="shared" si="44"/>
        <v>0.21351775699628736</v>
      </c>
      <c r="M602" s="10">
        <f t="shared" si="45"/>
        <v>0.21748394421393022</v>
      </c>
      <c r="N602" s="10">
        <f t="shared" si="46"/>
        <v>0.4394905903896888</v>
      </c>
      <c r="O602" s="11">
        <f t="shared" si="47"/>
        <v>0.60595115756487916</v>
      </c>
    </row>
    <row r="603" spans="2:15">
      <c r="B603" s="12">
        <v>6</v>
      </c>
      <c r="C603" s="4" t="s">
        <v>151</v>
      </c>
      <c r="D603" s="4" t="s">
        <v>149</v>
      </c>
      <c r="E603" s="4">
        <v>1</v>
      </c>
      <c r="F603" s="4">
        <v>5</v>
      </c>
      <c r="G603" s="4">
        <v>2</v>
      </c>
      <c r="H603" s="115"/>
      <c r="I603" s="115">
        <v>0.31700000000000728</v>
      </c>
      <c r="J603" s="115">
        <v>0.56700000000000728</v>
      </c>
      <c r="K603" s="115">
        <v>0.88400000000001455</v>
      </c>
      <c r="L603" s="12">
        <f t="shared" si="44"/>
        <v>0</v>
      </c>
      <c r="M603" s="4">
        <f t="shared" si="45"/>
        <v>0.11958577496178621</v>
      </c>
      <c r="N603" s="4">
        <f t="shared" si="46"/>
        <v>0.19506899646859216</v>
      </c>
      <c r="O603" s="13">
        <f t="shared" si="47"/>
        <v>0.2750808984568619</v>
      </c>
    </row>
    <row r="604" spans="2:15">
      <c r="B604" s="12">
        <v>6</v>
      </c>
      <c r="C604" s="4" t="s">
        <v>151</v>
      </c>
      <c r="D604" s="4" t="s">
        <v>149</v>
      </c>
      <c r="E604" s="4">
        <v>1</v>
      </c>
      <c r="F604" s="4">
        <v>5</v>
      </c>
      <c r="G604" s="4">
        <v>3</v>
      </c>
      <c r="H604" s="115"/>
      <c r="I604" s="115">
        <v>0.45100000000002183</v>
      </c>
      <c r="J604" s="115"/>
      <c r="K604" s="115">
        <v>0.45100000000002183</v>
      </c>
      <c r="L604" s="12">
        <f t="shared" si="44"/>
        <v>0</v>
      </c>
      <c r="M604" s="4">
        <f t="shared" si="45"/>
        <v>0.16166741243774241</v>
      </c>
      <c r="N604" s="4">
        <f t="shared" si="46"/>
        <v>0</v>
      </c>
      <c r="O604" s="13">
        <f t="shared" si="47"/>
        <v>0.16166741243774241</v>
      </c>
    </row>
    <row r="605" spans="2:15">
      <c r="B605" s="12">
        <v>6</v>
      </c>
      <c r="C605" s="4" t="s">
        <v>151</v>
      </c>
      <c r="D605" s="4" t="s">
        <v>149</v>
      </c>
      <c r="E605" s="4">
        <v>1</v>
      </c>
      <c r="F605" s="4">
        <v>5</v>
      </c>
      <c r="G605" s="4">
        <v>4</v>
      </c>
      <c r="H605" s="115"/>
      <c r="I605" s="115"/>
      <c r="J605" s="115"/>
      <c r="K605" s="115">
        <v>0</v>
      </c>
      <c r="L605" s="12">
        <f t="shared" si="44"/>
        <v>0</v>
      </c>
      <c r="M605" s="4">
        <f t="shared" si="45"/>
        <v>0</v>
      </c>
      <c r="N605" s="4">
        <f t="shared" si="46"/>
        <v>0</v>
      </c>
      <c r="O605" s="13">
        <f t="shared" si="47"/>
        <v>0</v>
      </c>
    </row>
    <row r="606" spans="2:15">
      <c r="B606" s="12">
        <v>6</v>
      </c>
      <c r="C606" s="4" t="s">
        <v>151</v>
      </c>
      <c r="D606" s="4" t="s">
        <v>149</v>
      </c>
      <c r="E606" s="4">
        <v>1</v>
      </c>
      <c r="F606" s="4">
        <v>5</v>
      </c>
      <c r="G606" s="4">
        <v>5</v>
      </c>
      <c r="H606" s="115"/>
      <c r="I606" s="115"/>
      <c r="J606" s="115"/>
      <c r="K606" s="115">
        <v>0</v>
      </c>
      <c r="L606" s="12">
        <f t="shared" si="44"/>
        <v>0</v>
      </c>
      <c r="M606" s="4">
        <f t="shared" si="45"/>
        <v>0</v>
      </c>
      <c r="N606" s="4">
        <f t="shared" si="46"/>
        <v>0</v>
      </c>
      <c r="O606" s="13">
        <f t="shared" si="47"/>
        <v>0</v>
      </c>
    </row>
    <row r="607" spans="2:15">
      <c r="B607" s="12">
        <v>6</v>
      </c>
      <c r="C607" s="4" t="s">
        <v>151</v>
      </c>
      <c r="D607" s="4" t="s">
        <v>149</v>
      </c>
      <c r="E607" s="4">
        <v>1</v>
      </c>
      <c r="F607" s="4">
        <v>5</v>
      </c>
      <c r="G607" s="4">
        <v>6</v>
      </c>
      <c r="H607" s="115"/>
      <c r="I607" s="115"/>
      <c r="J607" s="115"/>
      <c r="K607" s="115">
        <v>0</v>
      </c>
      <c r="L607" s="12">
        <f t="shared" si="44"/>
        <v>0</v>
      </c>
      <c r="M607" s="4">
        <f t="shared" si="45"/>
        <v>0</v>
      </c>
      <c r="N607" s="4">
        <f t="shared" si="46"/>
        <v>0</v>
      </c>
      <c r="O607" s="13">
        <f t="shared" si="47"/>
        <v>0</v>
      </c>
    </row>
    <row r="608" spans="2:15">
      <c r="B608" s="12">
        <v>6</v>
      </c>
      <c r="C608" s="4" t="s">
        <v>151</v>
      </c>
      <c r="D608" s="4" t="s">
        <v>149</v>
      </c>
      <c r="E608" s="4">
        <v>1</v>
      </c>
      <c r="F608" s="4">
        <v>5</v>
      </c>
      <c r="G608" s="4">
        <v>7</v>
      </c>
      <c r="H608" s="115"/>
      <c r="I608" s="115"/>
      <c r="J608" s="115"/>
      <c r="K608" s="115">
        <v>0</v>
      </c>
      <c r="L608" s="12">
        <f t="shared" si="44"/>
        <v>0</v>
      </c>
      <c r="M608" s="4">
        <f t="shared" si="45"/>
        <v>0</v>
      </c>
      <c r="N608" s="4">
        <f t="shared" si="46"/>
        <v>0</v>
      </c>
      <c r="O608" s="13">
        <f t="shared" si="47"/>
        <v>0</v>
      </c>
    </row>
    <row r="609" spans="2:15">
      <c r="B609" s="12">
        <v>6</v>
      </c>
      <c r="C609" s="4" t="s">
        <v>151</v>
      </c>
      <c r="D609" s="4" t="s">
        <v>149</v>
      </c>
      <c r="E609" s="4">
        <v>1</v>
      </c>
      <c r="F609" s="4">
        <v>5</v>
      </c>
      <c r="G609" s="4">
        <v>8</v>
      </c>
      <c r="H609" s="115"/>
      <c r="I609" s="115"/>
      <c r="J609" s="115"/>
      <c r="K609" s="115">
        <v>0</v>
      </c>
      <c r="L609" s="12">
        <f t="shared" si="44"/>
        <v>0</v>
      </c>
      <c r="M609" s="4">
        <f t="shared" si="45"/>
        <v>0</v>
      </c>
      <c r="N609" s="4">
        <f t="shared" si="46"/>
        <v>0</v>
      </c>
      <c r="O609" s="13">
        <f t="shared" si="47"/>
        <v>0</v>
      </c>
    </row>
    <row r="610" spans="2:15">
      <c r="B610" s="12">
        <v>6</v>
      </c>
      <c r="C610" s="4" t="s">
        <v>151</v>
      </c>
      <c r="D610" s="4" t="s">
        <v>149</v>
      </c>
      <c r="E610" s="4">
        <v>1</v>
      </c>
      <c r="F610" s="4">
        <v>5</v>
      </c>
      <c r="G610" s="4">
        <v>9</v>
      </c>
      <c r="H610" s="115"/>
      <c r="I610" s="115"/>
      <c r="J610" s="115"/>
      <c r="K610" s="115">
        <v>0</v>
      </c>
      <c r="L610" s="12">
        <f t="shared" si="44"/>
        <v>0</v>
      </c>
      <c r="M610" s="4">
        <f t="shared" si="45"/>
        <v>0</v>
      </c>
      <c r="N610" s="4">
        <f t="shared" si="46"/>
        <v>0</v>
      </c>
      <c r="O610" s="13">
        <f t="shared" si="47"/>
        <v>0</v>
      </c>
    </row>
    <row r="611" spans="2:15" ht="13.8" thickBot="1">
      <c r="B611" s="14">
        <v>6</v>
      </c>
      <c r="C611" s="15" t="s">
        <v>151</v>
      </c>
      <c r="D611" s="15" t="s">
        <v>149</v>
      </c>
      <c r="E611" s="15">
        <v>1</v>
      </c>
      <c r="F611" s="15">
        <v>5</v>
      </c>
      <c r="G611" s="15">
        <v>10</v>
      </c>
      <c r="H611" s="121"/>
      <c r="I611" s="121"/>
      <c r="J611" s="121"/>
      <c r="K611" s="121">
        <v>0</v>
      </c>
      <c r="L611" s="14">
        <f t="shared" si="44"/>
        <v>0</v>
      </c>
      <c r="M611" s="15">
        <f t="shared" si="45"/>
        <v>0</v>
      </c>
      <c r="N611" s="15">
        <f t="shared" si="46"/>
        <v>0</v>
      </c>
      <c r="O611" s="16">
        <f t="shared" si="47"/>
        <v>0</v>
      </c>
    </row>
    <row r="612" spans="2:15">
      <c r="B612" s="9">
        <v>6</v>
      </c>
      <c r="C612" s="10" t="s">
        <v>151</v>
      </c>
      <c r="D612" s="10" t="s">
        <v>154</v>
      </c>
      <c r="E612" s="93">
        <v>2</v>
      </c>
      <c r="F612" s="93">
        <v>9</v>
      </c>
      <c r="G612" s="10">
        <v>1</v>
      </c>
      <c r="H612" s="120">
        <v>0.56700000000000728</v>
      </c>
      <c r="I612" s="120">
        <v>0.21600000000000819</v>
      </c>
      <c r="J612" s="120">
        <v>0.56699999999995043</v>
      </c>
      <c r="K612" s="120">
        <v>1.3499999999999659</v>
      </c>
      <c r="L612" s="9">
        <f t="shared" si="44"/>
        <v>0.19506899646859216</v>
      </c>
      <c r="M612" s="10">
        <f t="shared" si="45"/>
        <v>8.4933574936719061E-2</v>
      </c>
      <c r="N612" s="10">
        <f t="shared" si="46"/>
        <v>0.19506899646857639</v>
      </c>
      <c r="O612" s="11">
        <f t="shared" si="47"/>
        <v>0.37106786227172994</v>
      </c>
    </row>
    <row r="613" spans="2:15">
      <c r="B613" s="12">
        <v>6</v>
      </c>
      <c r="C613" s="4" t="s">
        <v>151</v>
      </c>
      <c r="D613" s="4" t="s">
        <v>154</v>
      </c>
      <c r="E613" s="4">
        <v>2</v>
      </c>
      <c r="F613" s="4">
        <v>9</v>
      </c>
      <c r="G613" s="4">
        <v>2</v>
      </c>
      <c r="H613" s="115">
        <v>0.13400000000001455</v>
      </c>
      <c r="I613" s="115"/>
      <c r="J613" s="115">
        <v>0.60000000000002274</v>
      </c>
      <c r="K613" s="115">
        <v>0.73400000000003729</v>
      </c>
      <c r="L613" s="12">
        <f t="shared" si="44"/>
        <v>5.4613054556893345E-2</v>
      </c>
      <c r="M613" s="4">
        <f t="shared" si="45"/>
        <v>0</v>
      </c>
      <c r="N613" s="4">
        <f t="shared" si="46"/>
        <v>0.20411998265593095</v>
      </c>
      <c r="O613" s="13">
        <f t="shared" si="47"/>
        <v>0.23904909314020084</v>
      </c>
    </row>
    <row r="614" spans="2:15">
      <c r="B614" s="12">
        <v>6</v>
      </c>
      <c r="C614" s="4" t="s">
        <v>151</v>
      </c>
      <c r="D614" s="4" t="s">
        <v>154</v>
      </c>
      <c r="E614" s="4">
        <v>2</v>
      </c>
      <c r="F614" s="4">
        <v>9</v>
      </c>
      <c r="G614" s="4">
        <v>3</v>
      </c>
      <c r="H614" s="115">
        <v>0.45000000000004547</v>
      </c>
      <c r="I614" s="115">
        <v>0.29999999999995453</v>
      </c>
      <c r="J614" s="115">
        <v>0.39900000000000091</v>
      </c>
      <c r="K614" s="115">
        <v>1.1490000000000009</v>
      </c>
      <c r="L614" s="12">
        <f t="shared" si="44"/>
        <v>0.16136800223498851</v>
      </c>
      <c r="M614" s="4">
        <f t="shared" si="45"/>
        <v>0.11394335230682158</v>
      </c>
      <c r="N614" s="4">
        <f t="shared" si="46"/>
        <v>0.1458177144918279</v>
      </c>
      <c r="O614" s="13">
        <f t="shared" si="47"/>
        <v>0.3322364154914435</v>
      </c>
    </row>
    <row r="615" spans="2:15">
      <c r="B615" s="12">
        <v>6</v>
      </c>
      <c r="C615" s="4" t="s">
        <v>151</v>
      </c>
      <c r="D615" s="4" t="s">
        <v>154</v>
      </c>
      <c r="E615" s="4">
        <v>2</v>
      </c>
      <c r="F615" s="4">
        <v>9</v>
      </c>
      <c r="G615" s="4">
        <v>4</v>
      </c>
      <c r="H615" s="115">
        <v>1.5149999999999864</v>
      </c>
      <c r="I615" s="115">
        <v>0.18299999999999272</v>
      </c>
      <c r="J615" s="115">
        <v>0.10000000000002274</v>
      </c>
      <c r="K615" s="115">
        <v>1.7980000000000018</v>
      </c>
      <c r="L615" s="12">
        <f t="shared" ref="L615:L678" si="48">LOG10(H615+1)</f>
        <v>0.40053798939194385</v>
      </c>
      <c r="M615" s="4">
        <f t="shared" ref="M615:M678" si="49">LOG10(I615+1)</f>
        <v>7.29847446279277E-2</v>
      </c>
      <c r="N615" s="4">
        <f t="shared" ref="N615:N678" si="50">LOG10(J615+1)</f>
        <v>4.1392685158234015E-2</v>
      </c>
      <c r="O615" s="13">
        <f t="shared" ref="O615:O678" si="51">LOG10(K615+1)</f>
        <v>0.4468477101558091</v>
      </c>
    </row>
    <row r="616" spans="2:15">
      <c r="B616" s="12">
        <v>6</v>
      </c>
      <c r="C616" s="4" t="s">
        <v>151</v>
      </c>
      <c r="D616" s="4" t="s">
        <v>154</v>
      </c>
      <c r="E616" s="4">
        <v>2</v>
      </c>
      <c r="F616" s="4">
        <v>9</v>
      </c>
      <c r="G616" s="4">
        <v>5</v>
      </c>
      <c r="H616" s="115">
        <v>0.65100000000001046</v>
      </c>
      <c r="I616" s="115">
        <v>0.2830000000000723</v>
      </c>
      <c r="J616" s="115">
        <v>9.9999999999965894E-2</v>
      </c>
      <c r="K616" s="115">
        <v>1.0340000000000487</v>
      </c>
      <c r="L616" s="12">
        <f t="shared" si="48"/>
        <v>0.21774707326279638</v>
      </c>
      <c r="M616" s="4">
        <f t="shared" si="49"/>
        <v>0.10822665637495298</v>
      </c>
      <c r="N616" s="4">
        <f t="shared" si="50"/>
        <v>4.1392685158211574E-2</v>
      </c>
      <c r="O616" s="13">
        <f t="shared" si="51"/>
        <v>0.30835094858673617</v>
      </c>
    </row>
    <row r="617" spans="2:15">
      <c r="B617" s="12">
        <v>6</v>
      </c>
      <c r="C617" s="4" t="s">
        <v>151</v>
      </c>
      <c r="D617" s="4" t="s">
        <v>154</v>
      </c>
      <c r="E617" s="4">
        <v>2</v>
      </c>
      <c r="F617" s="4">
        <v>9</v>
      </c>
      <c r="G617" s="4">
        <v>6</v>
      </c>
      <c r="H617" s="115">
        <v>0.51699999999999591</v>
      </c>
      <c r="I617" s="115">
        <v>0.55000000000001137</v>
      </c>
      <c r="J617" s="115"/>
      <c r="K617" s="115">
        <v>1.0670000000000073</v>
      </c>
      <c r="L617" s="12">
        <f t="shared" si="48"/>
        <v>0.18098558078672933</v>
      </c>
      <c r="M617" s="4">
        <f t="shared" si="49"/>
        <v>0.19033169817029466</v>
      </c>
      <c r="N617" s="4">
        <f t="shared" si="50"/>
        <v>0</v>
      </c>
      <c r="O617" s="13">
        <f t="shared" si="51"/>
        <v>0.31534047662728976</v>
      </c>
    </row>
    <row r="618" spans="2:15">
      <c r="B618" s="12">
        <v>6</v>
      </c>
      <c r="C618" s="4" t="s">
        <v>151</v>
      </c>
      <c r="D618" s="4" t="s">
        <v>154</v>
      </c>
      <c r="E618" s="4">
        <v>2</v>
      </c>
      <c r="F618" s="4">
        <v>9</v>
      </c>
      <c r="G618" s="4">
        <v>7</v>
      </c>
      <c r="H618" s="115">
        <v>0.23300000000000409</v>
      </c>
      <c r="I618" s="115"/>
      <c r="J618" s="115">
        <v>0.78300000000001546</v>
      </c>
      <c r="K618" s="115">
        <v>1.0160000000000196</v>
      </c>
      <c r="L618" s="12">
        <f t="shared" si="48"/>
        <v>9.0963076595733078E-2</v>
      </c>
      <c r="M618" s="4">
        <f t="shared" si="49"/>
        <v>0</v>
      </c>
      <c r="N618" s="4">
        <f t="shared" si="50"/>
        <v>0.25115134317535837</v>
      </c>
      <c r="O618" s="13">
        <f t="shared" si="51"/>
        <v>0.30449052777349189</v>
      </c>
    </row>
    <row r="619" spans="2:15">
      <c r="B619" s="12">
        <v>6</v>
      </c>
      <c r="C619" s="4" t="s">
        <v>151</v>
      </c>
      <c r="D619" s="4" t="s">
        <v>154</v>
      </c>
      <c r="E619" s="4">
        <v>2</v>
      </c>
      <c r="F619" s="4">
        <v>9</v>
      </c>
      <c r="G619" s="4">
        <v>8</v>
      </c>
      <c r="H619" s="115"/>
      <c r="I619" s="115"/>
      <c r="J619" s="115"/>
      <c r="K619" s="115">
        <v>0</v>
      </c>
      <c r="L619" s="12">
        <f t="shared" si="48"/>
        <v>0</v>
      </c>
      <c r="M619" s="4">
        <f t="shared" si="49"/>
        <v>0</v>
      </c>
      <c r="N619" s="4">
        <f t="shared" si="50"/>
        <v>0</v>
      </c>
      <c r="O619" s="13">
        <f t="shared" si="51"/>
        <v>0</v>
      </c>
    </row>
    <row r="620" spans="2:15">
      <c r="B620" s="12">
        <v>6</v>
      </c>
      <c r="C620" s="4" t="s">
        <v>151</v>
      </c>
      <c r="D620" s="4" t="s">
        <v>154</v>
      </c>
      <c r="E620" s="4">
        <v>2</v>
      </c>
      <c r="F620" s="4">
        <v>9</v>
      </c>
      <c r="G620" s="4">
        <v>9</v>
      </c>
      <c r="H620" s="115"/>
      <c r="I620" s="115"/>
      <c r="J620" s="115"/>
      <c r="K620" s="115">
        <v>0</v>
      </c>
      <c r="L620" s="12">
        <f t="shared" si="48"/>
        <v>0</v>
      </c>
      <c r="M620" s="4">
        <f t="shared" si="49"/>
        <v>0</v>
      </c>
      <c r="N620" s="4">
        <f t="shared" si="50"/>
        <v>0</v>
      </c>
      <c r="O620" s="13">
        <f t="shared" si="51"/>
        <v>0</v>
      </c>
    </row>
    <row r="621" spans="2:15" ht="13.8" thickBot="1">
      <c r="B621" s="14">
        <v>6</v>
      </c>
      <c r="C621" s="15" t="s">
        <v>151</v>
      </c>
      <c r="D621" s="15" t="s">
        <v>154</v>
      </c>
      <c r="E621" s="15">
        <v>2</v>
      </c>
      <c r="F621" s="15">
        <v>9</v>
      </c>
      <c r="G621" s="15">
        <v>10</v>
      </c>
      <c r="H621" s="121"/>
      <c r="I621" s="121"/>
      <c r="J621" s="121"/>
      <c r="K621" s="121">
        <v>0</v>
      </c>
      <c r="L621" s="14">
        <f t="shared" si="48"/>
        <v>0</v>
      </c>
      <c r="M621" s="15">
        <f t="shared" si="49"/>
        <v>0</v>
      </c>
      <c r="N621" s="15">
        <f t="shared" si="50"/>
        <v>0</v>
      </c>
      <c r="O621" s="16">
        <f t="shared" si="51"/>
        <v>0</v>
      </c>
    </row>
    <row r="622" spans="2:15">
      <c r="B622" s="9">
        <v>6</v>
      </c>
      <c r="C622" s="10" t="s">
        <v>151</v>
      </c>
      <c r="D622" s="10" t="s">
        <v>154</v>
      </c>
      <c r="E622" s="93">
        <v>3</v>
      </c>
      <c r="F622" s="93">
        <v>11</v>
      </c>
      <c r="G622" s="10">
        <v>1</v>
      </c>
      <c r="H622" s="120">
        <v>0.18299999999999272</v>
      </c>
      <c r="I622" s="120"/>
      <c r="J622" s="120"/>
      <c r="K622" s="120">
        <v>0.18299999999999272</v>
      </c>
      <c r="L622" s="9">
        <f t="shared" si="48"/>
        <v>7.29847446279277E-2</v>
      </c>
      <c r="M622" s="10">
        <f t="shared" si="49"/>
        <v>0</v>
      </c>
      <c r="N622" s="10">
        <f t="shared" si="50"/>
        <v>0</v>
      </c>
      <c r="O622" s="11">
        <f t="shared" si="51"/>
        <v>7.29847446279277E-2</v>
      </c>
    </row>
    <row r="623" spans="2:15">
      <c r="B623" s="12">
        <v>6</v>
      </c>
      <c r="C623" s="4" t="s">
        <v>151</v>
      </c>
      <c r="D623" s="4" t="s">
        <v>154</v>
      </c>
      <c r="E623" s="4">
        <v>3</v>
      </c>
      <c r="F623" s="4">
        <v>11</v>
      </c>
      <c r="G623" s="4">
        <v>2</v>
      </c>
      <c r="H623" s="115"/>
      <c r="I623" s="115"/>
      <c r="J623" s="115">
        <v>0.10000000000002274</v>
      </c>
      <c r="K623" s="115">
        <v>0.10000000000002274</v>
      </c>
      <c r="L623" s="12">
        <f t="shared" si="48"/>
        <v>0</v>
      </c>
      <c r="M623" s="4">
        <f t="shared" si="49"/>
        <v>0</v>
      </c>
      <c r="N623" s="4">
        <f t="shared" si="50"/>
        <v>4.1392685158234015E-2</v>
      </c>
      <c r="O623" s="13">
        <f t="shared" si="51"/>
        <v>4.1392685158234015E-2</v>
      </c>
    </row>
    <row r="624" spans="2:15">
      <c r="B624" s="12">
        <v>6</v>
      </c>
      <c r="C624" s="4" t="s">
        <v>151</v>
      </c>
      <c r="D624" s="4" t="s">
        <v>154</v>
      </c>
      <c r="E624" s="4">
        <v>3</v>
      </c>
      <c r="F624" s="4">
        <v>11</v>
      </c>
      <c r="G624" s="4">
        <v>3</v>
      </c>
      <c r="H624" s="115"/>
      <c r="I624" s="115"/>
      <c r="J624" s="115">
        <v>0.26699999999993906</v>
      </c>
      <c r="K624" s="115">
        <v>0.26699999999993906</v>
      </c>
      <c r="L624" s="12">
        <f t="shared" si="48"/>
        <v>0</v>
      </c>
      <c r="M624" s="4">
        <f t="shared" si="49"/>
        <v>0</v>
      </c>
      <c r="N624" s="4">
        <f t="shared" si="50"/>
        <v>0.10277661488342045</v>
      </c>
      <c r="O624" s="13">
        <f t="shared" si="51"/>
        <v>0.10277661488342045</v>
      </c>
    </row>
    <row r="625" spans="2:15">
      <c r="B625" s="12">
        <v>6</v>
      </c>
      <c r="C625" s="4" t="s">
        <v>151</v>
      </c>
      <c r="D625" s="4" t="s">
        <v>154</v>
      </c>
      <c r="E625" s="4">
        <v>3</v>
      </c>
      <c r="F625" s="4">
        <v>11</v>
      </c>
      <c r="G625" s="4">
        <v>4</v>
      </c>
      <c r="H625" s="115">
        <v>0.68399999999996908</v>
      </c>
      <c r="I625" s="115">
        <v>0.25</v>
      </c>
      <c r="J625" s="115">
        <v>0.10000000000002274</v>
      </c>
      <c r="K625" s="115">
        <v>1.0339999999999918</v>
      </c>
      <c r="L625" s="12">
        <f t="shared" si="48"/>
        <v>0.22634208716362272</v>
      </c>
      <c r="M625" s="4">
        <f t="shared" si="49"/>
        <v>9.691001300805642E-2</v>
      </c>
      <c r="N625" s="4">
        <f t="shared" si="50"/>
        <v>4.1392685158234015E-2</v>
      </c>
      <c r="O625" s="13">
        <f t="shared" si="51"/>
        <v>0.30835094858672407</v>
      </c>
    </row>
    <row r="626" spans="2:15">
      <c r="B626" s="12">
        <v>6</v>
      </c>
      <c r="C626" s="4" t="s">
        <v>151</v>
      </c>
      <c r="D626" s="4" t="s">
        <v>154</v>
      </c>
      <c r="E626" s="4">
        <v>3</v>
      </c>
      <c r="F626" s="4">
        <v>11</v>
      </c>
      <c r="G626" s="4">
        <v>5</v>
      </c>
      <c r="H626" s="115">
        <v>1.1829999999999927</v>
      </c>
      <c r="I626" s="115"/>
      <c r="J626" s="115">
        <v>0.19899999999995543</v>
      </c>
      <c r="K626" s="115">
        <v>1.3819999999999482</v>
      </c>
      <c r="L626" s="12">
        <f t="shared" si="48"/>
        <v>0.33905373570913772</v>
      </c>
      <c r="M626" s="4">
        <f t="shared" si="49"/>
        <v>0</v>
      </c>
      <c r="N626" s="4">
        <f t="shared" si="50"/>
        <v>7.881918309883254E-2</v>
      </c>
      <c r="O626" s="13">
        <f t="shared" si="51"/>
        <v>0.37694175714674927</v>
      </c>
    </row>
    <row r="627" spans="2:15">
      <c r="B627" s="12">
        <v>6</v>
      </c>
      <c r="C627" s="4" t="s">
        <v>151</v>
      </c>
      <c r="D627" s="4" t="s">
        <v>154</v>
      </c>
      <c r="E627" s="4">
        <v>3</v>
      </c>
      <c r="F627" s="4">
        <v>11</v>
      </c>
      <c r="G627" s="4">
        <v>6</v>
      </c>
      <c r="H627" s="115"/>
      <c r="I627" s="115"/>
      <c r="J627" s="115">
        <v>0.1169999999999618</v>
      </c>
      <c r="K627" s="115">
        <v>0.1169999999999618</v>
      </c>
      <c r="L627" s="12">
        <f t="shared" si="48"/>
        <v>0</v>
      </c>
      <c r="M627" s="4">
        <f t="shared" si="49"/>
        <v>0</v>
      </c>
      <c r="N627" s="4">
        <f t="shared" si="50"/>
        <v>4.8053173115594205E-2</v>
      </c>
      <c r="O627" s="13">
        <f t="shared" si="51"/>
        <v>4.8053173115594205E-2</v>
      </c>
    </row>
    <row r="628" spans="2:15">
      <c r="B628" s="12">
        <v>6</v>
      </c>
      <c r="C628" s="4" t="s">
        <v>151</v>
      </c>
      <c r="D628" s="4" t="s">
        <v>154</v>
      </c>
      <c r="E628" s="4">
        <v>3</v>
      </c>
      <c r="F628" s="4">
        <v>11</v>
      </c>
      <c r="G628" s="4">
        <v>7</v>
      </c>
      <c r="H628" s="115">
        <v>9.9999999999965894E-2</v>
      </c>
      <c r="I628" s="115"/>
      <c r="J628" s="115"/>
      <c r="K628" s="115">
        <v>9.9999999999965894E-2</v>
      </c>
      <c r="L628" s="12">
        <f t="shared" si="48"/>
        <v>4.1392685158211574E-2</v>
      </c>
      <c r="M628" s="4">
        <f t="shared" si="49"/>
        <v>0</v>
      </c>
      <c r="N628" s="4">
        <f t="shared" si="50"/>
        <v>0</v>
      </c>
      <c r="O628" s="13">
        <f t="shared" si="51"/>
        <v>4.1392685158211574E-2</v>
      </c>
    </row>
    <row r="629" spans="2:15">
      <c r="B629" s="12">
        <v>6</v>
      </c>
      <c r="C629" s="4" t="s">
        <v>151</v>
      </c>
      <c r="D629" s="4" t="s">
        <v>154</v>
      </c>
      <c r="E629" s="4">
        <v>3</v>
      </c>
      <c r="F629" s="4">
        <v>11</v>
      </c>
      <c r="G629" s="4">
        <v>8</v>
      </c>
      <c r="H629" s="115"/>
      <c r="I629" s="115"/>
      <c r="J629" s="115"/>
      <c r="K629" s="115">
        <v>0</v>
      </c>
      <c r="L629" s="12">
        <f t="shared" si="48"/>
        <v>0</v>
      </c>
      <c r="M629" s="4">
        <f t="shared" si="49"/>
        <v>0</v>
      </c>
      <c r="N629" s="4">
        <f t="shared" si="50"/>
        <v>0</v>
      </c>
      <c r="O629" s="13">
        <f t="shared" si="51"/>
        <v>0</v>
      </c>
    </row>
    <row r="630" spans="2:15">
      <c r="B630" s="12">
        <v>6</v>
      </c>
      <c r="C630" s="4" t="s">
        <v>151</v>
      </c>
      <c r="D630" s="4" t="s">
        <v>154</v>
      </c>
      <c r="E630" s="4">
        <v>3</v>
      </c>
      <c r="F630" s="4">
        <v>11</v>
      </c>
      <c r="G630" s="4">
        <v>9</v>
      </c>
      <c r="H630" s="115"/>
      <c r="I630" s="115"/>
      <c r="J630" s="115"/>
      <c r="K630" s="115">
        <v>0</v>
      </c>
      <c r="L630" s="12">
        <f t="shared" si="48"/>
        <v>0</v>
      </c>
      <c r="M630" s="4">
        <f t="shared" si="49"/>
        <v>0</v>
      </c>
      <c r="N630" s="4">
        <f t="shared" si="50"/>
        <v>0</v>
      </c>
      <c r="O630" s="13">
        <f t="shared" si="51"/>
        <v>0</v>
      </c>
    </row>
    <row r="631" spans="2:15" ht="13.8" thickBot="1">
      <c r="B631" s="14">
        <v>6</v>
      </c>
      <c r="C631" s="15" t="s">
        <v>151</v>
      </c>
      <c r="D631" s="15" t="s">
        <v>154</v>
      </c>
      <c r="E631" s="15">
        <v>3</v>
      </c>
      <c r="F631" s="15">
        <v>11</v>
      </c>
      <c r="G631" s="15">
        <v>10</v>
      </c>
      <c r="H631" s="121"/>
      <c r="I631" s="121"/>
      <c r="J631" s="121"/>
      <c r="K631" s="121">
        <v>0</v>
      </c>
      <c r="L631" s="14">
        <f t="shared" si="48"/>
        <v>0</v>
      </c>
      <c r="M631" s="15">
        <f t="shared" si="49"/>
        <v>0</v>
      </c>
      <c r="N631" s="15">
        <f t="shared" si="50"/>
        <v>0</v>
      </c>
      <c r="O631" s="16">
        <f t="shared" si="51"/>
        <v>0</v>
      </c>
    </row>
    <row r="632" spans="2:15">
      <c r="B632" s="9">
        <v>6</v>
      </c>
      <c r="C632" s="10" t="s">
        <v>151</v>
      </c>
      <c r="D632" s="10" t="s">
        <v>150</v>
      </c>
      <c r="E632" s="93">
        <v>4</v>
      </c>
      <c r="F632" s="93">
        <v>1</v>
      </c>
      <c r="G632" s="10">
        <v>1</v>
      </c>
      <c r="H632" s="120">
        <v>0.31699999999999307</v>
      </c>
      <c r="I632" s="120">
        <v>0.18400000000001171</v>
      </c>
      <c r="J632" s="120">
        <v>3.8350000000000222</v>
      </c>
      <c r="K632" s="120">
        <v>4.3360000000000269</v>
      </c>
      <c r="L632" s="9">
        <f t="shared" si="48"/>
        <v>0.11958577496178152</v>
      </c>
      <c r="M632" s="10">
        <f t="shared" si="49"/>
        <v>7.3351702386905263E-2</v>
      </c>
      <c r="N632" s="10">
        <f t="shared" si="50"/>
        <v>0.68439647841902251</v>
      </c>
      <c r="O632" s="11">
        <f t="shared" si="51"/>
        <v>0.72721582090849479</v>
      </c>
    </row>
    <row r="633" spans="2:15">
      <c r="B633" s="12">
        <v>6</v>
      </c>
      <c r="C633" s="4" t="s">
        <v>151</v>
      </c>
      <c r="D633" s="4" t="s">
        <v>150</v>
      </c>
      <c r="E633" s="4">
        <v>4</v>
      </c>
      <c r="F633" s="4">
        <v>1</v>
      </c>
      <c r="G633" s="4">
        <v>2</v>
      </c>
      <c r="H633" s="115">
        <v>0.35099999999999909</v>
      </c>
      <c r="I633" s="115">
        <v>0.20099999999999341</v>
      </c>
      <c r="J633" s="115">
        <v>4.8499999999999801</v>
      </c>
      <c r="K633" s="115">
        <v>5.4019999999999726</v>
      </c>
      <c r="L633" s="12">
        <f t="shared" si="48"/>
        <v>0.1306553490220303</v>
      </c>
      <c r="M633" s="4">
        <f t="shared" si="49"/>
        <v>7.9543007402903668E-2</v>
      </c>
      <c r="N633" s="4">
        <f t="shared" si="50"/>
        <v>0.76715586608217901</v>
      </c>
      <c r="O633" s="13">
        <f t="shared" si="51"/>
        <v>0.80631566980811165</v>
      </c>
    </row>
    <row r="634" spans="2:15">
      <c r="B634" s="12">
        <v>6</v>
      </c>
      <c r="C634" s="4" t="s">
        <v>151</v>
      </c>
      <c r="D634" s="4" t="s">
        <v>150</v>
      </c>
      <c r="E634" s="4">
        <v>4</v>
      </c>
      <c r="F634" s="4">
        <v>1</v>
      </c>
      <c r="G634" s="4">
        <v>3</v>
      </c>
      <c r="H634" s="115">
        <v>0.56600000000001671</v>
      </c>
      <c r="I634" s="115"/>
      <c r="J634" s="115">
        <v>0.33400000000000318</v>
      </c>
      <c r="K634" s="115">
        <v>0.9000000000000199</v>
      </c>
      <c r="L634" s="12">
        <f t="shared" si="48"/>
        <v>0.19479175772192922</v>
      </c>
      <c r="M634" s="4">
        <f t="shared" si="49"/>
        <v>0</v>
      </c>
      <c r="N634" s="4">
        <f t="shared" si="50"/>
        <v>0.1251558295805312</v>
      </c>
      <c r="O634" s="13">
        <f t="shared" si="51"/>
        <v>0.27875360095283352</v>
      </c>
    </row>
    <row r="635" spans="2:15">
      <c r="B635" s="12">
        <v>6</v>
      </c>
      <c r="C635" s="4" t="s">
        <v>151</v>
      </c>
      <c r="D635" s="4" t="s">
        <v>150</v>
      </c>
      <c r="E635" s="4">
        <v>4</v>
      </c>
      <c r="F635" s="4">
        <v>1</v>
      </c>
      <c r="G635" s="4">
        <v>4</v>
      </c>
      <c r="H635" s="115">
        <v>9.9999999999994316E-2</v>
      </c>
      <c r="I635" s="115"/>
      <c r="J635" s="115"/>
      <c r="K635" s="115">
        <v>9.9999999999994316E-2</v>
      </c>
      <c r="L635" s="12">
        <f t="shared" si="48"/>
        <v>4.1392685158222794E-2</v>
      </c>
      <c r="M635" s="4">
        <f t="shared" si="49"/>
        <v>0</v>
      </c>
      <c r="N635" s="4">
        <f t="shared" si="50"/>
        <v>0</v>
      </c>
      <c r="O635" s="13">
        <f t="shared" si="51"/>
        <v>4.1392685158222794E-2</v>
      </c>
    </row>
    <row r="636" spans="2:15">
      <c r="B636" s="12">
        <v>6</v>
      </c>
      <c r="C636" s="4" t="s">
        <v>151</v>
      </c>
      <c r="D636" s="4" t="s">
        <v>150</v>
      </c>
      <c r="E636" s="4">
        <v>4</v>
      </c>
      <c r="F636" s="4">
        <v>1</v>
      </c>
      <c r="G636" s="4">
        <v>5</v>
      </c>
      <c r="H636" s="115"/>
      <c r="I636" s="115"/>
      <c r="J636" s="115"/>
      <c r="K636" s="115">
        <v>0</v>
      </c>
      <c r="L636" s="12">
        <f t="shared" si="48"/>
        <v>0</v>
      </c>
      <c r="M636" s="4">
        <f t="shared" si="49"/>
        <v>0</v>
      </c>
      <c r="N636" s="4">
        <f t="shared" si="50"/>
        <v>0</v>
      </c>
      <c r="O636" s="13">
        <f t="shared" si="51"/>
        <v>0</v>
      </c>
    </row>
    <row r="637" spans="2:15">
      <c r="B637" s="12">
        <v>6</v>
      </c>
      <c r="C637" s="4" t="s">
        <v>151</v>
      </c>
      <c r="D637" s="4" t="s">
        <v>150</v>
      </c>
      <c r="E637" s="4">
        <v>4</v>
      </c>
      <c r="F637" s="4">
        <v>1</v>
      </c>
      <c r="G637" s="4">
        <v>6</v>
      </c>
      <c r="H637" s="115"/>
      <c r="I637" s="115"/>
      <c r="J637" s="115"/>
      <c r="K637" s="115">
        <v>0</v>
      </c>
      <c r="L637" s="12">
        <f t="shared" si="48"/>
        <v>0</v>
      </c>
      <c r="M637" s="4">
        <f t="shared" si="49"/>
        <v>0</v>
      </c>
      <c r="N637" s="4">
        <f t="shared" si="50"/>
        <v>0</v>
      </c>
      <c r="O637" s="13">
        <f t="shared" si="51"/>
        <v>0</v>
      </c>
    </row>
    <row r="638" spans="2:15">
      <c r="B638" s="12">
        <v>6</v>
      </c>
      <c r="C638" s="4" t="s">
        <v>151</v>
      </c>
      <c r="D638" s="4" t="s">
        <v>150</v>
      </c>
      <c r="E638" s="4">
        <v>4</v>
      </c>
      <c r="F638" s="4">
        <v>1</v>
      </c>
      <c r="G638" s="4">
        <v>7</v>
      </c>
      <c r="H638" s="115"/>
      <c r="I638" s="115"/>
      <c r="J638" s="115"/>
      <c r="K638" s="115">
        <v>0</v>
      </c>
      <c r="L638" s="12">
        <f t="shared" si="48"/>
        <v>0</v>
      </c>
      <c r="M638" s="4">
        <f t="shared" si="49"/>
        <v>0</v>
      </c>
      <c r="N638" s="4">
        <f t="shared" si="50"/>
        <v>0</v>
      </c>
      <c r="O638" s="13">
        <f t="shared" si="51"/>
        <v>0</v>
      </c>
    </row>
    <row r="639" spans="2:15">
      <c r="B639" s="12">
        <v>6</v>
      </c>
      <c r="C639" s="4" t="s">
        <v>151</v>
      </c>
      <c r="D639" s="4" t="s">
        <v>150</v>
      </c>
      <c r="E639" s="4">
        <v>4</v>
      </c>
      <c r="F639" s="4">
        <v>1</v>
      </c>
      <c r="G639" s="4">
        <v>8</v>
      </c>
      <c r="H639" s="115"/>
      <c r="I639" s="115"/>
      <c r="J639" s="115"/>
      <c r="K639" s="115">
        <v>0</v>
      </c>
      <c r="L639" s="12">
        <f t="shared" si="48"/>
        <v>0</v>
      </c>
      <c r="M639" s="4">
        <f t="shared" si="49"/>
        <v>0</v>
      </c>
      <c r="N639" s="4">
        <f t="shared" si="50"/>
        <v>0</v>
      </c>
      <c r="O639" s="13">
        <f t="shared" si="51"/>
        <v>0</v>
      </c>
    </row>
    <row r="640" spans="2:15">
      <c r="B640" s="12">
        <v>6</v>
      </c>
      <c r="C640" s="4" t="s">
        <v>151</v>
      </c>
      <c r="D640" s="4" t="s">
        <v>150</v>
      </c>
      <c r="E640" s="4">
        <v>4</v>
      </c>
      <c r="F640" s="4">
        <v>1</v>
      </c>
      <c r="G640" s="4">
        <v>9</v>
      </c>
      <c r="H640" s="115"/>
      <c r="I640" s="115"/>
      <c r="J640" s="115"/>
      <c r="K640" s="115">
        <v>0</v>
      </c>
      <c r="L640" s="12">
        <f t="shared" si="48"/>
        <v>0</v>
      </c>
      <c r="M640" s="4">
        <f t="shared" si="49"/>
        <v>0</v>
      </c>
      <c r="N640" s="4">
        <f t="shared" si="50"/>
        <v>0</v>
      </c>
      <c r="O640" s="13">
        <f t="shared" si="51"/>
        <v>0</v>
      </c>
    </row>
    <row r="641" spans="2:15" ht="13.8" thickBot="1">
      <c r="B641" s="14">
        <v>6</v>
      </c>
      <c r="C641" s="15" t="s">
        <v>151</v>
      </c>
      <c r="D641" s="15" t="s">
        <v>150</v>
      </c>
      <c r="E641" s="15">
        <v>4</v>
      </c>
      <c r="F641" s="15">
        <v>1</v>
      </c>
      <c r="G641" s="15">
        <v>10</v>
      </c>
      <c r="H641" s="121"/>
      <c r="I641" s="121"/>
      <c r="J641" s="121"/>
      <c r="K641" s="121">
        <v>0</v>
      </c>
      <c r="L641" s="14">
        <f t="shared" si="48"/>
        <v>0</v>
      </c>
      <c r="M641" s="15">
        <f t="shared" si="49"/>
        <v>0</v>
      </c>
      <c r="N641" s="15">
        <f t="shared" si="50"/>
        <v>0</v>
      </c>
      <c r="O641" s="16">
        <f t="shared" si="51"/>
        <v>0</v>
      </c>
    </row>
    <row r="642" spans="2:15">
      <c r="B642" s="9">
        <v>6</v>
      </c>
      <c r="C642" s="10" t="s">
        <v>151</v>
      </c>
      <c r="D642" s="10" t="s">
        <v>150</v>
      </c>
      <c r="E642" s="93">
        <v>5</v>
      </c>
      <c r="F642" s="93">
        <v>3</v>
      </c>
      <c r="G642" s="10">
        <v>1</v>
      </c>
      <c r="H642" s="120"/>
      <c r="I642" s="120"/>
      <c r="J642" s="120"/>
      <c r="K642" s="120">
        <v>0</v>
      </c>
      <c r="L642" s="9">
        <f t="shared" si="48"/>
        <v>0</v>
      </c>
      <c r="M642" s="10">
        <f t="shared" si="49"/>
        <v>0</v>
      </c>
      <c r="N642" s="10">
        <f t="shared" si="50"/>
        <v>0</v>
      </c>
      <c r="O642" s="11">
        <f t="shared" si="51"/>
        <v>0</v>
      </c>
    </row>
    <row r="643" spans="2:15">
      <c r="B643" s="12">
        <v>6</v>
      </c>
      <c r="C643" s="4" t="s">
        <v>151</v>
      </c>
      <c r="D643" s="4" t="s">
        <v>150</v>
      </c>
      <c r="E643" s="4">
        <v>5</v>
      </c>
      <c r="F643" s="4">
        <v>3</v>
      </c>
      <c r="G643" s="4">
        <v>2</v>
      </c>
      <c r="H643" s="115"/>
      <c r="I643" s="115"/>
      <c r="J643" s="115">
        <v>0.80099999999998772</v>
      </c>
      <c r="K643" s="115">
        <v>0.80099999999998772</v>
      </c>
      <c r="L643" s="12">
        <f t="shared" si="48"/>
        <v>0</v>
      </c>
      <c r="M643" s="4">
        <f t="shared" si="49"/>
        <v>0</v>
      </c>
      <c r="N643" s="4">
        <f t="shared" si="50"/>
        <v>0.25551371281953039</v>
      </c>
      <c r="O643" s="13">
        <f t="shared" si="51"/>
        <v>0.25551371281953039</v>
      </c>
    </row>
    <row r="644" spans="2:15">
      <c r="B644" s="12">
        <v>6</v>
      </c>
      <c r="C644" s="4" t="s">
        <v>151</v>
      </c>
      <c r="D644" s="4" t="s">
        <v>150</v>
      </c>
      <c r="E644" s="4">
        <v>5</v>
      </c>
      <c r="F644" s="4">
        <v>3</v>
      </c>
      <c r="G644" s="4">
        <v>3</v>
      </c>
      <c r="H644" s="115">
        <v>0.21699999999998454</v>
      </c>
      <c r="I644" s="115"/>
      <c r="J644" s="115"/>
      <c r="K644" s="115">
        <v>0.21699999999998454</v>
      </c>
      <c r="L644" s="12">
        <f t="shared" si="48"/>
        <v>8.5290578230059477E-2</v>
      </c>
      <c r="M644" s="4">
        <f t="shared" si="49"/>
        <v>0</v>
      </c>
      <c r="N644" s="4">
        <f t="shared" si="50"/>
        <v>0</v>
      </c>
      <c r="O644" s="13">
        <f t="shared" si="51"/>
        <v>8.5290578230059477E-2</v>
      </c>
    </row>
    <row r="645" spans="2:15">
      <c r="B645" s="12">
        <v>6</v>
      </c>
      <c r="C645" s="4" t="s">
        <v>151</v>
      </c>
      <c r="D645" s="4" t="s">
        <v>150</v>
      </c>
      <c r="E645" s="4">
        <v>5</v>
      </c>
      <c r="F645" s="4">
        <v>3</v>
      </c>
      <c r="G645" s="4">
        <v>4</v>
      </c>
      <c r="H645" s="115"/>
      <c r="I645" s="115"/>
      <c r="J645" s="115"/>
      <c r="K645" s="115">
        <v>0</v>
      </c>
      <c r="L645" s="12">
        <f t="shared" si="48"/>
        <v>0</v>
      </c>
      <c r="M645" s="4">
        <f t="shared" si="49"/>
        <v>0</v>
      </c>
      <c r="N645" s="4">
        <f t="shared" si="50"/>
        <v>0</v>
      </c>
      <c r="O645" s="13">
        <f t="shared" si="51"/>
        <v>0</v>
      </c>
    </row>
    <row r="646" spans="2:15">
      <c r="B646" s="12">
        <v>6</v>
      </c>
      <c r="C646" s="4" t="s">
        <v>151</v>
      </c>
      <c r="D646" s="4" t="s">
        <v>150</v>
      </c>
      <c r="E646" s="4">
        <v>5</v>
      </c>
      <c r="F646" s="4">
        <v>3</v>
      </c>
      <c r="G646" s="4">
        <v>5</v>
      </c>
      <c r="H646" s="115"/>
      <c r="I646" s="115"/>
      <c r="J646" s="115"/>
      <c r="K646" s="115">
        <v>0</v>
      </c>
      <c r="L646" s="12">
        <f t="shared" si="48"/>
        <v>0</v>
      </c>
      <c r="M646" s="4">
        <f t="shared" si="49"/>
        <v>0</v>
      </c>
      <c r="N646" s="4">
        <f t="shared" si="50"/>
        <v>0</v>
      </c>
      <c r="O646" s="13">
        <f t="shared" si="51"/>
        <v>0</v>
      </c>
    </row>
    <row r="647" spans="2:15">
      <c r="B647" s="12">
        <v>6</v>
      </c>
      <c r="C647" s="4" t="s">
        <v>151</v>
      </c>
      <c r="D647" s="4" t="s">
        <v>150</v>
      </c>
      <c r="E647" s="4">
        <v>5</v>
      </c>
      <c r="F647" s="4">
        <v>3</v>
      </c>
      <c r="G647" s="4">
        <v>6</v>
      </c>
      <c r="H647" s="115"/>
      <c r="I647" s="115"/>
      <c r="J647" s="115"/>
      <c r="K647" s="115">
        <v>0</v>
      </c>
      <c r="L647" s="12">
        <f t="shared" si="48"/>
        <v>0</v>
      </c>
      <c r="M647" s="4">
        <f t="shared" si="49"/>
        <v>0</v>
      </c>
      <c r="N647" s="4">
        <f t="shared" si="50"/>
        <v>0</v>
      </c>
      <c r="O647" s="13">
        <f t="shared" si="51"/>
        <v>0</v>
      </c>
    </row>
    <row r="648" spans="2:15">
      <c r="B648" s="12">
        <v>6</v>
      </c>
      <c r="C648" s="4" t="s">
        <v>151</v>
      </c>
      <c r="D648" s="4" t="s">
        <v>150</v>
      </c>
      <c r="E648" s="4">
        <v>5</v>
      </c>
      <c r="F648" s="4">
        <v>3</v>
      </c>
      <c r="G648" s="4">
        <v>7</v>
      </c>
      <c r="H648" s="115"/>
      <c r="I648" s="115"/>
      <c r="J648" s="115"/>
      <c r="K648" s="115">
        <v>0</v>
      </c>
      <c r="L648" s="12">
        <f t="shared" si="48"/>
        <v>0</v>
      </c>
      <c r="M648" s="4">
        <f t="shared" si="49"/>
        <v>0</v>
      </c>
      <c r="N648" s="4">
        <f t="shared" si="50"/>
        <v>0</v>
      </c>
      <c r="O648" s="13">
        <f t="shared" si="51"/>
        <v>0</v>
      </c>
    </row>
    <row r="649" spans="2:15">
      <c r="B649" s="12">
        <v>6</v>
      </c>
      <c r="C649" s="4" t="s">
        <v>151</v>
      </c>
      <c r="D649" s="4" t="s">
        <v>150</v>
      </c>
      <c r="E649" s="4">
        <v>5</v>
      </c>
      <c r="F649" s="4">
        <v>3</v>
      </c>
      <c r="G649" s="4">
        <v>8</v>
      </c>
      <c r="H649" s="115"/>
      <c r="I649" s="115"/>
      <c r="J649" s="115"/>
      <c r="K649" s="115">
        <v>0</v>
      </c>
      <c r="L649" s="12">
        <f t="shared" si="48"/>
        <v>0</v>
      </c>
      <c r="M649" s="4">
        <f t="shared" si="49"/>
        <v>0</v>
      </c>
      <c r="N649" s="4">
        <f t="shared" si="50"/>
        <v>0</v>
      </c>
      <c r="O649" s="13">
        <f t="shared" si="51"/>
        <v>0</v>
      </c>
    </row>
    <row r="650" spans="2:15">
      <c r="B650" s="12">
        <v>6</v>
      </c>
      <c r="C650" s="4" t="s">
        <v>151</v>
      </c>
      <c r="D650" s="4" t="s">
        <v>150</v>
      </c>
      <c r="E650" s="4">
        <v>5</v>
      </c>
      <c r="F650" s="4">
        <v>3</v>
      </c>
      <c r="G650" s="4">
        <v>9</v>
      </c>
      <c r="H650" s="115"/>
      <c r="I650" s="115"/>
      <c r="J650" s="115"/>
      <c r="K650" s="115">
        <v>0</v>
      </c>
      <c r="L650" s="12">
        <f t="shared" si="48"/>
        <v>0</v>
      </c>
      <c r="M650" s="4">
        <f t="shared" si="49"/>
        <v>0</v>
      </c>
      <c r="N650" s="4">
        <f t="shared" si="50"/>
        <v>0</v>
      </c>
      <c r="O650" s="13">
        <f t="shared" si="51"/>
        <v>0</v>
      </c>
    </row>
    <row r="651" spans="2:15" ht="13.8" thickBot="1">
      <c r="B651" s="14">
        <v>6</v>
      </c>
      <c r="C651" s="15" t="s">
        <v>151</v>
      </c>
      <c r="D651" s="15" t="s">
        <v>150</v>
      </c>
      <c r="E651" s="15">
        <v>5</v>
      </c>
      <c r="F651" s="15">
        <v>3</v>
      </c>
      <c r="G651" s="15">
        <v>10</v>
      </c>
      <c r="H651" s="121"/>
      <c r="I651" s="121"/>
      <c r="J651" s="121"/>
      <c r="K651" s="121">
        <v>0</v>
      </c>
      <c r="L651" s="14">
        <f t="shared" si="48"/>
        <v>0</v>
      </c>
      <c r="M651" s="15">
        <f t="shared" si="49"/>
        <v>0</v>
      </c>
      <c r="N651" s="15">
        <f t="shared" si="50"/>
        <v>0</v>
      </c>
      <c r="O651" s="16">
        <f t="shared" si="51"/>
        <v>0</v>
      </c>
    </row>
    <row r="652" spans="2:15">
      <c r="B652" s="9">
        <v>6</v>
      </c>
      <c r="C652" s="10" t="s">
        <v>151</v>
      </c>
      <c r="D652" s="10" t="s">
        <v>149</v>
      </c>
      <c r="E652" s="93">
        <v>6</v>
      </c>
      <c r="F652" s="93">
        <v>7</v>
      </c>
      <c r="G652" s="10">
        <v>1</v>
      </c>
      <c r="H652" s="120">
        <v>0.40399999999999636</v>
      </c>
      <c r="I652" s="120">
        <v>0.15000000000003411</v>
      </c>
      <c r="J652" s="120">
        <v>0.10000000000002274</v>
      </c>
      <c r="K652" s="120">
        <v>0.65400000000005321</v>
      </c>
      <c r="L652" s="9">
        <f t="shared" si="48"/>
        <v>0.14736710779378534</v>
      </c>
      <c r="M652" s="10">
        <f t="shared" si="49"/>
        <v>6.0697840353624563E-2</v>
      </c>
      <c r="N652" s="10">
        <f t="shared" si="50"/>
        <v>4.1392685158234015E-2</v>
      </c>
      <c r="O652" s="11">
        <f t="shared" si="51"/>
        <v>0.21853550521654183</v>
      </c>
    </row>
    <row r="653" spans="2:15">
      <c r="B653" s="12">
        <v>6</v>
      </c>
      <c r="C653" s="4" t="s">
        <v>151</v>
      </c>
      <c r="D653" s="4" t="s">
        <v>149</v>
      </c>
      <c r="E653" s="4">
        <v>6</v>
      </c>
      <c r="F653" s="4">
        <v>7</v>
      </c>
      <c r="G653" s="4">
        <v>2</v>
      </c>
      <c r="H653" s="115">
        <v>0.35000000000002274</v>
      </c>
      <c r="I653" s="115"/>
      <c r="J653" s="115">
        <v>0.10000000000002274</v>
      </c>
      <c r="K653" s="115">
        <v>0.45000000000004547</v>
      </c>
      <c r="L653" s="12">
        <f t="shared" si="48"/>
        <v>0.13033376849501344</v>
      </c>
      <c r="M653" s="4">
        <f t="shared" si="49"/>
        <v>0</v>
      </c>
      <c r="N653" s="4">
        <f t="shared" si="50"/>
        <v>4.1392685158234015E-2</v>
      </c>
      <c r="O653" s="13">
        <f t="shared" si="51"/>
        <v>0.16136800223498851</v>
      </c>
    </row>
    <row r="654" spans="2:15">
      <c r="B654" s="12">
        <v>6</v>
      </c>
      <c r="C654" s="4" t="s">
        <v>151</v>
      </c>
      <c r="D654" s="4" t="s">
        <v>149</v>
      </c>
      <c r="E654" s="4">
        <v>6</v>
      </c>
      <c r="F654" s="4">
        <v>7</v>
      </c>
      <c r="G654" s="4">
        <v>3</v>
      </c>
      <c r="H654" s="115"/>
      <c r="I654" s="115"/>
      <c r="J654" s="115"/>
      <c r="K654" s="115">
        <v>0</v>
      </c>
      <c r="L654" s="12">
        <f t="shared" si="48"/>
        <v>0</v>
      </c>
      <c r="M654" s="4">
        <f t="shared" si="49"/>
        <v>0</v>
      </c>
      <c r="N654" s="4">
        <f t="shared" si="50"/>
        <v>0</v>
      </c>
      <c r="O654" s="13">
        <f t="shared" si="51"/>
        <v>0</v>
      </c>
    </row>
    <row r="655" spans="2:15">
      <c r="B655" s="12">
        <v>6</v>
      </c>
      <c r="C655" s="4" t="s">
        <v>151</v>
      </c>
      <c r="D655" s="4" t="s">
        <v>149</v>
      </c>
      <c r="E655" s="4">
        <v>6</v>
      </c>
      <c r="F655" s="4">
        <v>7</v>
      </c>
      <c r="G655" s="4">
        <v>4</v>
      </c>
      <c r="H655" s="115"/>
      <c r="I655" s="115"/>
      <c r="J655" s="115"/>
      <c r="K655" s="115">
        <v>0</v>
      </c>
      <c r="L655" s="12">
        <f t="shared" si="48"/>
        <v>0</v>
      </c>
      <c r="M655" s="4">
        <f t="shared" si="49"/>
        <v>0</v>
      </c>
      <c r="N655" s="4">
        <f t="shared" si="50"/>
        <v>0</v>
      </c>
      <c r="O655" s="13">
        <f t="shared" si="51"/>
        <v>0</v>
      </c>
    </row>
    <row r="656" spans="2:15">
      <c r="B656" s="12">
        <v>6</v>
      </c>
      <c r="C656" s="4" t="s">
        <v>151</v>
      </c>
      <c r="D656" s="4" t="s">
        <v>149</v>
      </c>
      <c r="E656" s="4">
        <v>6</v>
      </c>
      <c r="F656" s="4">
        <v>7</v>
      </c>
      <c r="G656" s="4">
        <v>5</v>
      </c>
      <c r="H656" s="115"/>
      <c r="I656" s="115"/>
      <c r="J656" s="115"/>
      <c r="K656" s="115">
        <v>0</v>
      </c>
      <c r="L656" s="12">
        <f t="shared" si="48"/>
        <v>0</v>
      </c>
      <c r="M656" s="4">
        <f t="shared" si="49"/>
        <v>0</v>
      </c>
      <c r="N656" s="4">
        <f t="shared" si="50"/>
        <v>0</v>
      </c>
      <c r="O656" s="13">
        <f t="shared" si="51"/>
        <v>0</v>
      </c>
    </row>
    <row r="657" spans="2:15">
      <c r="B657" s="12">
        <v>6</v>
      </c>
      <c r="C657" s="4" t="s">
        <v>151</v>
      </c>
      <c r="D657" s="4" t="s">
        <v>149</v>
      </c>
      <c r="E657" s="4">
        <v>6</v>
      </c>
      <c r="F657" s="4">
        <v>7</v>
      </c>
      <c r="G657" s="4">
        <v>6</v>
      </c>
      <c r="H657" s="115"/>
      <c r="I657" s="115"/>
      <c r="J657" s="115"/>
      <c r="K657" s="115">
        <v>0</v>
      </c>
      <c r="L657" s="12">
        <f t="shared" si="48"/>
        <v>0</v>
      </c>
      <c r="M657" s="4">
        <f t="shared" si="49"/>
        <v>0</v>
      </c>
      <c r="N657" s="4">
        <f t="shared" si="50"/>
        <v>0</v>
      </c>
      <c r="O657" s="13">
        <f t="shared" si="51"/>
        <v>0</v>
      </c>
    </row>
    <row r="658" spans="2:15">
      <c r="B658" s="12">
        <v>6</v>
      </c>
      <c r="C658" s="4" t="s">
        <v>151</v>
      </c>
      <c r="D658" s="4" t="s">
        <v>149</v>
      </c>
      <c r="E658" s="4">
        <v>6</v>
      </c>
      <c r="F658" s="4">
        <v>7</v>
      </c>
      <c r="G658" s="4">
        <v>7</v>
      </c>
      <c r="H658" s="115"/>
      <c r="I658" s="115"/>
      <c r="J658" s="115"/>
      <c r="K658" s="115">
        <v>0</v>
      </c>
      <c r="L658" s="12">
        <f t="shared" si="48"/>
        <v>0</v>
      </c>
      <c r="M658" s="4">
        <f t="shared" si="49"/>
        <v>0</v>
      </c>
      <c r="N658" s="4">
        <f t="shared" si="50"/>
        <v>0</v>
      </c>
      <c r="O658" s="13">
        <f t="shared" si="51"/>
        <v>0</v>
      </c>
    </row>
    <row r="659" spans="2:15">
      <c r="B659" s="12">
        <v>6</v>
      </c>
      <c r="C659" s="4" t="s">
        <v>151</v>
      </c>
      <c r="D659" s="4" t="s">
        <v>149</v>
      </c>
      <c r="E659" s="4">
        <v>6</v>
      </c>
      <c r="F659" s="4">
        <v>7</v>
      </c>
      <c r="G659" s="4">
        <v>8</v>
      </c>
      <c r="H659" s="115"/>
      <c r="I659" s="115"/>
      <c r="J659" s="115"/>
      <c r="K659" s="115">
        <v>0</v>
      </c>
      <c r="L659" s="12">
        <f t="shared" si="48"/>
        <v>0</v>
      </c>
      <c r="M659" s="4">
        <f t="shared" si="49"/>
        <v>0</v>
      </c>
      <c r="N659" s="4">
        <f t="shared" si="50"/>
        <v>0</v>
      </c>
      <c r="O659" s="13">
        <f t="shared" si="51"/>
        <v>0</v>
      </c>
    </row>
    <row r="660" spans="2:15">
      <c r="B660" s="12">
        <v>6</v>
      </c>
      <c r="C660" s="4" t="s">
        <v>151</v>
      </c>
      <c r="D660" s="4" t="s">
        <v>149</v>
      </c>
      <c r="E660" s="4">
        <v>6</v>
      </c>
      <c r="F660" s="4">
        <v>7</v>
      </c>
      <c r="G660" s="4">
        <v>9</v>
      </c>
      <c r="H660" s="115"/>
      <c r="I660" s="115"/>
      <c r="J660" s="115"/>
      <c r="K660" s="115">
        <v>0</v>
      </c>
      <c r="L660" s="12">
        <f t="shared" si="48"/>
        <v>0</v>
      </c>
      <c r="M660" s="4">
        <f t="shared" si="49"/>
        <v>0</v>
      </c>
      <c r="N660" s="4">
        <f t="shared" si="50"/>
        <v>0</v>
      </c>
      <c r="O660" s="13">
        <f t="shared" si="51"/>
        <v>0</v>
      </c>
    </row>
    <row r="661" spans="2:15" ht="13.8" thickBot="1">
      <c r="B661" s="14">
        <v>6</v>
      </c>
      <c r="C661" s="15" t="s">
        <v>151</v>
      </c>
      <c r="D661" s="15" t="s">
        <v>149</v>
      </c>
      <c r="E661" s="15">
        <v>6</v>
      </c>
      <c r="F661" s="15">
        <v>7</v>
      </c>
      <c r="G661" s="15">
        <v>10</v>
      </c>
      <c r="H661" s="121"/>
      <c r="I661" s="121"/>
      <c r="J661" s="121"/>
      <c r="K661" s="121">
        <v>0</v>
      </c>
      <c r="L661" s="14">
        <f t="shared" si="48"/>
        <v>0</v>
      </c>
      <c r="M661" s="15">
        <f t="shared" si="49"/>
        <v>0</v>
      </c>
      <c r="N661" s="15">
        <f t="shared" si="50"/>
        <v>0</v>
      </c>
      <c r="O661" s="16">
        <f t="shared" si="51"/>
        <v>0</v>
      </c>
    </row>
    <row r="662" spans="2:15">
      <c r="B662" s="9">
        <v>6</v>
      </c>
      <c r="C662" s="10" t="s">
        <v>152</v>
      </c>
      <c r="D662" s="10" t="s">
        <v>149</v>
      </c>
      <c r="E662" s="93">
        <v>7</v>
      </c>
      <c r="F662" s="93">
        <v>6</v>
      </c>
      <c r="G662" s="10">
        <v>1</v>
      </c>
      <c r="H662" s="120">
        <v>0.10000000000002274</v>
      </c>
      <c r="I662" s="120">
        <v>0.11700000000001864</v>
      </c>
      <c r="J662" s="120">
        <v>0.16599999999999682</v>
      </c>
      <c r="K662" s="120">
        <v>0.3830000000000382</v>
      </c>
      <c r="L662" s="9">
        <f t="shared" si="48"/>
        <v>4.1392685158234015E-2</v>
      </c>
      <c r="M662" s="10">
        <f t="shared" si="49"/>
        <v>4.8053173115616306E-2</v>
      </c>
      <c r="N662" s="10">
        <f t="shared" si="50"/>
        <v>6.6698550422994093E-2</v>
      </c>
      <c r="O662" s="11">
        <f t="shared" si="51"/>
        <v>0.14082218010932257</v>
      </c>
    </row>
    <row r="663" spans="2:15">
      <c r="B663" s="12">
        <v>6</v>
      </c>
      <c r="C663" s="4" t="s">
        <v>152</v>
      </c>
      <c r="D663" s="4" t="s">
        <v>149</v>
      </c>
      <c r="E663" s="4">
        <v>7</v>
      </c>
      <c r="F663" s="4">
        <v>6</v>
      </c>
      <c r="G663" s="4">
        <v>2</v>
      </c>
      <c r="H663" s="115">
        <v>0.48400000000003729</v>
      </c>
      <c r="I663" s="115">
        <v>0.1169999999999618</v>
      </c>
      <c r="J663" s="115">
        <v>0.11600000000004229</v>
      </c>
      <c r="K663" s="115">
        <v>0.71700000000004138</v>
      </c>
      <c r="L663" s="12">
        <f t="shared" si="48"/>
        <v>0.17143390094301919</v>
      </c>
      <c r="M663" s="4">
        <f t="shared" si="49"/>
        <v>4.8053173115594205E-2</v>
      </c>
      <c r="N663" s="4">
        <f t="shared" si="50"/>
        <v>4.76641946015764E-2</v>
      </c>
      <c r="O663" s="13">
        <f t="shared" si="51"/>
        <v>0.23477029516092696</v>
      </c>
    </row>
    <row r="664" spans="2:15">
      <c r="B664" s="12">
        <v>6</v>
      </c>
      <c r="C664" s="4" t="s">
        <v>152</v>
      </c>
      <c r="D664" s="4" t="s">
        <v>149</v>
      </c>
      <c r="E664" s="4">
        <v>7</v>
      </c>
      <c r="F664" s="4">
        <v>6</v>
      </c>
      <c r="G664" s="4">
        <v>3</v>
      </c>
      <c r="H664" s="115"/>
      <c r="I664" s="115">
        <v>0.16599999999999682</v>
      </c>
      <c r="J664" s="115"/>
      <c r="K664" s="115">
        <v>0.16599999999999682</v>
      </c>
      <c r="L664" s="12">
        <f t="shared" si="48"/>
        <v>0</v>
      </c>
      <c r="M664" s="4">
        <f t="shared" si="49"/>
        <v>6.6698550422994093E-2</v>
      </c>
      <c r="N664" s="4">
        <f t="shared" si="50"/>
        <v>0</v>
      </c>
      <c r="O664" s="13">
        <f t="shared" si="51"/>
        <v>6.6698550422994093E-2</v>
      </c>
    </row>
    <row r="665" spans="2:15">
      <c r="B665" s="12">
        <v>6</v>
      </c>
      <c r="C665" s="4" t="s">
        <v>152</v>
      </c>
      <c r="D665" s="4" t="s">
        <v>149</v>
      </c>
      <c r="E665" s="4">
        <v>7</v>
      </c>
      <c r="F665" s="4">
        <v>6</v>
      </c>
      <c r="G665" s="4">
        <v>4</v>
      </c>
      <c r="H665" s="115"/>
      <c r="I665" s="115"/>
      <c r="J665" s="115"/>
      <c r="K665" s="115">
        <v>0</v>
      </c>
      <c r="L665" s="12">
        <f t="shared" si="48"/>
        <v>0</v>
      </c>
      <c r="M665" s="4">
        <f t="shared" si="49"/>
        <v>0</v>
      </c>
      <c r="N665" s="4">
        <f t="shared" si="50"/>
        <v>0</v>
      </c>
      <c r="O665" s="13">
        <f t="shared" si="51"/>
        <v>0</v>
      </c>
    </row>
    <row r="666" spans="2:15">
      <c r="B666" s="12">
        <v>6</v>
      </c>
      <c r="C666" s="4" t="s">
        <v>152</v>
      </c>
      <c r="D666" s="4" t="s">
        <v>149</v>
      </c>
      <c r="E666" s="4">
        <v>7</v>
      </c>
      <c r="F666" s="4">
        <v>6</v>
      </c>
      <c r="G666" s="4">
        <v>5</v>
      </c>
      <c r="H666" s="115"/>
      <c r="I666" s="115"/>
      <c r="J666" s="115"/>
      <c r="K666" s="115">
        <v>0</v>
      </c>
      <c r="L666" s="12">
        <f t="shared" si="48"/>
        <v>0</v>
      </c>
      <c r="M666" s="4">
        <f t="shared" si="49"/>
        <v>0</v>
      </c>
      <c r="N666" s="4">
        <f t="shared" si="50"/>
        <v>0</v>
      </c>
      <c r="O666" s="13">
        <f t="shared" si="51"/>
        <v>0</v>
      </c>
    </row>
    <row r="667" spans="2:15">
      <c r="B667" s="12">
        <v>6</v>
      </c>
      <c r="C667" s="4" t="s">
        <v>152</v>
      </c>
      <c r="D667" s="4" t="s">
        <v>149</v>
      </c>
      <c r="E667" s="4">
        <v>7</v>
      </c>
      <c r="F667" s="4">
        <v>6</v>
      </c>
      <c r="G667" s="4">
        <v>6</v>
      </c>
      <c r="H667" s="115"/>
      <c r="I667" s="115"/>
      <c r="J667" s="115"/>
      <c r="K667" s="115">
        <v>0</v>
      </c>
      <c r="L667" s="12">
        <f t="shared" si="48"/>
        <v>0</v>
      </c>
      <c r="M667" s="4">
        <f t="shared" si="49"/>
        <v>0</v>
      </c>
      <c r="N667" s="4">
        <f t="shared" si="50"/>
        <v>0</v>
      </c>
      <c r="O667" s="13">
        <f t="shared" si="51"/>
        <v>0</v>
      </c>
    </row>
    <row r="668" spans="2:15">
      <c r="B668" s="12">
        <v>6</v>
      </c>
      <c r="C668" s="4" t="s">
        <v>152</v>
      </c>
      <c r="D668" s="4" t="s">
        <v>149</v>
      </c>
      <c r="E668" s="4">
        <v>7</v>
      </c>
      <c r="F668" s="4">
        <v>6</v>
      </c>
      <c r="G668" s="4">
        <v>7</v>
      </c>
      <c r="H668" s="115"/>
      <c r="I668" s="115"/>
      <c r="J668" s="115"/>
      <c r="K668" s="115">
        <v>0</v>
      </c>
      <c r="L668" s="12">
        <f t="shared" si="48"/>
        <v>0</v>
      </c>
      <c r="M668" s="4">
        <f t="shared" si="49"/>
        <v>0</v>
      </c>
      <c r="N668" s="4">
        <f t="shared" si="50"/>
        <v>0</v>
      </c>
      <c r="O668" s="13">
        <f t="shared" si="51"/>
        <v>0</v>
      </c>
    </row>
    <row r="669" spans="2:15">
      <c r="B669" s="12">
        <v>6</v>
      </c>
      <c r="C669" s="4" t="s">
        <v>152</v>
      </c>
      <c r="D669" s="4" t="s">
        <v>149</v>
      </c>
      <c r="E669" s="4">
        <v>7</v>
      </c>
      <c r="F669" s="4">
        <v>6</v>
      </c>
      <c r="G669" s="4">
        <v>8</v>
      </c>
      <c r="H669" s="115"/>
      <c r="I669" s="115"/>
      <c r="J669" s="115"/>
      <c r="K669" s="115">
        <v>0</v>
      </c>
      <c r="L669" s="12">
        <f t="shared" si="48"/>
        <v>0</v>
      </c>
      <c r="M669" s="4">
        <f t="shared" si="49"/>
        <v>0</v>
      </c>
      <c r="N669" s="4">
        <f t="shared" si="50"/>
        <v>0</v>
      </c>
      <c r="O669" s="13">
        <f t="shared" si="51"/>
        <v>0</v>
      </c>
    </row>
    <row r="670" spans="2:15">
      <c r="B670" s="12">
        <v>6</v>
      </c>
      <c r="C670" s="4" t="s">
        <v>152</v>
      </c>
      <c r="D670" s="4" t="s">
        <v>149</v>
      </c>
      <c r="E670" s="4">
        <v>7</v>
      </c>
      <c r="F670" s="4">
        <v>6</v>
      </c>
      <c r="G670" s="4">
        <v>9</v>
      </c>
      <c r="H670" s="115"/>
      <c r="I670" s="115"/>
      <c r="J670" s="115"/>
      <c r="K670" s="115">
        <v>0</v>
      </c>
      <c r="L670" s="12">
        <f t="shared" si="48"/>
        <v>0</v>
      </c>
      <c r="M670" s="4">
        <f t="shared" si="49"/>
        <v>0</v>
      </c>
      <c r="N670" s="4">
        <f t="shared" si="50"/>
        <v>0</v>
      </c>
      <c r="O670" s="13">
        <f t="shared" si="51"/>
        <v>0</v>
      </c>
    </row>
    <row r="671" spans="2:15" ht="13.8" thickBot="1">
      <c r="B671" s="14">
        <v>6</v>
      </c>
      <c r="C671" s="15" t="s">
        <v>152</v>
      </c>
      <c r="D671" s="15" t="s">
        <v>149</v>
      </c>
      <c r="E671" s="15">
        <v>7</v>
      </c>
      <c r="F671" s="15">
        <v>6</v>
      </c>
      <c r="G671" s="15">
        <v>10</v>
      </c>
      <c r="H671" s="121"/>
      <c r="I671" s="121"/>
      <c r="J671" s="121"/>
      <c r="K671" s="121">
        <v>0</v>
      </c>
      <c r="L671" s="14">
        <f t="shared" si="48"/>
        <v>0</v>
      </c>
      <c r="M671" s="15">
        <f t="shared" si="49"/>
        <v>0</v>
      </c>
      <c r="N671" s="15">
        <f t="shared" si="50"/>
        <v>0</v>
      </c>
      <c r="O671" s="16">
        <f t="shared" si="51"/>
        <v>0</v>
      </c>
    </row>
    <row r="672" spans="2:15">
      <c r="B672" s="9">
        <v>6</v>
      </c>
      <c r="C672" s="10" t="s">
        <v>152</v>
      </c>
      <c r="D672" s="10" t="s">
        <v>154</v>
      </c>
      <c r="E672" s="93">
        <v>8</v>
      </c>
      <c r="F672" s="93">
        <v>10</v>
      </c>
      <c r="G672" s="10">
        <v>1</v>
      </c>
      <c r="H672" s="120">
        <v>9.9999999999965894E-2</v>
      </c>
      <c r="I672" s="120">
        <v>1.3160000000000309</v>
      </c>
      <c r="J672" s="120">
        <v>1.0170000000000528</v>
      </c>
      <c r="K672" s="120">
        <v>2.4330000000000496</v>
      </c>
      <c r="L672" s="9">
        <f t="shared" si="48"/>
        <v>4.1392685158211574E-2</v>
      </c>
      <c r="M672" s="10">
        <f t="shared" si="49"/>
        <v>0.36473855505540437</v>
      </c>
      <c r="N672" s="10">
        <f t="shared" si="50"/>
        <v>0.30470589821277677</v>
      </c>
      <c r="O672" s="11">
        <f t="shared" si="51"/>
        <v>0.53567380342575643</v>
      </c>
    </row>
    <row r="673" spans="2:15">
      <c r="B673" s="12">
        <v>6</v>
      </c>
      <c r="C673" s="4" t="s">
        <v>152</v>
      </c>
      <c r="D673" s="4" t="s">
        <v>154</v>
      </c>
      <c r="E673" s="4">
        <v>8</v>
      </c>
      <c r="F673" s="4">
        <v>10</v>
      </c>
      <c r="G673" s="4">
        <v>2</v>
      </c>
      <c r="H673" s="115"/>
      <c r="I673" s="115">
        <v>0.28300000000001546</v>
      </c>
      <c r="J673" s="115">
        <v>9.9999999999965894E-2</v>
      </c>
      <c r="K673" s="115">
        <v>0.38299999999998136</v>
      </c>
      <c r="L673" s="12">
        <f t="shared" si="48"/>
        <v>0</v>
      </c>
      <c r="M673" s="4">
        <f t="shared" si="49"/>
        <v>0.10822665637493374</v>
      </c>
      <c r="N673" s="4">
        <f t="shared" si="50"/>
        <v>4.1392685158211574E-2</v>
      </c>
      <c r="O673" s="13">
        <f t="shared" si="51"/>
        <v>0.14082218010930472</v>
      </c>
    </row>
    <row r="674" spans="2:15">
      <c r="B674" s="12">
        <v>6</v>
      </c>
      <c r="C674" s="4" t="s">
        <v>152</v>
      </c>
      <c r="D674" s="4" t="s">
        <v>154</v>
      </c>
      <c r="E674" s="4">
        <v>8</v>
      </c>
      <c r="F674" s="4">
        <v>10</v>
      </c>
      <c r="G674" s="4">
        <v>3</v>
      </c>
      <c r="H674" s="115"/>
      <c r="I674" s="115"/>
      <c r="J674" s="115"/>
      <c r="K674" s="115">
        <v>0</v>
      </c>
      <c r="L674" s="12">
        <f t="shared" si="48"/>
        <v>0</v>
      </c>
      <c r="M674" s="4">
        <f t="shared" si="49"/>
        <v>0</v>
      </c>
      <c r="N674" s="4">
        <f t="shared" si="50"/>
        <v>0</v>
      </c>
      <c r="O674" s="13">
        <f t="shared" si="51"/>
        <v>0</v>
      </c>
    </row>
    <row r="675" spans="2:15">
      <c r="B675" s="12">
        <v>6</v>
      </c>
      <c r="C675" s="4" t="s">
        <v>152</v>
      </c>
      <c r="D675" s="4" t="s">
        <v>154</v>
      </c>
      <c r="E675" s="4">
        <v>8</v>
      </c>
      <c r="F675" s="4">
        <v>10</v>
      </c>
      <c r="G675" s="4">
        <v>4</v>
      </c>
      <c r="H675" s="115"/>
      <c r="I675" s="115"/>
      <c r="J675" s="115"/>
      <c r="K675" s="115">
        <v>0</v>
      </c>
      <c r="L675" s="12">
        <f t="shared" si="48"/>
        <v>0</v>
      </c>
      <c r="M675" s="4">
        <f t="shared" si="49"/>
        <v>0</v>
      </c>
      <c r="N675" s="4">
        <f t="shared" si="50"/>
        <v>0</v>
      </c>
      <c r="O675" s="13">
        <f t="shared" si="51"/>
        <v>0</v>
      </c>
    </row>
    <row r="676" spans="2:15">
      <c r="B676" s="12">
        <v>6</v>
      </c>
      <c r="C676" s="4" t="s">
        <v>152</v>
      </c>
      <c r="D676" s="4" t="s">
        <v>154</v>
      </c>
      <c r="E676" s="4">
        <v>8</v>
      </c>
      <c r="F676" s="4">
        <v>10</v>
      </c>
      <c r="G676" s="4">
        <v>5</v>
      </c>
      <c r="H676" s="115"/>
      <c r="I676" s="115"/>
      <c r="J676" s="115"/>
      <c r="K676" s="115">
        <v>0</v>
      </c>
      <c r="L676" s="12">
        <f t="shared" si="48"/>
        <v>0</v>
      </c>
      <c r="M676" s="4">
        <f t="shared" si="49"/>
        <v>0</v>
      </c>
      <c r="N676" s="4">
        <f t="shared" si="50"/>
        <v>0</v>
      </c>
      <c r="O676" s="13">
        <f t="shared" si="51"/>
        <v>0</v>
      </c>
    </row>
    <row r="677" spans="2:15">
      <c r="B677" s="12">
        <v>6</v>
      </c>
      <c r="C677" s="4" t="s">
        <v>152</v>
      </c>
      <c r="D677" s="4" t="s">
        <v>154</v>
      </c>
      <c r="E677" s="4">
        <v>8</v>
      </c>
      <c r="F677" s="4">
        <v>10</v>
      </c>
      <c r="G677" s="4">
        <v>6</v>
      </c>
      <c r="H677" s="115"/>
      <c r="I677" s="115"/>
      <c r="J677" s="115"/>
      <c r="K677" s="115">
        <v>0</v>
      </c>
      <c r="L677" s="12">
        <f t="shared" si="48"/>
        <v>0</v>
      </c>
      <c r="M677" s="4">
        <f t="shared" si="49"/>
        <v>0</v>
      </c>
      <c r="N677" s="4">
        <f t="shared" si="50"/>
        <v>0</v>
      </c>
      <c r="O677" s="13">
        <f t="shared" si="51"/>
        <v>0</v>
      </c>
    </row>
    <row r="678" spans="2:15">
      <c r="B678" s="12">
        <v>6</v>
      </c>
      <c r="C678" s="4" t="s">
        <v>152</v>
      </c>
      <c r="D678" s="4" t="s">
        <v>154</v>
      </c>
      <c r="E678" s="4">
        <v>8</v>
      </c>
      <c r="F678" s="4">
        <v>10</v>
      </c>
      <c r="G678" s="4">
        <v>7</v>
      </c>
      <c r="H678" s="115"/>
      <c r="I678" s="115"/>
      <c r="J678" s="115"/>
      <c r="K678" s="115">
        <v>0</v>
      </c>
      <c r="L678" s="12">
        <f t="shared" si="48"/>
        <v>0</v>
      </c>
      <c r="M678" s="4">
        <f t="shared" si="49"/>
        <v>0</v>
      </c>
      <c r="N678" s="4">
        <f t="shared" si="50"/>
        <v>0</v>
      </c>
      <c r="O678" s="13">
        <f t="shared" si="51"/>
        <v>0</v>
      </c>
    </row>
    <row r="679" spans="2:15">
      <c r="B679" s="12">
        <v>6</v>
      </c>
      <c r="C679" s="4" t="s">
        <v>152</v>
      </c>
      <c r="D679" s="4" t="s">
        <v>154</v>
      </c>
      <c r="E679" s="4">
        <v>8</v>
      </c>
      <c r="F679" s="4">
        <v>10</v>
      </c>
      <c r="G679" s="4">
        <v>8</v>
      </c>
      <c r="H679" s="115"/>
      <c r="I679" s="115"/>
      <c r="J679" s="115"/>
      <c r="K679" s="115">
        <v>0</v>
      </c>
      <c r="L679" s="12">
        <f t="shared" ref="L679:L742" si="52">LOG10(H679+1)</f>
        <v>0</v>
      </c>
      <c r="M679" s="4">
        <f t="shared" ref="M679:M742" si="53">LOG10(I679+1)</f>
        <v>0</v>
      </c>
      <c r="N679" s="4">
        <f t="shared" ref="N679:N742" si="54">LOG10(J679+1)</f>
        <v>0</v>
      </c>
      <c r="O679" s="13">
        <f t="shared" ref="O679:O742" si="55">LOG10(K679+1)</f>
        <v>0</v>
      </c>
    </row>
    <row r="680" spans="2:15">
      <c r="B680" s="12">
        <v>6</v>
      </c>
      <c r="C680" s="4" t="s">
        <v>152</v>
      </c>
      <c r="D680" s="4" t="s">
        <v>154</v>
      </c>
      <c r="E680" s="4">
        <v>8</v>
      </c>
      <c r="F680" s="4">
        <v>10</v>
      </c>
      <c r="G680" s="4">
        <v>9</v>
      </c>
      <c r="H680" s="115"/>
      <c r="I680" s="115"/>
      <c r="J680" s="115"/>
      <c r="K680" s="115">
        <v>0</v>
      </c>
      <c r="L680" s="12">
        <f t="shared" si="52"/>
        <v>0</v>
      </c>
      <c r="M680" s="4">
        <f t="shared" si="53"/>
        <v>0</v>
      </c>
      <c r="N680" s="4">
        <f t="shared" si="54"/>
        <v>0</v>
      </c>
      <c r="O680" s="13">
        <f t="shared" si="55"/>
        <v>0</v>
      </c>
    </row>
    <row r="681" spans="2:15" ht="13.8" thickBot="1">
      <c r="B681" s="14">
        <v>6</v>
      </c>
      <c r="C681" s="15" t="s">
        <v>152</v>
      </c>
      <c r="D681" s="15" t="s">
        <v>154</v>
      </c>
      <c r="E681" s="15">
        <v>8</v>
      </c>
      <c r="F681" s="15">
        <v>10</v>
      </c>
      <c r="G681" s="15">
        <v>10</v>
      </c>
      <c r="H681" s="121"/>
      <c r="I681" s="121"/>
      <c r="J681" s="121"/>
      <c r="K681" s="121">
        <v>0</v>
      </c>
      <c r="L681" s="14">
        <f t="shared" si="52"/>
        <v>0</v>
      </c>
      <c r="M681" s="15">
        <f t="shared" si="53"/>
        <v>0</v>
      </c>
      <c r="N681" s="15">
        <f t="shared" si="54"/>
        <v>0</v>
      </c>
      <c r="O681" s="16">
        <f t="shared" si="55"/>
        <v>0</v>
      </c>
    </row>
    <row r="682" spans="2:15">
      <c r="B682" s="9">
        <v>6</v>
      </c>
      <c r="C682" s="10" t="s">
        <v>152</v>
      </c>
      <c r="D682" s="10" t="s">
        <v>154</v>
      </c>
      <c r="E682" s="93">
        <v>9</v>
      </c>
      <c r="F682" s="93">
        <v>12</v>
      </c>
      <c r="G682" s="10">
        <v>1</v>
      </c>
      <c r="H682" s="120"/>
      <c r="I682" s="120">
        <v>0.28299999999990177</v>
      </c>
      <c r="J682" s="120">
        <v>0.19999999999993179</v>
      </c>
      <c r="K682" s="120">
        <v>0.48299999999983356</v>
      </c>
      <c r="L682" s="9">
        <f t="shared" si="52"/>
        <v>0</v>
      </c>
      <c r="M682" s="10">
        <f t="shared" si="53"/>
        <v>0.10822665637489526</v>
      </c>
      <c r="N682" s="10">
        <f t="shared" si="54"/>
        <v>7.9181246047600143E-2</v>
      </c>
      <c r="O682" s="11">
        <f t="shared" si="55"/>
        <v>0.17114115102833327</v>
      </c>
    </row>
    <row r="683" spans="2:15">
      <c r="B683" s="12">
        <v>6</v>
      </c>
      <c r="C683" s="4" t="s">
        <v>152</v>
      </c>
      <c r="D683" s="4" t="s">
        <v>154</v>
      </c>
      <c r="E683" s="4">
        <v>9</v>
      </c>
      <c r="F683" s="4">
        <v>12</v>
      </c>
      <c r="G683" s="4">
        <v>2</v>
      </c>
      <c r="H683" s="115">
        <v>0.20000000000004547</v>
      </c>
      <c r="I683" s="115"/>
      <c r="J683" s="115">
        <v>0.11599999999998545</v>
      </c>
      <c r="K683" s="115">
        <v>0.31600000000003092</v>
      </c>
      <c r="L683" s="12">
        <f t="shared" si="52"/>
        <v>7.918124604764129E-2</v>
      </c>
      <c r="M683" s="4">
        <f t="shared" si="53"/>
        <v>0</v>
      </c>
      <c r="N683" s="4">
        <f t="shared" si="54"/>
        <v>4.7664194601554279E-2</v>
      </c>
      <c r="O683" s="13">
        <f t="shared" si="55"/>
        <v>0.11925588927794689</v>
      </c>
    </row>
    <row r="684" spans="2:15">
      <c r="B684" s="12">
        <v>6</v>
      </c>
      <c r="C684" s="4" t="s">
        <v>152</v>
      </c>
      <c r="D684" s="4" t="s">
        <v>154</v>
      </c>
      <c r="E684" s="4">
        <v>9</v>
      </c>
      <c r="F684" s="4">
        <v>12</v>
      </c>
      <c r="G684" s="4">
        <v>3</v>
      </c>
      <c r="H684" s="115"/>
      <c r="I684" s="115"/>
      <c r="J684" s="115"/>
      <c r="K684" s="115">
        <v>0</v>
      </c>
      <c r="L684" s="12">
        <f t="shared" si="52"/>
        <v>0</v>
      </c>
      <c r="M684" s="4">
        <f t="shared" si="53"/>
        <v>0</v>
      </c>
      <c r="N684" s="4">
        <f t="shared" si="54"/>
        <v>0</v>
      </c>
      <c r="O684" s="13">
        <f t="shared" si="55"/>
        <v>0</v>
      </c>
    </row>
    <row r="685" spans="2:15">
      <c r="B685" s="12">
        <v>6</v>
      </c>
      <c r="C685" s="4" t="s">
        <v>152</v>
      </c>
      <c r="D685" s="4" t="s">
        <v>154</v>
      </c>
      <c r="E685" s="4">
        <v>9</v>
      </c>
      <c r="F685" s="4">
        <v>12</v>
      </c>
      <c r="G685" s="4">
        <v>4</v>
      </c>
      <c r="H685" s="115"/>
      <c r="I685" s="115"/>
      <c r="J685" s="115"/>
      <c r="K685" s="115">
        <v>0</v>
      </c>
      <c r="L685" s="12">
        <f t="shared" si="52"/>
        <v>0</v>
      </c>
      <c r="M685" s="4">
        <f t="shared" si="53"/>
        <v>0</v>
      </c>
      <c r="N685" s="4">
        <f t="shared" si="54"/>
        <v>0</v>
      </c>
      <c r="O685" s="13">
        <f t="shared" si="55"/>
        <v>0</v>
      </c>
    </row>
    <row r="686" spans="2:15">
      <c r="B686" s="12">
        <v>6</v>
      </c>
      <c r="C686" s="4" t="s">
        <v>152</v>
      </c>
      <c r="D686" s="4" t="s">
        <v>154</v>
      </c>
      <c r="E686" s="4">
        <v>9</v>
      </c>
      <c r="F686" s="4">
        <v>12</v>
      </c>
      <c r="G686" s="4">
        <v>5</v>
      </c>
      <c r="H686" s="115"/>
      <c r="I686" s="115"/>
      <c r="J686" s="115"/>
      <c r="K686" s="115">
        <v>0</v>
      </c>
      <c r="L686" s="12">
        <f t="shared" si="52"/>
        <v>0</v>
      </c>
      <c r="M686" s="4">
        <f t="shared" si="53"/>
        <v>0</v>
      </c>
      <c r="N686" s="4">
        <f t="shared" si="54"/>
        <v>0</v>
      </c>
      <c r="O686" s="13">
        <f t="shared" si="55"/>
        <v>0</v>
      </c>
    </row>
    <row r="687" spans="2:15">
      <c r="B687" s="12">
        <v>6</v>
      </c>
      <c r="C687" s="4" t="s">
        <v>152</v>
      </c>
      <c r="D687" s="4" t="s">
        <v>154</v>
      </c>
      <c r="E687" s="4">
        <v>9</v>
      </c>
      <c r="F687" s="4">
        <v>12</v>
      </c>
      <c r="G687" s="4">
        <v>6</v>
      </c>
      <c r="H687" s="115"/>
      <c r="I687" s="115"/>
      <c r="J687" s="115"/>
      <c r="K687" s="115">
        <v>0</v>
      </c>
      <c r="L687" s="12">
        <f t="shared" si="52"/>
        <v>0</v>
      </c>
      <c r="M687" s="4">
        <f t="shared" si="53"/>
        <v>0</v>
      </c>
      <c r="N687" s="4">
        <f t="shared" si="54"/>
        <v>0</v>
      </c>
      <c r="O687" s="13">
        <f t="shared" si="55"/>
        <v>0</v>
      </c>
    </row>
    <row r="688" spans="2:15">
      <c r="B688" s="12">
        <v>6</v>
      </c>
      <c r="C688" s="4" t="s">
        <v>152</v>
      </c>
      <c r="D688" s="4" t="s">
        <v>154</v>
      </c>
      <c r="E688" s="4">
        <v>9</v>
      </c>
      <c r="F688" s="4">
        <v>12</v>
      </c>
      <c r="G688" s="4">
        <v>7</v>
      </c>
      <c r="H688" s="115"/>
      <c r="I688" s="115"/>
      <c r="J688" s="115"/>
      <c r="K688" s="115">
        <v>0</v>
      </c>
      <c r="L688" s="12">
        <f t="shared" si="52"/>
        <v>0</v>
      </c>
      <c r="M688" s="4">
        <f t="shared" si="53"/>
        <v>0</v>
      </c>
      <c r="N688" s="4">
        <f t="shared" si="54"/>
        <v>0</v>
      </c>
      <c r="O688" s="13">
        <f t="shared" si="55"/>
        <v>0</v>
      </c>
    </row>
    <row r="689" spans="2:15">
      <c r="B689" s="12">
        <v>6</v>
      </c>
      <c r="C689" s="4" t="s">
        <v>152</v>
      </c>
      <c r="D689" s="4" t="s">
        <v>154</v>
      </c>
      <c r="E689" s="4">
        <v>9</v>
      </c>
      <c r="F689" s="4">
        <v>12</v>
      </c>
      <c r="G689" s="4">
        <v>8</v>
      </c>
      <c r="H689" s="115"/>
      <c r="I689" s="115"/>
      <c r="J689" s="115"/>
      <c r="K689" s="115">
        <v>0</v>
      </c>
      <c r="L689" s="12">
        <f t="shared" si="52"/>
        <v>0</v>
      </c>
      <c r="M689" s="4">
        <f t="shared" si="53"/>
        <v>0</v>
      </c>
      <c r="N689" s="4">
        <f t="shared" si="54"/>
        <v>0</v>
      </c>
      <c r="O689" s="13">
        <f t="shared" si="55"/>
        <v>0</v>
      </c>
    </row>
    <row r="690" spans="2:15">
      <c r="B690" s="12">
        <v>6</v>
      </c>
      <c r="C690" s="4" t="s">
        <v>152</v>
      </c>
      <c r="D690" s="4" t="s">
        <v>154</v>
      </c>
      <c r="E690" s="4">
        <v>9</v>
      </c>
      <c r="F690" s="4">
        <v>12</v>
      </c>
      <c r="G690" s="4">
        <v>9</v>
      </c>
      <c r="H690" s="115"/>
      <c r="I690" s="115"/>
      <c r="J690" s="115"/>
      <c r="K690" s="115">
        <v>0</v>
      </c>
      <c r="L690" s="12">
        <f t="shared" si="52"/>
        <v>0</v>
      </c>
      <c r="M690" s="4">
        <f t="shared" si="53"/>
        <v>0</v>
      </c>
      <c r="N690" s="4">
        <f t="shared" si="54"/>
        <v>0</v>
      </c>
      <c r="O690" s="13">
        <f t="shared" si="55"/>
        <v>0</v>
      </c>
    </row>
    <row r="691" spans="2:15" ht="13.8" thickBot="1">
      <c r="B691" s="14">
        <v>6</v>
      </c>
      <c r="C691" s="15" t="s">
        <v>152</v>
      </c>
      <c r="D691" s="15" t="s">
        <v>154</v>
      </c>
      <c r="E691" s="15">
        <v>9</v>
      </c>
      <c r="F691" s="15">
        <v>12</v>
      </c>
      <c r="G691" s="15">
        <v>10</v>
      </c>
      <c r="H691" s="121"/>
      <c r="I691" s="121"/>
      <c r="J691" s="121"/>
      <c r="K691" s="121">
        <v>0</v>
      </c>
      <c r="L691" s="14">
        <f t="shared" si="52"/>
        <v>0</v>
      </c>
      <c r="M691" s="15">
        <f t="shared" si="53"/>
        <v>0</v>
      </c>
      <c r="N691" s="15">
        <f t="shared" si="54"/>
        <v>0</v>
      </c>
      <c r="O691" s="16">
        <f t="shared" si="55"/>
        <v>0</v>
      </c>
    </row>
    <row r="692" spans="2:15">
      <c r="B692" s="9">
        <v>6</v>
      </c>
      <c r="C692" s="10" t="s">
        <v>152</v>
      </c>
      <c r="D692" s="10" t="s">
        <v>150</v>
      </c>
      <c r="E692" s="93">
        <v>10</v>
      </c>
      <c r="F692" s="93">
        <v>2</v>
      </c>
      <c r="G692" s="10">
        <v>1</v>
      </c>
      <c r="H692" s="120">
        <v>0.91599999999998261</v>
      </c>
      <c r="I692" s="120"/>
      <c r="J692" s="120">
        <v>0.38400000000000034</v>
      </c>
      <c r="K692" s="120">
        <v>1.2999999999999829</v>
      </c>
      <c r="L692" s="9">
        <f t="shared" si="52"/>
        <v>0.28239550474252167</v>
      </c>
      <c r="M692" s="10">
        <f t="shared" si="53"/>
        <v>0</v>
      </c>
      <c r="N692" s="10">
        <f t="shared" si="54"/>
        <v>0.1411360901207391</v>
      </c>
      <c r="O692" s="11">
        <f t="shared" si="55"/>
        <v>0.36172783601758968</v>
      </c>
    </row>
    <row r="693" spans="2:15">
      <c r="B693" s="12">
        <v>6</v>
      </c>
      <c r="C693" s="4" t="s">
        <v>152</v>
      </c>
      <c r="D693" s="4" t="s">
        <v>150</v>
      </c>
      <c r="E693" s="4">
        <v>10</v>
      </c>
      <c r="F693" s="4">
        <v>2</v>
      </c>
      <c r="G693" s="4">
        <v>2</v>
      </c>
      <c r="H693" s="115"/>
      <c r="I693" s="115"/>
      <c r="J693" s="115">
        <v>0.21699999999999875</v>
      </c>
      <c r="K693" s="115">
        <v>0.21699999999999875</v>
      </c>
      <c r="L693" s="12">
        <f t="shared" si="52"/>
        <v>0</v>
      </c>
      <c r="M693" s="4">
        <f t="shared" si="53"/>
        <v>0</v>
      </c>
      <c r="N693" s="4">
        <f t="shared" si="54"/>
        <v>8.5290578230064543E-2</v>
      </c>
      <c r="O693" s="13">
        <f t="shared" si="55"/>
        <v>8.5290578230064543E-2</v>
      </c>
    </row>
    <row r="694" spans="2:15">
      <c r="B694" s="12">
        <v>6</v>
      </c>
      <c r="C694" s="4" t="s">
        <v>152</v>
      </c>
      <c r="D694" s="4" t="s">
        <v>150</v>
      </c>
      <c r="E694" s="4">
        <v>10</v>
      </c>
      <c r="F694" s="4">
        <v>2</v>
      </c>
      <c r="G694" s="4">
        <v>3</v>
      </c>
      <c r="H694" s="115"/>
      <c r="I694" s="115"/>
      <c r="J694" s="115"/>
      <c r="K694" s="115">
        <v>0</v>
      </c>
      <c r="L694" s="12">
        <f t="shared" si="52"/>
        <v>0</v>
      </c>
      <c r="M694" s="4">
        <f t="shared" si="53"/>
        <v>0</v>
      </c>
      <c r="N694" s="4">
        <f t="shared" si="54"/>
        <v>0</v>
      </c>
      <c r="O694" s="13">
        <f t="shared" si="55"/>
        <v>0</v>
      </c>
    </row>
    <row r="695" spans="2:15">
      <c r="B695" s="12">
        <v>6</v>
      </c>
      <c r="C695" s="4" t="s">
        <v>152</v>
      </c>
      <c r="D695" s="4" t="s">
        <v>150</v>
      </c>
      <c r="E695" s="4">
        <v>10</v>
      </c>
      <c r="F695" s="4">
        <v>2</v>
      </c>
      <c r="G695" s="4">
        <v>4</v>
      </c>
      <c r="H695" s="115"/>
      <c r="I695" s="115"/>
      <c r="J695" s="115"/>
      <c r="K695" s="115">
        <v>0</v>
      </c>
      <c r="L695" s="12">
        <f t="shared" si="52"/>
        <v>0</v>
      </c>
      <c r="M695" s="4">
        <f t="shared" si="53"/>
        <v>0</v>
      </c>
      <c r="N695" s="4">
        <f t="shared" si="54"/>
        <v>0</v>
      </c>
      <c r="O695" s="13">
        <f t="shared" si="55"/>
        <v>0</v>
      </c>
    </row>
    <row r="696" spans="2:15">
      <c r="B696" s="12">
        <v>6</v>
      </c>
      <c r="C696" s="4" t="s">
        <v>152</v>
      </c>
      <c r="D696" s="4" t="s">
        <v>150</v>
      </c>
      <c r="E696" s="4">
        <v>10</v>
      </c>
      <c r="F696" s="4">
        <v>2</v>
      </c>
      <c r="G696" s="4">
        <v>5</v>
      </c>
      <c r="H696" s="115"/>
      <c r="I696" s="115"/>
      <c r="J696" s="115"/>
      <c r="K696" s="115">
        <v>0</v>
      </c>
      <c r="L696" s="12">
        <f t="shared" si="52"/>
        <v>0</v>
      </c>
      <c r="M696" s="4">
        <f t="shared" si="53"/>
        <v>0</v>
      </c>
      <c r="N696" s="4">
        <f t="shared" si="54"/>
        <v>0</v>
      </c>
      <c r="O696" s="13">
        <f t="shared" si="55"/>
        <v>0</v>
      </c>
    </row>
    <row r="697" spans="2:15">
      <c r="B697" s="12">
        <v>6</v>
      </c>
      <c r="C697" s="4" t="s">
        <v>152</v>
      </c>
      <c r="D697" s="4" t="s">
        <v>150</v>
      </c>
      <c r="E697" s="4">
        <v>10</v>
      </c>
      <c r="F697" s="4">
        <v>2</v>
      </c>
      <c r="G697" s="4">
        <v>6</v>
      </c>
      <c r="H697" s="115"/>
      <c r="I697" s="115"/>
      <c r="J697" s="115"/>
      <c r="K697" s="115">
        <v>0</v>
      </c>
      <c r="L697" s="12">
        <f t="shared" si="52"/>
        <v>0</v>
      </c>
      <c r="M697" s="4">
        <f t="shared" si="53"/>
        <v>0</v>
      </c>
      <c r="N697" s="4">
        <f t="shared" si="54"/>
        <v>0</v>
      </c>
      <c r="O697" s="13">
        <f t="shared" si="55"/>
        <v>0</v>
      </c>
    </row>
    <row r="698" spans="2:15">
      <c r="B698" s="12">
        <v>6</v>
      </c>
      <c r="C698" s="4" t="s">
        <v>152</v>
      </c>
      <c r="D698" s="4" t="s">
        <v>150</v>
      </c>
      <c r="E698" s="4">
        <v>10</v>
      </c>
      <c r="F698" s="4">
        <v>2</v>
      </c>
      <c r="G698" s="4">
        <v>7</v>
      </c>
      <c r="H698" s="115"/>
      <c r="I698" s="115"/>
      <c r="J698" s="115"/>
      <c r="K698" s="115">
        <v>0</v>
      </c>
      <c r="L698" s="12">
        <f t="shared" si="52"/>
        <v>0</v>
      </c>
      <c r="M698" s="4">
        <f t="shared" si="53"/>
        <v>0</v>
      </c>
      <c r="N698" s="4">
        <f t="shared" si="54"/>
        <v>0</v>
      </c>
      <c r="O698" s="13">
        <f t="shared" si="55"/>
        <v>0</v>
      </c>
    </row>
    <row r="699" spans="2:15">
      <c r="B699" s="12">
        <v>6</v>
      </c>
      <c r="C699" s="4" t="s">
        <v>152</v>
      </c>
      <c r="D699" s="4" t="s">
        <v>150</v>
      </c>
      <c r="E699" s="4">
        <v>10</v>
      </c>
      <c r="F699" s="4">
        <v>2</v>
      </c>
      <c r="G699" s="4">
        <v>8</v>
      </c>
      <c r="H699" s="115"/>
      <c r="I699" s="115"/>
      <c r="J699" s="115"/>
      <c r="K699" s="115">
        <v>0</v>
      </c>
      <c r="L699" s="12">
        <f t="shared" si="52"/>
        <v>0</v>
      </c>
      <c r="M699" s="4">
        <f t="shared" si="53"/>
        <v>0</v>
      </c>
      <c r="N699" s="4">
        <f t="shared" si="54"/>
        <v>0</v>
      </c>
      <c r="O699" s="13">
        <f t="shared" si="55"/>
        <v>0</v>
      </c>
    </row>
    <row r="700" spans="2:15">
      <c r="B700" s="12">
        <v>6</v>
      </c>
      <c r="C700" s="4" t="s">
        <v>152</v>
      </c>
      <c r="D700" s="4" t="s">
        <v>150</v>
      </c>
      <c r="E700" s="4">
        <v>10</v>
      </c>
      <c r="F700" s="4">
        <v>2</v>
      </c>
      <c r="G700" s="4">
        <v>9</v>
      </c>
      <c r="H700" s="115"/>
      <c r="I700" s="115"/>
      <c r="J700" s="115"/>
      <c r="K700" s="115">
        <v>0</v>
      </c>
      <c r="L700" s="12">
        <f t="shared" si="52"/>
        <v>0</v>
      </c>
      <c r="M700" s="4">
        <f t="shared" si="53"/>
        <v>0</v>
      </c>
      <c r="N700" s="4">
        <f t="shared" si="54"/>
        <v>0</v>
      </c>
      <c r="O700" s="13">
        <f t="shared" si="55"/>
        <v>0</v>
      </c>
    </row>
    <row r="701" spans="2:15" ht="13.8" thickBot="1">
      <c r="B701" s="14">
        <v>6</v>
      </c>
      <c r="C701" s="15" t="s">
        <v>152</v>
      </c>
      <c r="D701" s="15" t="s">
        <v>150</v>
      </c>
      <c r="E701" s="15">
        <v>10</v>
      </c>
      <c r="F701" s="15">
        <v>2</v>
      </c>
      <c r="G701" s="15">
        <v>10</v>
      </c>
      <c r="H701" s="121"/>
      <c r="I701" s="121"/>
      <c r="J701" s="121"/>
      <c r="K701" s="121">
        <v>0</v>
      </c>
      <c r="L701" s="14">
        <f t="shared" si="52"/>
        <v>0</v>
      </c>
      <c r="M701" s="15">
        <f t="shared" si="53"/>
        <v>0</v>
      </c>
      <c r="N701" s="15">
        <f t="shared" si="54"/>
        <v>0</v>
      </c>
      <c r="O701" s="16">
        <f t="shared" si="55"/>
        <v>0</v>
      </c>
    </row>
    <row r="702" spans="2:15">
      <c r="B702" s="9">
        <v>6</v>
      </c>
      <c r="C702" s="10" t="s">
        <v>152</v>
      </c>
      <c r="D702" s="10" t="s">
        <v>149</v>
      </c>
      <c r="E702" s="93">
        <v>11</v>
      </c>
      <c r="F702" s="93">
        <v>8</v>
      </c>
      <c r="G702" s="10">
        <v>1</v>
      </c>
      <c r="H702" s="120">
        <v>2.4510000000000218</v>
      </c>
      <c r="I702" s="120">
        <v>0.31700000000006412</v>
      </c>
      <c r="J702" s="120">
        <v>0.31700000000000728</v>
      </c>
      <c r="K702" s="120">
        <v>3.0850000000000932</v>
      </c>
      <c r="L702" s="9">
        <f t="shared" si="52"/>
        <v>0.53794495929148956</v>
      </c>
      <c r="M702" s="10">
        <f t="shared" si="53"/>
        <v>0.11958577496180495</v>
      </c>
      <c r="N702" s="10">
        <f t="shared" si="54"/>
        <v>0.11958577496178621</v>
      </c>
      <c r="O702" s="11">
        <f t="shared" si="55"/>
        <v>0.61119206086844424</v>
      </c>
    </row>
    <row r="703" spans="2:15">
      <c r="B703" s="12">
        <v>6</v>
      </c>
      <c r="C703" s="4" t="s">
        <v>152</v>
      </c>
      <c r="D703" s="4" t="s">
        <v>149</v>
      </c>
      <c r="E703" s="4">
        <v>11</v>
      </c>
      <c r="F703" s="4">
        <v>8</v>
      </c>
      <c r="G703" s="4">
        <v>2</v>
      </c>
      <c r="H703" s="115"/>
      <c r="I703" s="115">
        <v>0.83200000000005048</v>
      </c>
      <c r="J703" s="115">
        <v>1.2179999999998472</v>
      </c>
      <c r="K703" s="115">
        <v>2.0499999999998977</v>
      </c>
      <c r="L703" s="12">
        <f t="shared" si="52"/>
        <v>0</v>
      </c>
      <c r="M703" s="4">
        <f t="shared" si="53"/>
        <v>0.26292546933184352</v>
      </c>
      <c r="N703" s="4">
        <f t="shared" si="54"/>
        <v>0.34596154181311134</v>
      </c>
      <c r="O703" s="13">
        <f t="shared" si="55"/>
        <v>0.48429983934677129</v>
      </c>
    </row>
    <row r="704" spans="2:15">
      <c r="B704" s="12">
        <v>6</v>
      </c>
      <c r="C704" s="4" t="s">
        <v>152</v>
      </c>
      <c r="D704" s="4" t="s">
        <v>149</v>
      </c>
      <c r="E704" s="4">
        <v>11</v>
      </c>
      <c r="F704" s="4">
        <v>8</v>
      </c>
      <c r="G704" s="4">
        <v>3</v>
      </c>
      <c r="H704" s="115">
        <v>0.10000000000002274</v>
      </c>
      <c r="I704" s="115">
        <v>0.31600000000003092</v>
      </c>
      <c r="J704" s="115">
        <v>0.60000000000007958</v>
      </c>
      <c r="K704" s="115">
        <v>1.0160000000001332</v>
      </c>
      <c r="L704" s="12">
        <f t="shared" si="52"/>
        <v>4.1392685158234015E-2</v>
      </c>
      <c r="M704" s="4">
        <f t="shared" si="53"/>
        <v>0.11925588927794689</v>
      </c>
      <c r="N704" s="4">
        <f t="shared" si="54"/>
        <v>0.20411998265594639</v>
      </c>
      <c r="O704" s="13">
        <f t="shared" si="55"/>
        <v>0.30449052777351637</v>
      </c>
    </row>
    <row r="705" spans="2:15">
      <c r="B705" s="12">
        <v>6</v>
      </c>
      <c r="C705" s="4" t="s">
        <v>152</v>
      </c>
      <c r="D705" s="4" t="s">
        <v>149</v>
      </c>
      <c r="E705" s="4">
        <v>11</v>
      </c>
      <c r="F705" s="4">
        <v>8</v>
      </c>
      <c r="G705" s="4">
        <v>4</v>
      </c>
      <c r="H705" s="115"/>
      <c r="I705" s="115"/>
      <c r="J705" s="115"/>
      <c r="K705" s="115">
        <v>0</v>
      </c>
      <c r="L705" s="12">
        <f t="shared" si="52"/>
        <v>0</v>
      </c>
      <c r="M705" s="4">
        <f t="shared" si="53"/>
        <v>0</v>
      </c>
      <c r="N705" s="4">
        <f t="shared" si="54"/>
        <v>0</v>
      </c>
      <c r="O705" s="13">
        <f t="shared" si="55"/>
        <v>0</v>
      </c>
    </row>
    <row r="706" spans="2:15">
      <c r="B706" s="12">
        <v>6</v>
      </c>
      <c r="C706" s="4" t="s">
        <v>152</v>
      </c>
      <c r="D706" s="4" t="s">
        <v>149</v>
      </c>
      <c r="E706" s="4">
        <v>11</v>
      </c>
      <c r="F706" s="4">
        <v>8</v>
      </c>
      <c r="G706" s="4">
        <v>5</v>
      </c>
      <c r="H706" s="115"/>
      <c r="I706" s="115"/>
      <c r="J706" s="115"/>
      <c r="K706" s="115">
        <v>0</v>
      </c>
      <c r="L706" s="12">
        <f t="shared" si="52"/>
        <v>0</v>
      </c>
      <c r="M706" s="4">
        <f t="shared" si="53"/>
        <v>0</v>
      </c>
      <c r="N706" s="4">
        <f t="shared" si="54"/>
        <v>0</v>
      </c>
      <c r="O706" s="13">
        <f t="shared" si="55"/>
        <v>0</v>
      </c>
    </row>
    <row r="707" spans="2:15">
      <c r="B707" s="12">
        <v>6</v>
      </c>
      <c r="C707" s="4" t="s">
        <v>152</v>
      </c>
      <c r="D707" s="4" t="s">
        <v>149</v>
      </c>
      <c r="E707" s="4">
        <v>11</v>
      </c>
      <c r="F707" s="4">
        <v>8</v>
      </c>
      <c r="G707" s="4">
        <v>6</v>
      </c>
      <c r="H707" s="115"/>
      <c r="I707" s="115"/>
      <c r="J707" s="115"/>
      <c r="K707" s="115">
        <v>0</v>
      </c>
      <c r="L707" s="12">
        <f t="shared" si="52"/>
        <v>0</v>
      </c>
      <c r="M707" s="4">
        <f t="shared" si="53"/>
        <v>0</v>
      </c>
      <c r="N707" s="4">
        <f t="shared" si="54"/>
        <v>0</v>
      </c>
      <c r="O707" s="13">
        <f t="shared" si="55"/>
        <v>0</v>
      </c>
    </row>
    <row r="708" spans="2:15">
      <c r="B708" s="12">
        <v>6</v>
      </c>
      <c r="C708" s="4" t="s">
        <v>152</v>
      </c>
      <c r="D708" s="4" t="s">
        <v>149</v>
      </c>
      <c r="E708" s="4">
        <v>11</v>
      </c>
      <c r="F708" s="4">
        <v>8</v>
      </c>
      <c r="G708" s="4">
        <v>7</v>
      </c>
      <c r="H708" s="115"/>
      <c r="I708" s="115"/>
      <c r="J708" s="115"/>
      <c r="K708" s="115">
        <v>0</v>
      </c>
      <c r="L708" s="12">
        <f t="shared" si="52"/>
        <v>0</v>
      </c>
      <c r="M708" s="4">
        <f t="shared" si="53"/>
        <v>0</v>
      </c>
      <c r="N708" s="4">
        <f t="shared" si="54"/>
        <v>0</v>
      </c>
      <c r="O708" s="13">
        <f t="shared" si="55"/>
        <v>0</v>
      </c>
    </row>
    <row r="709" spans="2:15">
      <c r="B709" s="12">
        <v>6</v>
      </c>
      <c r="C709" s="4" t="s">
        <v>152</v>
      </c>
      <c r="D709" s="4" t="s">
        <v>149</v>
      </c>
      <c r="E709" s="4">
        <v>11</v>
      </c>
      <c r="F709" s="4">
        <v>8</v>
      </c>
      <c r="G709" s="4">
        <v>8</v>
      </c>
      <c r="H709" s="115"/>
      <c r="I709" s="115"/>
      <c r="J709" s="115"/>
      <c r="K709" s="115">
        <v>0</v>
      </c>
      <c r="L709" s="12">
        <f t="shared" si="52"/>
        <v>0</v>
      </c>
      <c r="M709" s="4">
        <f t="shared" si="53"/>
        <v>0</v>
      </c>
      <c r="N709" s="4">
        <f t="shared" si="54"/>
        <v>0</v>
      </c>
      <c r="O709" s="13">
        <f t="shared" si="55"/>
        <v>0</v>
      </c>
    </row>
    <row r="710" spans="2:15">
      <c r="B710" s="12">
        <v>6</v>
      </c>
      <c r="C710" s="4" t="s">
        <v>152</v>
      </c>
      <c r="D710" s="4" t="s">
        <v>149</v>
      </c>
      <c r="E710" s="4">
        <v>11</v>
      </c>
      <c r="F710" s="4">
        <v>8</v>
      </c>
      <c r="G710" s="4">
        <v>9</v>
      </c>
      <c r="H710" s="115"/>
      <c r="I710" s="115"/>
      <c r="J710" s="115"/>
      <c r="K710" s="115">
        <v>0</v>
      </c>
      <c r="L710" s="12">
        <f t="shared" si="52"/>
        <v>0</v>
      </c>
      <c r="M710" s="4">
        <f t="shared" si="53"/>
        <v>0</v>
      </c>
      <c r="N710" s="4">
        <f t="shared" si="54"/>
        <v>0</v>
      </c>
      <c r="O710" s="13">
        <f t="shared" si="55"/>
        <v>0</v>
      </c>
    </row>
    <row r="711" spans="2:15" ht="13.8" thickBot="1">
      <c r="B711" s="14">
        <v>6</v>
      </c>
      <c r="C711" s="15" t="s">
        <v>152</v>
      </c>
      <c r="D711" s="15" t="s">
        <v>149</v>
      </c>
      <c r="E711" s="15">
        <v>11</v>
      </c>
      <c r="F711" s="15">
        <v>8</v>
      </c>
      <c r="G711" s="15">
        <v>10</v>
      </c>
      <c r="H711" s="121"/>
      <c r="I711" s="121"/>
      <c r="J711" s="121"/>
      <c r="K711" s="121">
        <v>0</v>
      </c>
      <c r="L711" s="14">
        <f t="shared" si="52"/>
        <v>0</v>
      </c>
      <c r="M711" s="15">
        <f t="shared" si="53"/>
        <v>0</v>
      </c>
      <c r="N711" s="15">
        <f t="shared" si="54"/>
        <v>0</v>
      </c>
      <c r="O711" s="16">
        <f t="shared" si="55"/>
        <v>0</v>
      </c>
    </row>
    <row r="712" spans="2:15">
      <c r="B712" s="9">
        <v>6</v>
      </c>
      <c r="C712" s="10" t="s">
        <v>152</v>
      </c>
      <c r="D712" s="10" t="s">
        <v>150</v>
      </c>
      <c r="E712" s="93">
        <v>12</v>
      </c>
      <c r="F712" s="93">
        <v>4</v>
      </c>
      <c r="G712" s="10">
        <v>1</v>
      </c>
      <c r="H712" s="120">
        <v>1.3010000000000161</v>
      </c>
      <c r="I712" s="120">
        <v>0.20099999999999341</v>
      </c>
      <c r="J712" s="120">
        <v>1.9359999999999502</v>
      </c>
      <c r="K712" s="120">
        <v>3.4379999999999598</v>
      </c>
      <c r="L712" s="9">
        <f t="shared" si="52"/>
        <v>0.36191661866864644</v>
      </c>
      <c r="M712" s="10">
        <f t="shared" si="53"/>
        <v>7.9543007402903668E-2</v>
      </c>
      <c r="N712" s="10">
        <f t="shared" si="54"/>
        <v>0.46775605124402558</v>
      </c>
      <c r="O712" s="11">
        <f t="shared" si="55"/>
        <v>0.64718729789598561</v>
      </c>
    </row>
    <row r="713" spans="2:15">
      <c r="B713" s="12">
        <v>6</v>
      </c>
      <c r="C713" s="4" t="s">
        <v>152</v>
      </c>
      <c r="D713" s="4" t="s">
        <v>150</v>
      </c>
      <c r="E713" s="4">
        <v>12</v>
      </c>
      <c r="F713" s="4">
        <v>4</v>
      </c>
      <c r="G713" s="4">
        <v>2</v>
      </c>
      <c r="H713" s="115">
        <v>0.48400000000000887</v>
      </c>
      <c r="I713" s="115">
        <v>0.31700000000000728</v>
      </c>
      <c r="J713" s="115">
        <v>1.6679999999999779</v>
      </c>
      <c r="K713" s="115">
        <v>2.4689999999999941</v>
      </c>
      <c r="L713" s="12">
        <f t="shared" si="52"/>
        <v>0.17143390094301086</v>
      </c>
      <c r="M713" s="4">
        <f t="shared" si="53"/>
        <v>0.11958577496178621</v>
      </c>
      <c r="N713" s="4">
        <f t="shared" si="54"/>
        <v>0.42618582524450777</v>
      </c>
      <c r="O713" s="13">
        <f t="shared" si="55"/>
        <v>0.54020429984205909</v>
      </c>
    </row>
    <row r="714" spans="2:15">
      <c r="B714" s="12">
        <v>6</v>
      </c>
      <c r="C714" s="4" t="s">
        <v>152</v>
      </c>
      <c r="D714" s="4" t="s">
        <v>150</v>
      </c>
      <c r="E714" s="4">
        <v>12</v>
      </c>
      <c r="F714" s="4">
        <v>4</v>
      </c>
      <c r="G714" s="4">
        <v>3</v>
      </c>
      <c r="H714" s="115">
        <v>0.23300000000000409</v>
      </c>
      <c r="I714" s="115">
        <v>0.71500000000000341</v>
      </c>
      <c r="J714" s="115"/>
      <c r="K714" s="115">
        <v>0.9480000000000075</v>
      </c>
      <c r="L714" s="12">
        <f t="shared" si="52"/>
        <v>9.0963076595733078E-2</v>
      </c>
      <c r="M714" s="4">
        <f t="shared" si="53"/>
        <v>0.23426412437879016</v>
      </c>
      <c r="N714" s="4">
        <f t="shared" si="54"/>
        <v>0</v>
      </c>
      <c r="O714" s="13">
        <f t="shared" si="55"/>
        <v>0.28958895254259842</v>
      </c>
    </row>
    <row r="715" spans="2:15">
      <c r="B715" s="12">
        <v>6</v>
      </c>
      <c r="C715" s="4" t="s">
        <v>152</v>
      </c>
      <c r="D715" s="4" t="s">
        <v>150</v>
      </c>
      <c r="E715" s="4">
        <v>12</v>
      </c>
      <c r="F715" s="4">
        <v>4</v>
      </c>
      <c r="G715" s="4">
        <v>4</v>
      </c>
      <c r="H715" s="115"/>
      <c r="I715" s="115"/>
      <c r="J715" s="115"/>
      <c r="K715" s="115">
        <v>0</v>
      </c>
      <c r="L715" s="12">
        <f t="shared" si="52"/>
        <v>0</v>
      </c>
      <c r="M715" s="4">
        <f t="shared" si="53"/>
        <v>0</v>
      </c>
      <c r="N715" s="4">
        <f t="shared" si="54"/>
        <v>0</v>
      </c>
      <c r="O715" s="13">
        <f t="shared" si="55"/>
        <v>0</v>
      </c>
    </row>
    <row r="716" spans="2:15">
      <c r="B716" s="12">
        <v>6</v>
      </c>
      <c r="C716" s="4" t="s">
        <v>152</v>
      </c>
      <c r="D716" s="4" t="s">
        <v>150</v>
      </c>
      <c r="E716" s="4">
        <v>12</v>
      </c>
      <c r="F716" s="4">
        <v>4</v>
      </c>
      <c r="G716" s="4">
        <v>5</v>
      </c>
      <c r="H716" s="115"/>
      <c r="I716" s="115"/>
      <c r="J716" s="115"/>
      <c r="K716" s="115">
        <v>0</v>
      </c>
      <c r="L716" s="12">
        <f t="shared" si="52"/>
        <v>0</v>
      </c>
      <c r="M716" s="4">
        <f t="shared" si="53"/>
        <v>0</v>
      </c>
      <c r="N716" s="4">
        <f t="shared" si="54"/>
        <v>0</v>
      </c>
      <c r="O716" s="13">
        <f t="shared" si="55"/>
        <v>0</v>
      </c>
    </row>
    <row r="717" spans="2:15">
      <c r="B717" s="12">
        <v>6</v>
      </c>
      <c r="C717" s="4" t="s">
        <v>152</v>
      </c>
      <c r="D717" s="4" t="s">
        <v>150</v>
      </c>
      <c r="E717" s="4">
        <v>12</v>
      </c>
      <c r="F717" s="4">
        <v>4</v>
      </c>
      <c r="G717" s="4">
        <v>6</v>
      </c>
      <c r="H717" s="115"/>
      <c r="I717" s="115"/>
      <c r="J717" s="115"/>
      <c r="K717" s="115">
        <v>0</v>
      </c>
      <c r="L717" s="12">
        <f t="shared" si="52"/>
        <v>0</v>
      </c>
      <c r="M717" s="4">
        <f t="shared" si="53"/>
        <v>0</v>
      </c>
      <c r="N717" s="4">
        <f t="shared" si="54"/>
        <v>0</v>
      </c>
      <c r="O717" s="13">
        <f t="shared" si="55"/>
        <v>0</v>
      </c>
    </row>
    <row r="718" spans="2:15">
      <c r="B718" s="12">
        <v>6</v>
      </c>
      <c r="C718" s="4" t="s">
        <v>152</v>
      </c>
      <c r="D718" s="4" t="s">
        <v>150</v>
      </c>
      <c r="E718" s="4">
        <v>12</v>
      </c>
      <c r="F718" s="4">
        <v>4</v>
      </c>
      <c r="G718" s="4">
        <v>7</v>
      </c>
      <c r="H718" s="115"/>
      <c r="I718" s="115"/>
      <c r="J718" s="115"/>
      <c r="K718" s="115">
        <v>0</v>
      </c>
      <c r="L718" s="12">
        <f t="shared" si="52"/>
        <v>0</v>
      </c>
      <c r="M718" s="4">
        <f t="shared" si="53"/>
        <v>0</v>
      </c>
      <c r="N718" s="4">
        <f t="shared" si="54"/>
        <v>0</v>
      </c>
      <c r="O718" s="13">
        <f t="shared" si="55"/>
        <v>0</v>
      </c>
    </row>
    <row r="719" spans="2:15">
      <c r="B719" s="12">
        <v>6</v>
      </c>
      <c r="C719" s="4" t="s">
        <v>152</v>
      </c>
      <c r="D719" s="4" t="s">
        <v>150</v>
      </c>
      <c r="E719" s="4">
        <v>12</v>
      </c>
      <c r="F719" s="4">
        <v>4</v>
      </c>
      <c r="G719" s="4">
        <v>8</v>
      </c>
      <c r="H719" s="115"/>
      <c r="I719" s="115"/>
      <c r="J719" s="115"/>
      <c r="K719" s="115">
        <v>0</v>
      </c>
      <c r="L719" s="12">
        <f t="shared" si="52"/>
        <v>0</v>
      </c>
      <c r="M719" s="4">
        <f t="shared" si="53"/>
        <v>0</v>
      </c>
      <c r="N719" s="4">
        <f t="shared" si="54"/>
        <v>0</v>
      </c>
      <c r="O719" s="13">
        <f t="shared" si="55"/>
        <v>0</v>
      </c>
    </row>
    <row r="720" spans="2:15">
      <c r="B720" s="12">
        <v>6</v>
      </c>
      <c r="C720" s="4" t="s">
        <v>152</v>
      </c>
      <c r="D720" s="4" t="s">
        <v>150</v>
      </c>
      <c r="E720" s="4">
        <v>12</v>
      </c>
      <c r="F720" s="4">
        <v>4</v>
      </c>
      <c r="G720" s="4">
        <v>9</v>
      </c>
      <c r="H720" s="115"/>
      <c r="I720" s="115"/>
      <c r="J720" s="115"/>
      <c r="K720" s="115">
        <v>0</v>
      </c>
      <c r="L720" s="12">
        <f t="shared" si="52"/>
        <v>0</v>
      </c>
      <c r="M720" s="4">
        <f t="shared" si="53"/>
        <v>0</v>
      </c>
      <c r="N720" s="4">
        <f t="shared" si="54"/>
        <v>0</v>
      </c>
      <c r="O720" s="13">
        <f t="shared" si="55"/>
        <v>0</v>
      </c>
    </row>
    <row r="721" spans="2:15" ht="13.8" thickBot="1">
      <c r="B721" s="14">
        <v>6</v>
      </c>
      <c r="C721" s="15" t="s">
        <v>152</v>
      </c>
      <c r="D721" s="15" t="s">
        <v>150</v>
      </c>
      <c r="E721" s="15">
        <v>12</v>
      </c>
      <c r="F721" s="15">
        <v>4</v>
      </c>
      <c r="G721" s="15">
        <v>10</v>
      </c>
      <c r="H721" s="121"/>
      <c r="I721" s="121"/>
      <c r="J721" s="121"/>
      <c r="K721" s="121">
        <v>0</v>
      </c>
      <c r="L721" s="14">
        <f t="shared" si="52"/>
        <v>0</v>
      </c>
      <c r="M721" s="15">
        <f t="shared" si="53"/>
        <v>0</v>
      </c>
      <c r="N721" s="15">
        <f t="shared" si="54"/>
        <v>0</v>
      </c>
      <c r="O721" s="16">
        <f t="shared" si="55"/>
        <v>0</v>
      </c>
    </row>
    <row r="722" spans="2:15">
      <c r="B722" s="9">
        <v>7</v>
      </c>
      <c r="C722" s="10" t="s">
        <v>151</v>
      </c>
      <c r="D722" s="10" t="s">
        <v>154</v>
      </c>
      <c r="E722" s="93">
        <v>1</v>
      </c>
      <c r="F722" s="93">
        <v>1</v>
      </c>
      <c r="G722" s="10">
        <v>1</v>
      </c>
      <c r="H722" s="120">
        <v>2.5999999999999943</v>
      </c>
      <c r="I722" s="120">
        <v>1.9830000000000183</v>
      </c>
      <c r="J722" s="120">
        <v>0.93300000000000693</v>
      </c>
      <c r="K722" s="120">
        <v>5.5160000000000196</v>
      </c>
      <c r="L722" s="9">
        <f t="shared" si="52"/>
        <v>0.5563025007672866</v>
      </c>
      <c r="M722" s="10">
        <f t="shared" si="53"/>
        <v>0.47465325336206537</v>
      </c>
      <c r="N722" s="10">
        <f t="shared" si="54"/>
        <v>0.28623185402855456</v>
      </c>
      <c r="O722" s="11">
        <f t="shared" si="55"/>
        <v>0.81398107563647304</v>
      </c>
    </row>
    <row r="723" spans="2:15">
      <c r="B723" s="12">
        <v>7</v>
      </c>
      <c r="C723" s="4" t="s">
        <v>151</v>
      </c>
      <c r="D723" s="4" t="s">
        <v>154</v>
      </c>
      <c r="E723" s="4">
        <v>1</v>
      </c>
      <c r="F723" s="4">
        <v>1</v>
      </c>
      <c r="G723" s="4">
        <v>2</v>
      </c>
      <c r="H723" s="115">
        <v>2.25</v>
      </c>
      <c r="I723" s="115"/>
      <c r="J723" s="115">
        <v>0.8160000000000025</v>
      </c>
      <c r="K723" s="115">
        <v>3.0660000000000025</v>
      </c>
      <c r="L723" s="12">
        <f t="shared" si="52"/>
        <v>0.51188336097887432</v>
      </c>
      <c r="M723" s="4">
        <f t="shared" si="53"/>
        <v>0</v>
      </c>
      <c r="N723" s="4">
        <f t="shared" si="54"/>
        <v>0.25911584418506689</v>
      </c>
      <c r="O723" s="13">
        <f t="shared" si="55"/>
        <v>0.60916737430202006</v>
      </c>
    </row>
    <row r="724" spans="2:15">
      <c r="B724" s="12">
        <v>7</v>
      </c>
      <c r="C724" s="4" t="s">
        <v>151</v>
      </c>
      <c r="D724" s="4" t="s">
        <v>154</v>
      </c>
      <c r="E724" s="4">
        <v>1</v>
      </c>
      <c r="F724" s="4">
        <v>1</v>
      </c>
      <c r="G724" s="4">
        <v>3</v>
      </c>
      <c r="H724" s="115">
        <v>0.83400000000000318</v>
      </c>
      <c r="I724" s="115">
        <v>0.25</v>
      </c>
      <c r="J724" s="115"/>
      <c r="K724" s="115">
        <v>1.0840000000000032</v>
      </c>
      <c r="L724" s="12">
        <f t="shared" si="52"/>
        <v>0.26339933133400306</v>
      </c>
      <c r="M724" s="4">
        <f t="shared" si="53"/>
        <v>9.691001300805642E-2</v>
      </c>
      <c r="N724" s="4">
        <f t="shared" si="54"/>
        <v>0</v>
      </c>
      <c r="O724" s="13">
        <f t="shared" si="55"/>
        <v>0.31889771462748751</v>
      </c>
    </row>
    <row r="725" spans="2:15">
      <c r="B725" s="12">
        <v>7</v>
      </c>
      <c r="C725" s="4" t="s">
        <v>151</v>
      </c>
      <c r="D725" s="4" t="s">
        <v>154</v>
      </c>
      <c r="E725" s="4">
        <v>1</v>
      </c>
      <c r="F725" s="4">
        <v>1</v>
      </c>
      <c r="G725" s="4">
        <v>4</v>
      </c>
      <c r="H725" s="115">
        <v>0.86700000000001864</v>
      </c>
      <c r="I725" s="115">
        <v>0.11599999999999966</v>
      </c>
      <c r="J725" s="115">
        <v>0.78300000000000125</v>
      </c>
      <c r="K725" s="115">
        <v>1.7660000000000196</v>
      </c>
      <c r="L725" s="12">
        <f t="shared" si="52"/>
        <v>0.27114431794908267</v>
      </c>
      <c r="M725" s="4">
        <f t="shared" si="53"/>
        <v>4.7664194601559809E-2</v>
      </c>
      <c r="N725" s="4">
        <f t="shared" si="54"/>
        <v>0.25115134317535492</v>
      </c>
      <c r="O725" s="13">
        <f t="shared" si="55"/>
        <v>0.44185217577329483</v>
      </c>
    </row>
    <row r="726" spans="2:15">
      <c r="B726" s="12">
        <v>7</v>
      </c>
      <c r="C726" s="4" t="s">
        <v>151</v>
      </c>
      <c r="D726" s="4" t="s">
        <v>154</v>
      </c>
      <c r="E726" s="4">
        <v>1</v>
      </c>
      <c r="F726" s="4">
        <v>1</v>
      </c>
      <c r="G726" s="4">
        <v>5</v>
      </c>
      <c r="H726" s="115">
        <v>0.31599999999998829</v>
      </c>
      <c r="I726" s="115"/>
      <c r="J726" s="115"/>
      <c r="K726" s="115">
        <v>0.31599999999998829</v>
      </c>
      <c r="L726" s="12">
        <f t="shared" si="52"/>
        <v>0.11925588927793282</v>
      </c>
      <c r="M726" s="4">
        <f t="shared" si="53"/>
        <v>0</v>
      </c>
      <c r="N726" s="4">
        <f t="shared" si="54"/>
        <v>0</v>
      </c>
      <c r="O726" s="13">
        <f t="shared" si="55"/>
        <v>0.11925588927793282</v>
      </c>
    </row>
    <row r="727" spans="2:15">
      <c r="B727" s="12">
        <v>7</v>
      </c>
      <c r="C727" s="4" t="s">
        <v>151</v>
      </c>
      <c r="D727" s="4" t="s">
        <v>154</v>
      </c>
      <c r="E727" s="4">
        <v>1</v>
      </c>
      <c r="F727" s="4">
        <v>1</v>
      </c>
      <c r="G727" s="4">
        <v>6</v>
      </c>
      <c r="H727" s="115"/>
      <c r="I727" s="115"/>
      <c r="J727" s="115"/>
      <c r="K727" s="115">
        <v>0</v>
      </c>
      <c r="L727" s="12">
        <f t="shared" si="52"/>
        <v>0</v>
      </c>
      <c r="M727" s="4">
        <f t="shared" si="53"/>
        <v>0</v>
      </c>
      <c r="N727" s="4">
        <f t="shared" si="54"/>
        <v>0</v>
      </c>
      <c r="O727" s="13">
        <f t="shared" si="55"/>
        <v>0</v>
      </c>
    </row>
    <row r="728" spans="2:15">
      <c r="B728" s="12">
        <v>7</v>
      </c>
      <c r="C728" s="4" t="s">
        <v>151</v>
      </c>
      <c r="D728" s="4" t="s">
        <v>154</v>
      </c>
      <c r="E728" s="4">
        <v>1</v>
      </c>
      <c r="F728" s="4">
        <v>1</v>
      </c>
      <c r="G728" s="4">
        <v>7</v>
      </c>
      <c r="H728" s="115"/>
      <c r="I728" s="115"/>
      <c r="J728" s="115"/>
      <c r="K728" s="115">
        <v>0</v>
      </c>
      <c r="L728" s="12">
        <f t="shared" si="52"/>
        <v>0</v>
      </c>
      <c r="M728" s="4">
        <f t="shared" si="53"/>
        <v>0</v>
      </c>
      <c r="N728" s="4">
        <f t="shared" si="54"/>
        <v>0</v>
      </c>
      <c r="O728" s="13">
        <f t="shared" si="55"/>
        <v>0</v>
      </c>
    </row>
    <row r="729" spans="2:15">
      <c r="B729" s="12">
        <v>7</v>
      </c>
      <c r="C729" s="4" t="s">
        <v>151</v>
      </c>
      <c r="D729" s="4" t="s">
        <v>154</v>
      </c>
      <c r="E729" s="4">
        <v>1</v>
      </c>
      <c r="F729" s="4">
        <v>1</v>
      </c>
      <c r="G729" s="4">
        <v>8</v>
      </c>
      <c r="H729" s="115"/>
      <c r="I729" s="115"/>
      <c r="J729" s="115"/>
      <c r="K729" s="115">
        <v>0</v>
      </c>
      <c r="L729" s="12">
        <f t="shared" si="52"/>
        <v>0</v>
      </c>
      <c r="M729" s="4">
        <f t="shared" si="53"/>
        <v>0</v>
      </c>
      <c r="N729" s="4">
        <f t="shared" si="54"/>
        <v>0</v>
      </c>
      <c r="O729" s="13">
        <f t="shared" si="55"/>
        <v>0</v>
      </c>
    </row>
    <row r="730" spans="2:15">
      <c r="B730" s="12">
        <v>7</v>
      </c>
      <c r="C730" s="4" t="s">
        <v>151</v>
      </c>
      <c r="D730" s="4" t="s">
        <v>154</v>
      </c>
      <c r="E730" s="4">
        <v>1</v>
      </c>
      <c r="F730" s="4">
        <v>1</v>
      </c>
      <c r="G730" s="4">
        <v>9</v>
      </c>
      <c r="H730" s="115"/>
      <c r="I730" s="115"/>
      <c r="J730" s="115"/>
      <c r="K730" s="115">
        <v>0</v>
      </c>
      <c r="L730" s="12">
        <f t="shared" si="52"/>
        <v>0</v>
      </c>
      <c r="M730" s="4">
        <f t="shared" si="53"/>
        <v>0</v>
      </c>
      <c r="N730" s="4">
        <f t="shared" si="54"/>
        <v>0</v>
      </c>
      <c r="O730" s="13">
        <f t="shared" si="55"/>
        <v>0</v>
      </c>
    </row>
    <row r="731" spans="2:15" ht="13.8" thickBot="1">
      <c r="B731" s="14">
        <v>7</v>
      </c>
      <c r="C731" s="15" t="s">
        <v>151</v>
      </c>
      <c r="D731" s="15" t="s">
        <v>154</v>
      </c>
      <c r="E731" s="15">
        <v>1</v>
      </c>
      <c r="F731" s="15">
        <v>1</v>
      </c>
      <c r="G731" s="15">
        <v>10</v>
      </c>
      <c r="H731" s="121"/>
      <c r="I731" s="121"/>
      <c r="J731" s="121"/>
      <c r="K731" s="121">
        <v>0</v>
      </c>
      <c r="L731" s="14">
        <f t="shared" si="52"/>
        <v>0</v>
      </c>
      <c r="M731" s="15">
        <f t="shared" si="53"/>
        <v>0</v>
      </c>
      <c r="N731" s="15">
        <f t="shared" si="54"/>
        <v>0</v>
      </c>
      <c r="O731" s="16">
        <f t="shared" si="55"/>
        <v>0</v>
      </c>
    </row>
    <row r="732" spans="2:15">
      <c r="B732" s="9">
        <v>7</v>
      </c>
      <c r="C732" s="10" t="s">
        <v>151</v>
      </c>
      <c r="D732" s="10" t="s">
        <v>149</v>
      </c>
      <c r="E732" s="93">
        <v>2</v>
      </c>
      <c r="F732" s="93">
        <v>5</v>
      </c>
      <c r="G732" s="10">
        <v>1</v>
      </c>
      <c r="H732" s="120">
        <v>2.5820000000000505</v>
      </c>
      <c r="I732" s="120">
        <v>0.59999999999996589</v>
      </c>
      <c r="J732" s="120">
        <v>0.38400000000001455</v>
      </c>
      <c r="K732" s="120">
        <v>3.5660000000000309</v>
      </c>
      <c r="L732" s="9">
        <f t="shared" si="52"/>
        <v>0.55412558151301883</v>
      </c>
      <c r="M732" s="10">
        <f t="shared" si="53"/>
        <v>0.20411998265591552</v>
      </c>
      <c r="N732" s="10">
        <f t="shared" si="54"/>
        <v>0.14113609012074357</v>
      </c>
      <c r="O732" s="11">
        <f t="shared" si="55"/>
        <v>0.65953590715421939</v>
      </c>
    </row>
    <row r="733" spans="2:15">
      <c r="B733" s="12">
        <v>7</v>
      </c>
      <c r="C733" s="4" t="s">
        <v>151</v>
      </c>
      <c r="D733" s="4" t="s">
        <v>149</v>
      </c>
      <c r="E733" s="4">
        <v>2</v>
      </c>
      <c r="F733" s="4">
        <v>5</v>
      </c>
      <c r="G733" s="4">
        <v>2</v>
      </c>
      <c r="H733" s="115">
        <v>1.6510000000000105</v>
      </c>
      <c r="I733" s="115"/>
      <c r="J733" s="115">
        <v>0.36599999999998545</v>
      </c>
      <c r="K733" s="115">
        <v>2.0169999999999959</v>
      </c>
      <c r="L733" s="12">
        <f t="shared" si="52"/>
        <v>0.42340972773309515</v>
      </c>
      <c r="M733" s="4">
        <f t="shared" si="53"/>
        <v>0</v>
      </c>
      <c r="N733" s="4">
        <f t="shared" si="54"/>
        <v>0.13545069934550913</v>
      </c>
      <c r="O733" s="13">
        <f t="shared" si="55"/>
        <v>0.47957531017498783</v>
      </c>
    </row>
    <row r="734" spans="2:15">
      <c r="B734" s="12">
        <v>7</v>
      </c>
      <c r="C734" s="4" t="s">
        <v>151</v>
      </c>
      <c r="D734" s="4" t="s">
        <v>149</v>
      </c>
      <c r="E734" s="4">
        <v>2</v>
      </c>
      <c r="F734" s="4">
        <v>5</v>
      </c>
      <c r="G734" s="4">
        <v>3</v>
      </c>
      <c r="H734" s="115">
        <v>0.88199999999994816</v>
      </c>
      <c r="I734" s="115">
        <v>0.66699999999997317</v>
      </c>
      <c r="J734" s="115">
        <v>0.53300000000001546</v>
      </c>
      <c r="K734" s="115">
        <v>2.0819999999999368</v>
      </c>
      <c r="L734" s="12">
        <f t="shared" si="52"/>
        <v>0.27461961909122612</v>
      </c>
      <c r="M734" s="4">
        <f t="shared" si="53"/>
        <v>0.22193559982799835</v>
      </c>
      <c r="N734" s="4">
        <f t="shared" si="54"/>
        <v>0.18554215485437955</v>
      </c>
      <c r="O734" s="13">
        <f t="shared" si="55"/>
        <v>0.48883263438239161</v>
      </c>
    </row>
    <row r="735" spans="2:15">
      <c r="B735" s="12">
        <v>7</v>
      </c>
      <c r="C735" s="4" t="s">
        <v>151</v>
      </c>
      <c r="D735" s="4" t="s">
        <v>149</v>
      </c>
      <c r="E735" s="4">
        <v>2</v>
      </c>
      <c r="F735" s="4">
        <v>5</v>
      </c>
      <c r="G735" s="4">
        <v>4</v>
      </c>
      <c r="H735" s="115">
        <v>2.0509999999999877</v>
      </c>
      <c r="I735" s="115">
        <v>0.6169999999999618</v>
      </c>
      <c r="J735" s="115">
        <v>1.3690000000000282</v>
      </c>
      <c r="K735" s="115">
        <v>4.0369999999999777</v>
      </c>
      <c r="L735" s="12">
        <f t="shared" si="52"/>
        <v>0.48444220764240531</v>
      </c>
      <c r="M735" s="4">
        <f t="shared" si="53"/>
        <v>0.20871001990639088</v>
      </c>
      <c r="N735" s="4">
        <f t="shared" si="54"/>
        <v>0.37456506072277024</v>
      </c>
      <c r="O735" s="13">
        <f t="shared" si="55"/>
        <v>0.70217195085770934</v>
      </c>
    </row>
    <row r="736" spans="2:15">
      <c r="B736" s="12">
        <v>7</v>
      </c>
      <c r="C736" s="4" t="s">
        <v>151</v>
      </c>
      <c r="D736" s="4" t="s">
        <v>149</v>
      </c>
      <c r="E736" s="4">
        <v>2</v>
      </c>
      <c r="F736" s="4">
        <v>5</v>
      </c>
      <c r="G736" s="4">
        <v>5</v>
      </c>
      <c r="H736" s="115">
        <v>0.11700000000001864</v>
      </c>
      <c r="I736" s="115"/>
      <c r="J736" s="115"/>
      <c r="K736" s="115">
        <v>0.11700000000001864</v>
      </c>
      <c r="L736" s="12">
        <f t="shared" si="52"/>
        <v>4.8053173115616306E-2</v>
      </c>
      <c r="M736" s="4">
        <f t="shared" si="53"/>
        <v>0</v>
      </c>
      <c r="N736" s="4">
        <f t="shared" si="54"/>
        <v>0</v>
      </c>
      <c r="O736" s="13">
        <f t="shared" si="55"/>
        <v>4.8053173115616306E-2</v>
      </c>
    </row>
    <row r="737" spans="2:15">
      <c r="B737" s="12">
        <v>7</v>
      </c>
      <c r="C737" s="4" t="s">
        <v>151</v>
      </c>
      <c r="D737" s="4" t="s">
        <v>149</v>
      </c>
      <c r="E737" s="4">
        <v>2</v>
      </c>
      <c r="F737" s="4">
        <v>5</v>
      </c>
      <c r="G737" s="4">
        <v>6</v>
      </c>
      <c r="H737" s="115"/>
      <c r="I737" s="115"/>
      <c r="J737" s="115"/>
      <c r="K737" s="115">
        <v>0</v>
      </c>
      <c r="L737" s="12">
        <f t="shared" si="52"/>
        <v>0</v>
      </c>
      <c r="M737" s="4">
        <f t="shared" si="53"/>
        <v>0</v>
      </c>
      <c r="N737" s="4">
        <f t="shared" si="54"/>
        <v>0</v>
      </c>
      <c r="O737" s="13">
        <f t="shared" si="55"/>
        <v>0</v>
      </c>
    </row>
    <row r="738" spans="2:15">
      <c r="B738" s="12">
        <v>7</v>
      </c>
      <c r="C738" s="4" t="s">
        <v>151</v>
      </c>
      <c r="D738" s="4" t="s">
        <v>149</v>
      </c>
      <c r="E738" s="4">
        <v>2</v>
      </c>
      <c r="F738" s="4">
        <v>5</v>
      </c>
      <c r="G738" s="4">
        <v>7</v>
      </c>
      <c r="H738" s="115"/>
      <c r="I738" s="115"/>
      <c r="J738" s="115"/>
      <c r="K738" s="115">
        <v>0</v>
      </c>
      <c r="L738" s="12">
        <f t="shared" si="52"/>
        <v>0</v>
      </c>
      <c r="M738" s="4">
        <f t="shared" si="53"/>
        <v>0</v>
      </c>
      <c r="N738" s="4">
        <f t="shared" si="54"/>
        <v>0</v>
      </c>
      <c r="O738" s="13">
        <f t="shared" si="55"/>
        <v>0</v>
      </c>
    </row>
    <row r="739" spans="2:15">
      <c r="B739" s="12">
        <v>7</v>
      </c>
      <c r="C739" s="4" t="s">
        <v>151</v>
      </c>
      <c r="D739" s="4" t="s">
        <v>149</v>
      </c>
      <c r="E739" s="4">
        <v>2</v>
      </c>
      <c r="F739" s="4">
        <v>5</v>
      </c>
      <c r="G739" s="4">
        <v>8</v>
      </c>
      <c r="H739" s="115"/>
      <c r="I739" s="115"/>
      <c r="J739" s="115"/>
      <c r="K739" s="115">
        <v>0</v>
      </c>
      <c r="L739" s="12">
        <f t="shared" si="52"/>
        <v>0</v>
      </c>
      <c r="M739" s="4">
        <f t="shared" si="53"/>
        <v>0</v>
      </c>
      <c r="N739" s="4">
        <f t="shared" si="54"/>
        <v>0</v>
      </c>
      <c r="O739" s="13">
        <f t="shared" si="55"/>
        <v>0</v>
      </c>
    </row>
    <row r="740" spans="2:15">
      <c r="B740" s="12">
        <v>7</v>
      </c>
      <c r="C740" s="4" t="s">
        <v>151</v>
      </c>
      <c r="D740" s="4" t="s">
        <v>149</v>
      </c>
      <c r="E740" s="4">
        <v>2</v>
      </c>
      <c r="F740" s="4">
        <v>5</v>
      </c>
      <c r="G740" s="4">
        <v>9</v>
      </c>
      <c r="H740" s="115"/>
      <c r="I740" s="115"/>
      <c r="J740" s="115"/>
      <c r="K740" s="115">
        <v>0</v>
      </c>
      <c r="L740" s="12">
        <f t="shared" si="52"/>
        <v>0</v>
      </c>
      <c r="M740" s="4">
        <f t="shared" si="53"/>
        <v>0</v>
      </c>
      <c r="N740" s="4">
        <f t="shared" si="54"/>
        <v>0</v>
      </c>
      <c r="O740" s="13">
        <f t="shared" si="55"/>
        <v>0</v>
      </c>
    </row>
    <row r="741" spans="2:15" ht="13.8" thickBot="1">
      <c r="B741" s="14">
        <v>7</v>
      </c>
      <c r="C741" s="15" t="s">
        <v>151</v>
      </c>
      <c r="D741" s="15" t="s">
        <v>149</v>
      </c>
      <c r="E741" s="15">
        <v>2</v>
      </c>
      <c r="F741" s="15">
        <v>5</v>
      </c>
      <c r="G741" s="15">
        <v>10</v>
      </c>
      <c r="H741" s="121"/>
      <c r="I741" s="121"/>
      <c r="J741" s="121"/>
      <c r="K741" s="121">
        <v>0</v>
      </c>
      <c r="L741" s="14">
        <f t="shared" si="52"/>
        <v>0</v>
      </c>
      <c r="M741" s="15">
        <f t="shared" si="53"/>
        <v>0</v>
      </c>
      <c r="N741" s="15">
        <f t="shared" si="54"/>
        <v>0</v>
      </c>
      <c r="O741" s="16">
        <f t="shared" si="55"/>
        <v>0</v>
      </c>
    </row>
    <row r="742" spans="2:15">
      <c r="B742" s="9">
        <v>7</v>
      </c>
      <c r="C742" s="10" t="s">
        <v>151</v>
      </c>
      <c r="D742" s="10" t="s">
        <v>150</v>
      </c>
      <c r="E742" s="93">
        <v>3</v>
      </c>
      <c r="F742" s="93">
        <v>9</v>
      </c>
      <c r="G742" s="10">
        <v>1</v>
      </c>
      <c r="H742" s="120"/>
      <c r="I742" s="120">
        <v>0.91800000000000637</v>
      </c>
      <c r="J742" s="120">
        <v>3.4009999999998399</v>
      </c>
      <c r="K742" s="120">
        <v>4.3189999999998463</v>
      </c>
      <c r="L742" s="9">
        <f t="shared" si="52"/>
        <v>0</v>
      </c>
      <c r="M742" s="10">
        <f t="shared" si="53"/>
        <v>0.28284860283464625</v>
      </c>
      <c r="N742" s="10">
        <f t="shared" si="54"/>
        <v>0.64355136856292927</v>
      </c>
      <c r="O742" s="11">
        <f t="shared" si="55"/>
        <v>0.72582999032056772</v>
      </c>
    </row>
    <row r="743" spans="2:15">
      <c r="B743" s="12">
        <v>7</v>
      </c>
      <c r="C743" s="4" t="s">
        <v>151</v>
      </c>
      <c r="D743" s="4" t="s">
        <v>150</v>
      </c>
      <c r="E743" s="4">
        <v>3</v>
      </c>
      <c r="F743" s="4">
        <v>9</v>
      </c>
      <c r="G743" s="4">
        <v>2</v>
      </c>
      <c r="H743" s="115">
        <v>0.80000000000006821</v>
      </c>
      <c r="I743" s="115">
        <v>0.48300000000006094</v>
      </c>
      <c r="J743" s="115">
        <v>4.0469999999999118</v>
      </c>
      <c r="K743" s="115">
        <v>5.3300000000000409</v>
      </c>
      <c r="L743" s="12">
        <f t="shared" ref="L743:L806" si="56">LOG10(H743+1)</f>
        <v>0.2552725051033225</v>
      </c>
      <c r="M743" s="4">
        <f t="shared" ref="M743:M806" si="57">LOG10(I743+1)</f>
        <v>0.17114115102839986</v>
      </c>
      <c r="N743" s="4">
        <f t="shared" ref="N743:N806" si="58">LOG10(J743+1)</f>
        <v>0.70303330473367831</v>
      </c>
      <c r="O743" s="13">
        <f t="shared" ref="O743:O806" si="59">LOG10(K743+1)</f>
        <v>0.80140371001735788</v>
      </c>
    </row>
    <row r="744" spans="2:15">
      <c r="B744" s="12">
        <v>7</v>
      </c>
      <c r="C744" s="4" t="s">
        <v>151</v>
      </c>
      <c r="D744" s="4" t="s">
        <v>150</v>
      </c>
      <c r="E744" s="4">
        <v>3</v>
      </c>
      <c r="F744" s="4">
        <v>9</v>
      </c>
      <c r="G744" s="4">
        <v>3</v>
      </c>
      <c r="H744" s="115">
        <v>0.10000000000002274</v>
      </c>
      <c r="I744" s="115">
        <v>1.4520000000001119</v>
      </c>
      <c r="J744" s="115">
        <v>3.3329999999998563</v>
      </c>
      <c r="K744" s="115">
        <v>4.8849999999999909</v>
      </c>
      <c r="L744" s="12">
        <f t="shared" si="56"/>
        <v>4.1392685158234015E-2</v>
      </c>
      <c r="M744" s="4">
        <f t="shared" si="57"/>
        <v>0.38952046584639727</v>
      </c>
      <c r="N744" s="4">
        <f t="shared" si="58"/>
        <v>0.63678868903436037</v>
      </c>
      <c r="O744" s="13">
        <f t="shared" si="59"/>
        <v>0.76974646717945283</v>
      </c>
    </row>
    <row r="745" spans="2:15">
      <c r="B745" s="12">
        <v>7</v>
      </c>
      <c r="C745" s="4" t="s">
        <v>151</v>
      </c>
      <c r="D745" s="4" t="s">
        <v>150</v>
      </c>
      <c r="E745" s="4">
        <v>3</v>
      </c>
      <c r="F745" s="4">
        <v>9</v>
      </c>
      <c r="G745" s="4">
        <v>4</v>
      </c>
      <c r="H745" s="115">
        <v>1.5519999999999072</v>
      </c>
      <c r="I745" s="115">
        <v>0.74900000000002365</v>
      </c>
      <c r="J745" s="115">
        <v>7.2520000000001801</v>
      </c>
      <c r="K745" s="115">
        <v>9.553000000000111</v>
      </c>
      <c r="L745" s="12">
        <f t="shared" si="56"/>
        <v>0.40688067004910894</v>
      </c>
      <c r="M745" s="4">
        <f t="shared" si="57"/>
        <v>0.24278980947868239</v>
      </c>
      <c r="N745" s="4">
        <f t="shared" si="58"/>
        <v>0.91655921930112338</v>
      </c>
      <c r="O745" s="13">
        <f t="shared" si="59"/>
        <v>1.0233759381395671</v>
      </c>
    </row>
    <row r="746" spans="2:15">
      <c r="B746" s="12">
        <v>7</v>
      </c>
      <c r="C746" s="4" t="s">
        <v>151</v>
      </c>
      <c r="D746" s="4" t="s">
        <v>150</v>
      </c>
      <c r="E746" s="4">
        <v>3</v>
      </c>
      <c r="F746" s="4">
        <v>9</v>
      </c>
      <c r="G746" s="4">
        <v>5</v>
      </c>
      <c r="H746" s="115"/>
      <c r="I746" s="115"/>
      <c r="J746" s="115"/>
      <c r="K746" s="115">
        <v>0</v>
      </c>
      <c r="L746" s="12">
        <f t="shared" si="56"/>
        <v>0</v>
      </c>
      <c r="M746" s="4">
        <f t="shared" si="57"/>
        <v>0</v>
      </c>
      <c r="N746" s="4">
        <f t="shared" si="58"/>
        <v>0</v>
      </c>
      <c r="O746" s="13">
        <f t="shared" si="59"/>
        <v>0</v>
      </c>
    </row>
    <row r="747" spans="2:15">
      <c r="B747" s="12">
        <v>7</v>
      </c>
      <c r="C747" s="4" t="s">
        <v>151</v>
      </c>
      <c r="D747" s="4" t="s">
        <v>150</v>
      </c>
      <c r="E747" s="4">
        <v>3</v>
      </c>
      <c r="F747" s="4">
        <v>9</v>
      </c>
      <c r="G747" s="4">
        <v>6</v>
      </c>
      <c r="H747" s="115"/>
      <c r="I747" s="115"/>
      <c r="J747" s="115"/>
      <c r="K747" s="115">
        <v>0</v>
      </c>
      <c r="L747" s="12">
        <f t="shared" si="56"/>
        <v>0</v>
      </c>
      <c r="M747" s="4">
        <f t="shared" si="57"/>
        <v>0</v>
      </c>
      <c r="N747" s="4">
        <f t="shared" si="58"/>
        <v>0</v>
      </c>
      <c r="O747" s="13">
        <f t="shared" si="59"/>
        <v>0</v>
      </c>
    </row>
    <row r="748" spans="2:15">
      <c r="B748" s="12">
        <v>7</v>
      </c>
      <c r="C748" s="4" t="s">
        <v>151</v>
      </c>
      <c r="D748" s="4" t="s">
        <v>150</v>
      </c>
      <c r="E748" s="4">
        <v>3</v>
      </c>
      <c r="F748" s="4">
        <v>9</v>
      </c>
      <c r="G748" s="4">
        <v>7</v>
      </c>
      <c r="H748" s="115"/>
      <c r="I748" s="115"/>
      <c r="J748" s="115"/>
      <c r="K748" s="115">
        <v>0</v>
      </c>
      <c r="L748" s="12">
        <f t="shared" si="56"/>
        <v>0</v>
      </c>
      <c r="M748" s="4">
        <f t="shared" si="57"/>
        <v>0</v>
      </c>
      <c r="N748" s="4">
        <f t="shared" si="58"/>
        <v>0</v>
      </c>
      <c r="O748" s="13">
        <f t="shared" si="59"/>
        <v>0</v>
      </c>
    </row>
    <row r="749" spans="2:15">
      <c r="B749" s="12">
        <v>7</v>
      </c>
      <c r="C749" s="4" t="s">
        <v>151</v>
      </c>
      <c r="D749" s="4" t="s">
        <v>150</v>
      </c>
      <c r="E749" s="4">
        <v>3</v>
      </c>
      <c r="F749" s="4">
        <v>9</v>
      </c>
      <c r="G749" s="4">
        <v>8</v>
      </c>
      <c r="H749" s="115"/>
      <c r="I749" s="115"/>
      <c r="J749" s="115"/>
      <c r="K749" s="115">
        <v>0</v>
      </c>
      <c r="L749" s="12">
        <f t="shared" si="56"/>
        <v>0</v>
      </c>
      <c r="M749" s="4">
        <f t="shared" si="57"/>
        <v>0</v>
      </c>
      <c r="N749" s="4">
        <f t="shared" si="58"/>
        <v>0</v>
      </c>
      <c r="O749" s="13">
        <f t="shared" si="59"/>
        <v>0</v>
      </c>
    </row>
    <row r="750" spans="2:15">
      <c r="B750" s="12">
        <v>7</v>
      </c>
      <c r="C750" s="4" t="s">
        <v>151</v>
      </c>
      <c r="D750" s="4" t="s">
        <v>150</v>
      </c>
      <c r="E750" s="4">
        <v>3</v>
      </c>
      <c r="F750" s="4">
        <v>9</v>
      </c>
      <c r="G750" s="4">
        <v>9</v>
      </c>
      <c r="H750" s="115"/>
      <c r="I750" s="115"/>
      <c r="J750" s="115"/>
      <c r="K750" s="115">
        <v>0</v>
      </c>
      <c r="L750" s="12">
        <f t="shared" si="56"/>
        <v>0</v>
      </c>
      <c r="M750" s="4">
        <f t="shared" si="57"/>
        <v>0</v>
      </c>
      <c r="N750" s="4">
        <f t="shared" si="58"/>
        <v>0</v>
      </c>
      <c r="O750" s="13">
        <f t="shared" si="59"/>
        <v>0</v>
      </c>
    </row>
    <row r="751" spans="2:15" ht="13.8" thickBot="1">
      <c r="B751" s="14">
        <v>7</v>
      </c>
      <c r="C751" s="15" t="s">
        <v>151</v>
      </c>
      <c r="D751" s="15" t="s">
        <v>150</v>
      </c>
      <c r="E751" s="15">
        <v>3</v>
      </c>
      <c r="F751" s="15">
        <v>9</v>
      </c>
      <c r="G751" s="15">
        <v>10</v>
      </c>
      <c r="H751" s="121"/>
      <c r="I751" s="121"/>
      <c r="J751" s="121"/>
      <c r="K751" s="121">
        <v>0</v>
      </c>
      <c r="L751" s="14">
        <f t="shared" si="56"/>
        <v>0</v>
      </c>
      <c r="M751" s="15">
        <f t="shared" si="57"/>
        <v>0</v>
      </c>
      <c r="N751" s="15">
        <f t="shared" si="58"/>
        <v>0</v>
      </c>
      <c r="O751" s="16">
        <f t="shared" si="59"/>
        <v>0</v>
      </c>
    </row>
    <row r="752" spans="2:15">
      <c r="B752" s="9">
        <v>7</v>
      </c>
      <c r="C752" s="10" t="s">
        <v>151</v>
      </c>
      <c r="D752" s="10" t="s">
        <v>154</v>
      </c>
      <c r="E752" s="93">
        <v>4</v>
      </c>
      <c r="F752" s="93">
        <v>3</v>
      </c>
      <c r="G752" s="10">
        <v>1</v>
      </c>
      <c r="H752" s="120">
        <v>2.601999999999947</v>
      </c>
      <c r="I752" s="120">
        <v>0.16599999999999682</v>
      </c>
      <c r="J752" s="120">
        <v>1.3149999999999977</v>
      </c>
      <c r="K752" s="120">
        <v>4.0829999999999416</v>
      </c>
      <c r="L752" s="9">
        <f t="shared" si="56"/>
        <v>0.55654370848350809</v>
      </c>
      <c r="M752" s="10">
        <f t="shared" si="57"/>
        <v>6.6698550422994093E-2</v>
      </c>
      <c r="N752" s="10">
        <f t="shared" si="58"/>
        <v>0.36455099535397151</v>
      </c>
      <c r="O752" s="11">
        <f t="shared" si="59"/>
        <v>0.70612010970269856</v>
      </c>
    </row>
    <row r="753" spans="2:15">
      <c r="B753" s="12">
        <v>7</v>
      </c>
      <c r="C753" s="4" t="s">
        <v>151</v>
      </c>
      <c r="D753" s="4" t="s">
        <v>154</v>
      </c>
      <c r="E753" s="4">
        <v>4</v>
      </c>
      <c r="F753" s="4">
        <v>3</v>
      </c>
      <c r="G753" s="4">
        <v>2</v>
      </c>
      <c r="H753" s="115">
        <v>2.6520000000000437</v>
      </c>
      <c r="I753" s="115">
        <v>9.9999999999994316E-2</v>
      </c>
      <c r="J753" s="115">
        <v>0.70000000000001705</v>
      </c>
      <c r="K753" s="115">
        <v>3.452000000000055</v>
      </c>
      <c r="L753" s="12">
        <f t="shared" si="56"/>
        <v>0.56253076886226649</v>
      </c>
      <c r="M753" s="4">
        <f t="shared" si="57"/>
        <v>4.1392685158222794E-2</v>
      </c>
      <c r="N753" s="4">
        <f t="shared" si="58"/>
        <v>0.2304489213782783</v>
      </c>
      <c r="O753" s="13">
        <f t="shared" si="59"/>
        <v>0.64855515566267607</v>
      </c>
    </row>
    <row r="754" spans="2:15">
      <c r="B754" s="12">
        <v>7</v>
      </c>
      <c r="C754" s="4" t="s">
        <v>151</v>
      </c>
      <c r="D754" s="4" t="s">
        <v>154</v>
      </c>
      <c r="E754" s="4">
        <v>4</v>
      </c>
      <c r="F754" s="4">
        <v>3</v>
      </c>
      <c r="G754" s="4">
        <v>3</v>
      </c>
      <c r="H754" s="115">
        <v>1.2319999999999709</v>
      </c>
      <c r="I754" s="115">
        <v>1.3499999999999659</v>
      </c>
      <c r="J754" s="115">
        <v>0.31700000000000728</v>
      </c>
      <c r="K754" s="115">
        <v>2.8989999999999441</v>
      </c>
      <c r="L754" s="12">
        <f t="shared" si="56"/>
        <v>0.3486941902655355</v>
      </c>
      <c r="M754" s="4">
        <f t="shared" si="57"/>
        <v>0.37106786227172994</v>
      </c>
      <c r="N754" s="4">
        <f t="shared" si="58"/>
        <v>0.11958577496178621</v>
      </c>
      <c r="O754" s="13">
        <f t="shared" si="59"/>
        <v>0.59095323518797949</v>
      </c>
    </row>
    <row r="755" spans="2:15">
      <c r="B755" s="12">
        <v>7</v>
      </c>
      <c r="C755" s="4" t="s">
        <v>151</v>
      </c>
      <c r="D755" s="4" t="s">
        <v>154</v>
      </c>
      <c r="E755" s="4">
        <v>4</v>
      </c>
      <c r="F755" s="4">
        <v>3</v>
      </c>
      <c r="G755" s="4">
        <v>4</v>
      </c>
      <c r="H755" s="115">
        <v>0.34999999999999432</v>
      </c>
      <c r="I755" s="115">
        <v>0.73299999999997567</v>
      </c>
      <c r="J755" s="115">
        <v>0.46699999999998454</v>
      </c>
      <c r="K755" s="115">
        <v>1.5499999999999545</v>
      </c>
      <c r="L755" s="12">
        <f t="shared" si="56"/>
        <v>0.13033376849500428</v>
      </c>
      <c r="M755" s="4">
        <f t="shared" si="57"/>
        <v>0.23879856271391089</v>
      </c>
      <c r="N755" s="4">
        <f t="shared" si="58"/>
        <v>0.1664301138432781</v>
      </c>
      <c r="O755" s="13">
        <f t="shared" si="59"/>
        <v>0.40654018043394741</v>
      </c>
    </row>
    <row r="756" spans="2:15">
      <c r="B756" s="12">
        <v>7</v>
      </c>
      <c r="C756" s="4" t="s">
        <v>151</v>
      </c>
      <c r="D756" s="4" t="s">
        <v>154</v>
      </c>
      <c r="E756" s="4">
        <v>4</v>
      </c>
      <c r="F756" s="4">
        <v>3</v>
      </c>
      <c r="G756" s="4">
        <v>5</v>
      </c>
      <c r="H756" s="115"/>
      <c r="I756" s="115"/>
      <c r="J756" s="115"/>
      <c r="K756" s="115">
        <v>0</v>
      </c>
      <c r="L756" s="12">
        <f t="shared" si="56"/>
        <v>0</v>
      </c>
      <c r="M756" s="4">
        <f t="shared" si="57"/>
        <v>0</v>
      </c>
      <c r="N756" s="4">
        <f t="shared" si="58"/>
        <v>0</v>
      </c>
      <c r="O756" s="13">
        <f t="shared" si="59"/>
        <v>0</v>
      </c>
    </row>
    <row r="757" spans="2:15">
      <c r="B757" s="12">
        <v>7</v>
      </c>
      <c r="C757" s="4" t="s">
        <v>151</v>
      </c>
      <c r="D757" s="4" t="s">
        <v>154</v>
      </c>
      <c r="E757" s="4">
        <v>4</v>
      </c>
      <c r="F757" s="4">
        <v>3</v>
      </c>
      <c r="G757" s="4">
        <v>6</v>
      </c>
      <c r="H757" s="115"/>
      <c r="I757" s="115"/>
      <c r="J757" s="115"/>
      <c r="K757" s="115">
        <v>0</v>
      </c>
      <c r="L757" s="12">
        <f t="shared" si="56"/>
        <v>0</v>
      </c>
      <c r="M757" s="4">
        <f t="shared" si="57"/>
        <v>0</v>
      </c>
      <c r="N757" s="4">
        <f t="shared" si="58"/>
        <v>0</v>
      </c>
      <c r="O757" s="13">
        <f t="shared" si="59"/>
        <v>0</v>
      </c>
    </row>
    <row r="758" spans="2:15">
      <c r="B758" s="12">
        <v>7</v>
      </c>
      <c r="C758" s="4" t="s">
        <v>151</v>
      </c>
      <c r="D758" s="4" t="s">
        <v>154</v>
      </c>
      <c r="E758" s="4">
        <v>4</v>
      </c>
      <c r="F758" s="4">
        <v>3</v>
      </c>
      <c r="G758" s="4">
        <v>7</v>
      </c>
      <c r="H758" s="115"/>
      <c r="I758" s="115"/>
      <c r="J758" s="115"/>
      <c r="K758" s="115">
        <v>0</v>
      </c>
      <c r="L758" s="12">
        <f t="shared" si="56"/>
        <v>0</v>
      </c>
      <c r="M758" s="4">
        <f t="shared" si="57"/>
        <v>0</v>
      </c>
      <c r="N758" s="4">
        <f t="shared" si="58"/>
        <v>0</v>
      </c>
      <c r="O758" s="13">
        <f t="shared" si="59"/>
        <v>0</v>
      </c>
    </row>
    <row r="759" spans="2:15">
      <c r="B759" s="12">
        <v>7</v>
      </c>
      <c r="C759" s="4" t="s">
        <v>151</v>
      </c>
      <c r="D759" s="4" t="s">
        <v>154</v>
      </c>
      <c r="E759" s="4">
        <v>4</v>
      </c>
      <c r="F759" s="4">
        <v>3</v>
      </c>
      <c r="G759" s="4">
        <v>8</v>
      </c>
      <c r="H759" s="115"/>
      <c r="I759" s="115"/>
      <c r="J759" s="115"/>
      <c r="K759" s="115">
        <v>0</v>
      </c>
      <c r="L759" s="12">
        <f t="shared" si="56"/>
        <v>0</v>
      </c>
      <c r="M759" s="4">
        <f t="shared" si="57"/>
        <v>0</v>
      </c>
      <c r="N759" s="4">
        <f t="shared" si="58"/>
        <v>0</v>
      </c>
      <c r="O759" s="13">
        <f t="shared" si="59"/>
        <v>0</v>
      </c>
    </row>
    <row r="760" spans="2:15">
      <c r="B760" s="12">
        <v>7</v>
      </c>
      <c r="C760" s="4" t="s">
        <v>151</v>
      </c>
      <c r="D760" s="4" t="s">
        <v>154</v>
      </c>
      <c r="E760" s="4">
        <v>4</v>
      </c>
      <c r="F760" s="4">
        <v>3</v>
      </c>
      <c r="G760" s="4">
        <v>9</v>
      </c>
      <c r="H760" s="115"/>
      <c r="I760" s="115"/>
      <c r="J760" s="115"/>
      <c r="K760" s="115">
        <v>0</v>
      </c>
      <c r="L760" s="12">
        <f t="shared" si="56"/>
        <v>0</v>
      </c>
      <c r="M760" s="4">
        <f t="shared" si="57"/>
        <v>0</v>
      </c>
      <c r="N760" s="4">
        <f t="shared" si="58"/>
        <v>0</v>
      </c>
      <c r="O760" s="13">
        <f t="shared" si="59"/>
        <v>0</v>
      </c>
    </row>
    <row r="761" spans="2:15" ht="13.8" thickBot="1">
      <c r="B761" s="14">
        <v>7</v>
      </c>
      <c r="C761" s="15" t="s">
        <v>151</v>
      </c>
      <c r="D761" s="15" t="s">
        <v>154</v>
      </c>
      <c r="E761" s="15">
        <v>4</v>
      </c>
      <c r="F761" s="15">
        <v>3</v>
      </c>
      <c r="G761" s="15">
        <v>10</v>
      </c>
      <c r="H761" s="121"/>
      <c r="I761" s="121"/>
      <c r="J761" s="121"/>
      <c r="K761" s="121">
        <v>0</v>
      </c>
      <c r="L761" s="14">
        <f t="shared" si="56"/>
        <v>0</v>
      </c>
      <c r="M761" s="15">
        <f t="shared" si="57"/>
        <v>0</v>
      </c>
      <c r="N761" s="15">
        <f t="shared" si="58"/>
        <v>0</v>
      </c>
      <c r="O761" s="16">
        <f t="shared" si="59"/>
        <v>0</v>
      </c>
    </row>
    <row r="762" spans="2:15">
      <c r="B762" s="9">
        <v>7</v>
      </c>
      <c r="C762" s="10" t="s">
        <v>151</v>
      </c>
      <c r="D762" s="10" t="s">
        <v>150</v>
      </c>
      <c r="E762" s="93">
        <v>5</v>
      </c>
      <c r="F762" s="93">
        <v>11</v>
      </c>
      <c r="G762" s="10">
        <v>1</v>
      </c>
      <c r="H762" s="120"/>
      <c r="I762" s="120">
        <v>0.85000000000013642</v>
      </c>
      <c r="J762" s="120">
        <v>9.5320000000000391</v>
      </c>
      <c r="K762" s="120">
        <v>10.382000000000176</v>
      </c>
      <c r="L762" s="9">
        <f t="shared" si="56"/>
        <v>0</v>
      </c>
      <c r="M762" s="10">
        <f t="shared" si="57"/>
        <v>0.26717172840304582</v>
      </c>
      <c r="N762" s="10">
        <f t="shared" si="58"/>
        <v>1.0225108504340321</v>
      </c>
      <c r="O762" s="11">
        <f t="shared" si="59"/>
        <v>1.0562185812723128</v>
      </c>
    </row>
    <row r="763" spans="2:15">
      <c r="B763" s="12">
        <v>7</v>
      </c>
      <c r="C763" s="4" t="s">
        <v>151</v>
      </c>
      <c r="D763" s="4" t="s">
        <v>150</v>
      </c>
      <c r="E763" s="4">
        <v>5</v>
      </c>
      <c r="F763" s="4">
        <v>11</v>
      </c>
      <c r="G763" s="4">
        <v>2</v>
      </c>
      <c r="H763" s="115">
        <v>2.6859999999998081</v>
      </c>
      <c r="I763" s="115">
        <v>0.24999999999988631</v>
      </c>
      <c r="J763" s="115">
        <v>6.6160000000000991</v>
      </c>
      <c r="K763" s="115">
        <v>9.5519999999997935</v>
      </c>
      <c r="L763" s="12">
        <f t="shared" si="56"/>
        <v>0.56655533088303245</v>
      </c>
      <c r="M763" s="4">
        <f t="shared" si="57"/>
        <v>9.691001300801691E-2</v>
      </c>
      <c r="N763" s="4">
        <f t="shared" si="58"/>
        <v>0.88172693537642355</v>
      </c>
      <c r="O763" s="13">
        <f t="shared" si="59"/>
        <v>1.0233347825383003</v>
      </c>
    </row>
    <row r="764" spans="2:15">
      <c r="B764" s="12">
        <v>7</v>
      </c>
      <c r="C764" s="4" t="s">
        <v>151</v>
      </c>
      <c r="D764" s="4" t="s">
        <v>150</v>
      </c>
      <c r="E764" s="4">
        <v>5</v>
      </c>
      <c r="F764" s="4">
        <v>11</v>
      </c>
      <c r="G764" s="4">
        <v>3</v>
      </c>
      <c r="H764" s="115">
        <v>0.47000000000002728</v>
      </c>
      <c r="I764" s="115"/>
      <c r="J764" s="115"/>
      <c r="K764" s="115">
        <v>0.47000000000002728</v>
      </c>
      <c r="L764" s="12">
        <f t="shared" si="56"/>
        <v>0.16731733474818417</v>
      </c>
      <c r="M764" s="4">
        <f t="shared" si="57"/>
        <v>0</v>
      </c>
      <c r="N764" s="4">
        <f t="shared" si="58"/>
        <v>0</v>
      </c>
      <c r="O764" s="13">
        <f t="shared" si="59"/>
        <v>0.16731733474818417</v>
      </c>
    </row>
    <row r="765" spans="2:15">
      <c r="B765" s="12">
        <v>7</v>
      </c>
      <c r="C765" s="4" t="s">
        <v>151</v>
      </c>
      <c r="D765" s="4" t="s">
        <v>150</v>
      </c>
      <c r="E765" s="4">
        <v>5</v>
      </c>
      <c r="F765" s="4">
        <v>11</v>
      </c>
      <c r="G765" s="4">
        <v>4</v>
      </c>
      <c r="H765" s="115"/>
      <c r="I765" s="115"/>
      <c r="J765" s="115"/>
      <c r="K765" s="115">
        <v>0</v>
      </c>
      <c r="L765" s="12">
        <f t="shared" si="56"/>
        <v>0</v>
      </c>
      <c r="M765" s="4">
        <f t="shared" si="57"/>
        <v>0</v>
      </c>
      <c r="N765" s="4">
        <f t="shared" si="58"/>
        <v>0</v>
      </c>
      <c r="O765" s="13">
        <f t="shared" si="59"/>
        <v>0</v>
      </c>
    </row>
    <row r="766" spans="2:15">
      <c r="B766" s="12">
        <v>7</v>
      </c>
      <c r="C766" s="4" t="s">
        <v>151</v>
      </c>
      <c r="D766" s="4" t="s">
        <v>150</v>
      </c>
      <c r="E766" s="4">
        <v>5</v>
      </c>
      <c r="F766" s="4">
        <v>11</v>
      </c>
      <c r="G766" s="4">
        <v>5</v>
      </c>
      <c r="H766" s="115"/>
      <c r="I766" s="115"/>
      <c r="J766" s="115"/>
      <c r="K766" s="115">
        <v>0</v>
      </c>
      <c r="L766" s="12">
        <f t="shared" si="56"/>
        <v>0</v>
      </c>
      <c r="M766" s="4">
        <f t="shared" si="57"/>
        <v>0</v>
      </c>
      <c r="N766" s="4">
        <f t="shared" si="58"/>
        <v>0</v>
      </c>
      <c r="O766" s="13">
        <f t="shared" si="59"/>
        <v>0</v>
      </c>
    </row>
    <row r="767" spans="2:15">
      <c r="B767" s="12">
        <v>7</v>
      </c>
      <c r="C767" s="4" t="s">
        <v>151</v>
      </c>
      <c r="D767" s="4" t="s">
        <v>150</v>
      </c>
      <c r="E767" s="4">
        <v>5</v>
      </c>
      <c r="F767" s="4">
        <v>11</v>
      </c>
      <c r="G767" s="4">
        <v>6</v>
      </c>
      <c r="H767" s="115"/>
      <c r="I767" s="115"/>
      <c r="J767" s="115"/>
      <c r="K767" s="115">
        <v>0</v>
      </c>
      <c r="L767" s="12">
        <f t="shared" si="56"/>
        <v>0</v>
      </c>
      <c r="M767" s="4">
        <f t="shared" si="57"/>
        <v>0</v>
      </c>
      <c r="N767" s="4">
        <f t="shared" si="58"/>
        <v>0</v>
      </c>
      <c r="O767" s="13">
        <f t="shared" si="59"/>
        <v>0</v>
      </c>
    </row>
    <row r="768" spans="2:15">
      <c r="B768" s="12">
        <v>7</v>
      </c>
      <c r="C768" s="4" t="s">
        <v>151</v>
      </c>
      <c r="D768" s="4" t="s">
        <v>150</v>
      </c>
      <c r="E768" s="4">
        <v>5</v>
      </c>
      <c r="F768" s="4">
        <v>11</v>
      </c>
      <c r="G768" s="4">
        <v>7</v>
      </c>
      <c r="H768" s="115"/>
      <c r="I768" s="115"/>
      <c r="J768" s="115"/>
      <c r="K768" s="115">
        <v>0</v>
      </c>
      <c r="L768" s="12">
        <f t="shared" si="56"/>
        <v>0</v>
      </c>
      <c r="M768" s="4">
        <f t="shared" si="57"/>
        <v>0</v>
      </c>
      <c r="N768" s="4">
        <f t="shared" si="58"/>
        <v>0</v>
      </c>
      <c r="O768" s="13">
        <f t="shared" si="59"/>
        <v>0</v>
      </c>
    </row>
    <row r="769" spans="2:15">
      <c r="B769" s="12">
        <v>7</v>
      </c>
      <c r="C769" s="4" t="s">
        <v>151</v>
      </c>
      <c r="D769" s="4" t="s">
        <v>150</v>
      </c>
      <c r="E769" s="4">
        <v>5</v>
      </c>
      <c r="F769" s="4">
        <v>11</v>
      </c>
      <c r="G769" s="4">
        <v>8</v>
      </c>
      <c r="H769" s="115"/>
      <c r="I769" s="115"/>
      <c r="J769" s="115"/>
      <c r="K769" s="115">
        <v>0</v>
      </c>
      <c r="L769" s="12">
        <f t="shared" si="56"/>
        <v>0</v>
      </c>
      <c r="M769" s="4">
        <f t="shared" si="57"/>
        <v>0</v>
      </c>
      <c r="N769" s="4">
        <f t="shared" si="58"/>
        <v>0</v>
      </c>
      <c r="O769" s="13">
        <f t="shared" si="59"/>
        <v>0</v>
      </c>
    </row>
    <row r="770" spans="2:15">
      <c r="B770" s="12">
        <v>7</v>
      </c>
      <c r="C770" s="4" t="s">
        <v>151</v>
      </c>
      <c r="D770" s="4" t="s">
        <v>150</v>
      </c>
      <c r="E770" s="4">
        <v>5</v>
      </c>
      <c r="F770" s="4">
        <v>11</v>
      </c>
      <c r="G770" s="4">
        <v>9</v>
      </c>
      <c r="H770" s="115"/>
      <c r="I770" s="115"/>
      <c r="J770" s="115"/>
      <c r="K770" s="115">
        <v>0</v>
      </c>
      <c r="L770" s="12">
        <f t="shared" si="56"/>
        <v>0</v>
      </c>
      <c r="M770" s="4">
        <f t="shared" si="57"/>
        <v>0</v>
      </c>
      <c r="N770" s="4">
        <f t="shared" si="58"/>
        <v>0</v>
      </c>
      <c r="O770" s="13">
        <f t="shared" si="59"/>
        <v>0</v>
      </c>
    </row>
    <row r="771" spans="2:15" ht="13.8" thickBot="1">
      <c r="B771" s="14">
        <v>7</v>
      </c>
      <c r="C771" s="15" t="s">
        <v>151</v>
      </c>
      <c r="D771" s="15" t="s">
        <v>150</v>
      </c>
      <c r="E771" s="15">
        <v>5</v>
      </c>
      <c r="F771" s="15">
        <v>11</v>
      </c>
      <c r="G771" s="15">
        <v>10</v>
      </c>
      <c r="H771" s="121"/>
      <c r="I771" s="121"/>
      <c r="J771" s="121"/>
      <c r="K771" s="121">
        <v>0</v>
      </c>
      <c r="L771" s="14">
        <f t="shared" si="56"/>
        <v>0</v>
      </c>
      <c r="M771" s="15">
        <f t="shared" si="57"/>
        <v>0</v>
      </c>
      <c r="N771" s="15">
        <f t="shared" si="58"/>
        <v>0</v>
      </c>
      <c r="O771" s="16">
        <f t="shared" si="59"/>
        <v>0</v>
      </c>
    </row>
    <row r="772" spans="2:15">
      <c r="B772" s="9">
        <v>7</v>
      </c>
      <c r="C772" s="10" t="s">
        <v>151</v>
      </c>
      <c r="D772" s="10" t="s">
        <v>149</v>
      </c>
      <c r="E772" s="93">
        <v>6</v>
      </c>
      <c r="F772" s="93">
        <v>7</v>
      </c>
      <c r="G772" s="10">
        <v>1</v>
      </c>
      <c r="H772" s="120">
        <v>0.96599999999995134</v>
      </c>
      <c r="I772" s="120">
        <v>1.3839999999999577</v>
      </c>
      <c r="J772" s="120">
        <v>0.53300000000001546</v>
      </c>
      <c r="K772" s="120">
        <v>2.8829999999999245</v>
      </c>
      <c r="L772" s="9">
        <f t="shared" si="56"/>
        <v>0.29358351349610606</v>
      </c>
      <c r="M772" s="10">
        <f t="shared" si="57"/>
        <v>0.3773062510681911</v>
      </c>
      <c r="N772" s="10">
        <f t="shared" si="58"/>
        <v>0.18554215485437955</v>
      </c>
      <c r="O772" s="11">
        <f t="shared" si="59"/>
        <v>0.58916739054603917</v>
      </c>
    </row>
    <row r="773" spans="2:15">
      <c r="B773" s="12">
        <v>7</v>
      </c>
      <c r="C773" s="4" t="s">
        <v>151</v>
      </c>
      <c r="D773" s="4" t="s">
        <v>149</v>
      </c>
      <c r="E773" s="4">
        <v>6</v>
      </c>
      <c r="F773" s="4">
        <v>7</v>
      </c>
      <c r="G773" s="4">
        <v>2</v>
      </c>
      <c r="H773" s="115">
        <v>3.1490000000001146</v>
      </c>
      <c r="I773" s="115">
        <v>0.11599999999998545</v>
      </c>
      <c r="J773" s="115"/>
      <c r="K773" s="115">
        <v>3.2650000000001</v>
      </c>
      <c r="L773" s="12">
        <f t="shared" si="56"/>
        <v>0.61794343482898506</v>
      </c>
      <c r="M773" s="4">
        <f t="shared" si="57"/>
        <v>4.7664194601554279E-2</v>
      </c>
      <c r="N773" s="4">
        <f t="shared" si="58"/>
        <v>0</v>
      </c>
      <c r="O773" s="13">
        <f t="shared" si="59"/>
        <v>0.62991903550355199</v>
      </c>
    </row>
    <row r="774" spans="2:15">
      <c r="B774" s="12">
        <v>7</v>
      </c>
      <c r="C774" s="4" t="s">
        <v>151</v>
      </c>
      <c r="D774" s="4" t="s">
        <v>149</v>
      </c>
      <c r="E774" s="4">
        <v>6</v>
      </c>
      <c r="F774" s="4">
        <v>7</v>
      </c>
      <c r="G774" s="4">
        <v>3</v>
      </c>
      <c r="H774" s="115">
        <v>0.56700000000006412</v>
      </c>
      <c r="I774" s="115">
        <v>0.39999999999997726</v>
      </c>
      <c r="J774" s="115"/>
      <c r="K774" s="115">
        <v>0.96700000000004138</v>
      </c>
      <c r="L774" s="12">
        <f t="shared" si="56"/>
        <v>0.1950689964686079</v>
      </c>
      <c r="M774" s="4">
        <f t="shared" si="57"/>
        <v>0.14612803567823096</v>
      </c>
      <c r="N774" s="4">
        <f t="shared" si="58"/>
        <v>0</v>
      </c>
      <c r="O774" s="13">
        <f t="shared" si="59"/>
        <v>0.29380435991934584</v>
      </c>
    </row>
    <row r="775" spans="2:15">
      <c r="B775" s="12">
        <v>7</v>
      </c>
      <c r="C775" s="4" t="s">
        <v>151</v>
      </c>
      <c r="D775" s="4" t="s">
        <v>149</v>
      </c>
      <c r="E775" s="4">
        <v>6</v>
      </c>
      <c r="F775" s="4">
        <v>7</v>
      </c>
      <c r="G775" s="4">
        <v>4</v>
      </c>
      <c r="H775" s="115">
        <v>0.10000000000002274</v>
      </c>
      <c r="I775" s="115"/>
      <c r="J775" s="115"/>
      <c r="K775" s="115">
        <v>0.10000000000002274</v>
      </c>
      <c r="L775" s="12">
        <f t="shared" si="56"/>
        <v>4.1392685158234015E-2</v>
      </c>
      <c r="M775" s="4">
        <f t="shared" si="57"/>
        <v>0</v>
      </c>
      <c r="N775" s="4">
        <f t="shared" si="58"/>
        <v>0</v>
      </c>
      <c r="O775" s="13">
        <f t="shared" si="59"/>
        <v>4.1392685158234015E-2</v>
      </c>
    </row>
    <row r="776" spans="2:15">
      <c r="B776" s="12">
        <v>7</v>
      </c>
      <c r="C776" s="4" t="s">
        <v>151</v>
      </c>
      <c r="D776" s="4" t="s">
        <v>149</v>
      </c>
      <c r="E776" s="4">
        <v>6</v>
      </c>
      <c r="F776" s="4">
        <v>7</v>
      </c>
      <c r="G776" s="4">
        <v>5</v>
      </c>
      <c r="H776" s="115"/>
      <c r="I776" s="115"/>
      <c r="J776" s="115"/>
      <c r="K776" s="115">
        <v>0</v>
      </c>
      <c r="L776" s="12">
        <f t="shared" si="56"/>
        <v>0</v>
      </c>
      <c r="M776" s="4">
        <f t="shared" si="57"/>
        <v>0</v>
      </c>
      <c r="N776" s="4">
        <f t="shared" si="58"/>
        <v>0</v>
      </c>
      <c r="O776" s="13">
        <f t="shared" si="59"/>
        <v>0</v>
      </c>
    </row>
    <row r="777" spans="2:15">
      <c r="B777" s="12">
        <v>7</v>
      </c>
      <c r="C777" s="4" t="s">
        <v>151</v>
      </c>
      <c r="D777" s="4" t="s">
        <v>149</v>
      </c>
      <c r="E777" s="4">
        <v>6</v>
      </c>
      <c r="F777" s="4">
        <v>7</v>
      </c>
      <c r="G777" s="4">
        <v>6</v>
      </c>
      <c r="H777" s="115"/>
      <c r="I777" s="115"/>
      <c r="J777" s="115"/>
      <c r="K777" s="115">
        <v>0</v>
      </c>
      <c r="L777" s="12">
        <f t="shared" si="56"/>
        <v>0</v>
      </c>
      <c r="M777" s="4">
        <f t="shared" si="57"/>
        <v>0</v>
      </c>
      <c r="N777" s="4">
        <f t="shared" si="58"/>
        <v>0</v>
      </c>
      <c r="O777" s="13">
        <f t="shared" si="59"/>
        <v>0</v>
      </c>
    </row>
    <row r="778" spans="2:15">
      <c r="B778" s="12">
        <v>7</v>
      </c>
      <c r="C778" s="4" t="s">
        <v>151</v>
      </c>
      <c r="D778" s="4" t="s">
        <v>149</v>
      </c>
      <c r="E778" s="4">
        <v>6</v>
      </c>
      <c r="F778" s="4">
        <v>7</v>
      </c>
      <c r="G778" s="4">
        <v>7</v>
      </c>
      <c r="H778" s="115"/>
      <c r="I778" s="115"/>
      <c r="J778" s="115"/>
      <c r="K778" s="115">
        <v>0</v>
      </c>
      <c r="L778" s="12">
        <f t="shared" si="56"/>
        <v>0</v>
      </c>
      <c r="M778" s="4">
        <f t="shared" si="57"/>
        <v>0</v>
      </c>
      <c r="N778" s="4">
        <f t="shared" si="58"/>
        <v>0</v>
      </c>
      <c r="O778" s="13">
        <f t="shared" si="59"/>
        <v>0</v>
      </c>
    </row>
    <row r="779" spans="2:15">
      <c r="B779" s="12">
        <v>7</v>
      </c>
      <c r="C779" s="4" t="s">
        <v>151</v>
      </c>
      <c r="D779" s="4" t="s">
        <v>149</v>
      </c>
      <c r="E779" s="4">
        <v>6</v>
      </c>
      <c r="F779" s="4">
        <v>7</v>
      </c>
      <c r="G779" s="4">
        <v>8</v>
      </c>
      <c r="H779" s="115"/>
      <c r="I779" s="115"/>
      <c r="J779" s="115"/>
      <c r="K779" s="115">
        <v>0</v>
      </c>
      <c r="L779" s="12">
        <f t="shared" si="56"/>
        <v>0</v>
      </c>
      <c r="M779" s="4">
        <f t="shared" si="57"/>
        <v>0</v>
      </c>
      <c r="N779" s="4">
        <f t="shared" si="58"/>
        <v>0</v>
      </c>
      <c r="O779" s="13">
        <f t="shared" si="59"/>
        <v>0</v>
      </c>
    </row>
    <row r="780" spans="2:15">
      <c r="B780" s="12">
        <v>7</v>
      </c>
      <c r="C780" s="4" t="s">
        <v>151</v>
      </c>
      <c r="D780" s="4" t="s">
        <v>149</v>
      </c>
      <c r="E780" s="4">
        <v>6</v>
      </c>
      <c r="F780" s="4">
        <v>7</v>
      </c>
      <c r="G780" s="4">
        <v>9</v>
      </c>
      <c r="H780" s="115"/>
      <c r="I780" s="115"/>
      <c r="J780" s="115"/>
      <c r="K780" s="115">
        <v>0</v>
      </c>
      <c r="L780" s="12">
        <f t="shared" si="56"/>
        <v>0</v>
      </c>
      <c r="M780" s="4">
        <f t="shared" si="57"/>
        <v>0</v>
      </c>
      <c r="N780" s="4">
        <f t="shared" si="58"/>
        <v>0</v>
      </c>
      <c r="O780" s="13">
        <f t="shared" si="59"/>
        <v>0</v>
      </c>
    </row>
    <row r="781" spans="2:15" ht="13.8" thickBot="1">
      <c r="B781" s="14">
        <v>7</v>
      </c>
      <c r="C781" s="15" t="s">
        <v>151</v>
      </c>
      <c r="D781" s="15" t="s">
        <v>149</v>
      </c>
      <c r="E781" s="15">
        <v>6</v>
      </c>
      <c r="F781" s="15">
        <v>7</v>
      </c>
      <c r="G781" s="15">
        <v>10</v>
      </c>
      <c r="H781" s="121"/>
      <c r="I781" s="121"/>
      <c r="J781" s="121"/>
      <c r="K781" s="121">
        <v>0</v>
      </c>
      <c r="L781" s="14">
        <f t="shared" si="56"/>
        <v>0</v>
      </c>
      <c r="M781" s="15">
        <f t="shared" si="57"/>
        <v>0</v>
      </c>
      <c r="N781" s="15">
        <f t="shared" si="58"/>
        <v>0</v>
      </c>
      <c r="O781" s="16">
        <f t="shared" si="59"/>
        <v>0</v>
      </c>
    </row>
    <row r="782" spans="2:15">
      <c r="B782" s="9">
        <v>7</v>
      </c>
      <c r="C782" s="10" t="s">
        <v>152</v>
      </c>
      <c r="D782" s="10" t="s">
        <v>154</v>
      </c>
      <c r="E782" s="93">
        <v>7</v>
      </c>
      <c r="F782" s="93">
        <v>4</v>
      </c>
      <c r="G782" s="10">
        <v>1</v>
      </c>
      <c r="H782" s="120">
        <v>0.7309999999999377</v>
      </c>
      <c r="I782" s="120">
        <v>0.80000000000001137</v>
      </c>
      <c r="J782" s="120">
        <v>0.81699999999995043</v>
      </c>
      <c r="K782" s="120">
        <v>2.3479999999998995</v>
      </c>
      <c r="L782" s="9">
        <f t="shared" si="56"/>
        <v>0.23829706787537824</v>
      </c>
      <c r="M782" s="10">
        <f t="shared" si="57"/>
        <v>0.25527250510330879</v>
      </c>
      <c r="N782" s="10">
        <f t="shared" si="58"/>
        <v>0.25935492730802245</v>
      </c>
      <c r="O782" s="11">
        <f t="shared" si="59"/>
        <v>0.5247854493212093</v>
      </c>
    </row>
    <row r="783" spans="2:15">
      <c r="B783" s="12">
        <v>7</v>
      </c>
      <c r="C783" s="4" t="s">
        <v>152</v>
      </c>
      <c r="D783" s="4" t="s">
        <v>154</v>
      </c>
      <c r="E783" s="4">
        <v>7</v>
      </c>
      <c r="F783" s="4">
        <v>4</v>
      </c>
      <c r="G783" s="4">
        <v>2</v>
      </c>
      <c r="H783" s="115">
        <v>1.7850000000000819</v>
      </c>
      <c r="I783" s="115">
        <v>2.3350000000000932</v>
      </c>
      <c r="J783" s="115">
        <v>0.63299999999992451</v>
      </c>
      <c r="K783" s="115">
        <v>4.7530000000000996</v>
      </c>
      <c r="L783" s="12">
        <f t="shared" si="56"/>
        <v>0.44482519950976046</v>
      </c>
      <c r="M783" s="4">
        <f t="shared" si="57"/>
        <v>0.52309583825257988</v>
      </c>
      <c r="N783" s="4">
        <f t="shared" si="58"/>
        <v>0.2129861847366481</v>
      </c>
      <c r="O783" s="13">
        <f t="shared" si="59"/>
        <v>0.75989437402550675</v>
      </c>
    </row>
    <row r="784" spans="2:15">
      <c r="B784" s="12">
        <v>7</v>
      </c>
      <c r="C784" s="4" t="s">
        <v>152</v>
      </c>
      <c r="D784" s="4" t="s">
        <v>154</v>
      </c>
      <c r="E784" s="4">
        <v>7</v>
      </c>
      <c r="F784" s="4">
        <v>4</v>
      </c>
      <c r="G784" s="4">
        <v>3</v>
      </c>
      <c r="H784" s="115">
        <v>4.3010000000000446</v>
      </c>
      <c r="I784" s="115">
        <v>0.81699999999995043</v>
      </c>
      <c r="J784" s="115">
        <v>0.10000000000002274</v>
      </c>
      <c r="K784" s="115">
        <v>5.2180000000000177</v>
      </c>
      <c r="L784" s="12">
        <f t="shared" si="56"/>
        <v>0.72435780422643015</v>
      </c>
      <c r="M784" s="4">
        <f t="shared" si="57"/>
        <v>0.25935492730802245</v>
      </c>
      <c r="N784" s="4">
        <f t="shared" si="58"/>
        <v>4.1392685158234015E-2</v>
      </c>
      <c r="O784" s="13">
        <f t="shared" si="59"/>
        <v>0.79365071770717421</v>
      </c>
    </row>
    <row r="785" spans="2:15">
      <c r="B785" s="12">
        <v>7</v>
      </c>
      <c r="C785" s="4" t="s">
        <v>152</v>
      </c>
      <c r="D785" s="4" t="s">
        <v>154</v>
      </c>
      <c r="E785" s="4">
        <v>7</v>
      </c>
      <c r="F785" s="4">
        <v>4</v>
      </c>
      <c r="G785" s="4">
        <v>4</v>
      </c>
      <c r="H785" s="115"/>
      <c r="I785" s="115">
        <v>0.45000000000004547</v>
      </c>
      <c r="J785" s="115">
        <v>1.1989999999999554</v>
      </c>
      <c r="K785" s="115">
        <v>1.6490000000000009</v>
      </c>
      <c r="L785" s="12">
        <f t="shared" si="56"/>
        <v>0</v>
      </c>
      <c r="M785" s="4">
        <f t="shared" si="57"/>
        <v>0.16136800223498851</v>
      </c>
      <c r="N785" s="4">
        <f t="shared" si="58"/>
        <v>0.34222522936078159</v>
      </c>
      <c r="O785" s="13">
        <f t="shared" si="59"/>
        <v>0.42308195829723116</v>
      </c>
    </row>
    <row r="786" spans="2:15">
      <c r="B786" s="12">
        <v>7</v>
      </c>
      <c r="C786" s="4" t="s">
        <v>152</v>
      </c>
      <c r="D786" s="4" t="s">
        <v>154</v>
      </c>
      <c r="E786" s="4">
        <v>7</v>
      </c>
      <c r="F786" s="4">
        <v>4</v>
      </c>
      <c r="G786" s="4">
        <v>5</v>
      </c>
      <c r="H786" s="115">
        <v>0.30000000000001137</v>
      </c>
      <c r="I786" s="115">
        <v>0.30000000000006821</v>
      </c>
      <c r="J786" s="115">
        <v>0.55100000000004457</v>
      </c>
      <c r="K786" s="115">
        <v>1.1510000000001241</v>
      </c>
      <c r="L786" s="12">
        <f t="shared" si="56"/>
        <v>0.11394335230684056</v>
      </c>
      <c r="M786" s="4">
        <f t="shared" si="57"/>
        <v>0.11394335230685956</v>
      </c>
      <c r="N786" s="4">
        <f t="shared" si="58"/>
        <v>0.19061179781361742</v>
      </c>
      <c r="O786" s="13">
        <f t="shared" si="59"/>
        <v>0.33264041038748765</v>
      </c>
    </row>
    <row r="787" spans="2:15">
      <c r="B787" s="12">
        <v>7</v>
      </c>
      <c r="C787" s="4" t="s">
        <v>152</v>
      </c>
      <c r="D787" s="4" t="s">
        <v>154</v>
      </c>
      <c r="E787" s="4">
        <v>7</v>
      </c>
      <c r="F787" s="4">
        <v>4</v>
      </c>
      <c r="G787" s="4">
        <v>6</v>
      </c>
      <c r="H787" s="115"/>
      <c r="I787" s="115"/>
      <c r="J787" s="115">
        <v>0.84900000000004638</v>
      </c>
      <c r="K787" s="115">
        <v>0.84900000000004638</v>
      </c>
      <c r="L787" s="12">
        <f t="shared" si="56"/>
        <v>0</v>
      </c>
      <c r="M787" s="4">
        <f t="shared" si="57"/>
        <v>0</v>
      </c>
      <c r="N787" s="4">
        <f t="shared" si="58"/>
        <v>0.26693691115918394</v>
      </c>
      <c r="O787" s="13">
        <f t="shared" si="59"/>
        <v>0.26693691115918394</v>
      </c>
    </row>
    <row r="788" spans="2:15">
      <c r="B788" s="12">
        <v>7</v>
      </c>
      <c r="C788" s="4" t="s">
        <v>152</v>
      </c>
      <c r="D788" s="4" t="s">
        <v>154</v>
      </c>
      <c r="E788" s="4">
        <v>7</v>
      </c>
      <c r="F788" s="4">
        <v>4</v>
      </c>
      <c r="G788" s="4">
        <v>7</v>
      </c>
      <c r="H788" s="115">
        <v>0.44999999999998863</v>
      </c>
      <c r="I788" s="115"/>
      <c r="J788" s="115"/>
      <c r="K788" s="115">
        <v>0.44999999999998863</v>
      </c>
      <c r="L788" s="12">
        <f t="shared" si="56"/>
        <v>0.1613680022349715</v>
      </c>
      <c r="M788" s="4">
        <f t="shared" si="57"/>
        <v>0</v>
      </c>
      <c r="N788" s="4">
        <f t="shared" si="58"/>
        <v>0</v>
      </c>
      <c r="O788" s="13">
        <f t="shared" si="59"/>
        <v>0.1613680022349715</v>
      </c>
    </row>
    <row r="789" spans="2:15">
      <c r="B789" s="12">
        <v>7</v>
      </c>
      <c r="C789" s="4" t="s">
        <v>152</v>
      </c>
      <c r="D789" s="4" t="s">
        <v>154</v>
      </c>
      <c r="E789" s="4">
        <v>7</v>
      </c>
      <c r="F789" s="4">
        <v>4</v>
      </c>
      <c r="G789" s="4">
        <v>8</v>
      </c>
      <c r="H789" s="115"/>
      <c r="I789" s="115"/>
      <c r="J789" s="115"/>
      <c r="K789" s="115">
        <v>0</v>
      </c>
      <c r="L789" s="12">
        <f t="shared" si="56"/>
        <v>0</v>
      </c>
      <c r="M789" s="4">
        <f t="shared" si="57"/>
        <v>0</v>
      </c>
      <c r="N789" s="4">
        <f t="shared" si="58"/>
        <v>0</v>
      </c>
      <c r="O789" s="13">
        <f t="shared" si="59"/>
        <v>0</v>
      </c>
    </row>
    <row r="790" spans="2:15">
      <c r="B790" s="12">
        <v>7</v>
      </c>
      <c r="C790" s="4" t="s">
        <v>152</v>
      </c>
      <c r="D790" s="4" t="s">
        <v>154</v>
      </c>
      <c r="E790" s="4">
        <v>7</v>
      </c>
      <c r="F790" s="4">
        <v>4</v>
      </c>
      <c r="G790" s="4">
        <v>9</v>
      </c>
      <c r="H790" s="115"/>
      <c r="I790" s="115"/>
      <c r="J790" s="115"/>
      <c r="K790" s="115">
        <v>0</v>
      </c>
      <c r="L790" s="12">
        <f t="shared" si="56"/>
        <v>0</v>
      </c>
      <c r="M790" s="4">
        <f t="shared" si="57"/>
        <v>0</v>
      </c>
      <c r="N790" s="4">
        <f t="shared" si="58"/>
        <v>0</v>
      </c>
      <c r="O790" s="13">
        <f t="shared" si="59"/>
        <v>0</v>
      </c>
    </row>
    <row r="791" spans="2:15" ht="13.8" thickBot="1">
      <c r="B791" s="14">
        <v>7</v>
      </c>
      <c r="C791" s="15" t="s">
        <v>152</v>
      </c>
      <c r="D791" s="15" t="s">
        <v>154</v>
      </c>
      <c r="E791" s="15">
        <v>7</v>
      </c>
      <c r="F791" s="15">
        <v>4</v>
      </c>
      <c r="G791" s="15">
        <v>10</v>
      </c>
      <c r="H791" s="121"/>
      <c r="I791" s="121"/>
      <c r="J791" s="121"/>
      <c r="K791" s="121">
        <v>0</v>
      </c>
      <c r="L791" s="14">
        <f t="shared" si="56"/>
        <v>0</v>
      </c>
      <c r="M791" s="15">
        <f t="shared" si="57"/>
        <v>0</v>
      </c>
      <c r="N791" s="15">
        <f t="shared" si="58"/>
        <v>0</v>
      </c>
      <c r="O791" s="16">
        <f t="shared" si="59"/>
        <v>0</v>
      </c>
    </row>
    <row r="792" spans="2:15">
      <c r="B792" s="9">
        <v>7</v>
      </c>
      <c r="C792" s="10" t="s">
        <v>152</v>
      </c>
      <c r="D792" s="10" t="s">
        <v>149</v>
      </c>
      <c r="E792" s="93">
        <v>8</v>
      </c>
      <c r="F792" s="93">
        <v>6</v>
      </c>
      <c r="G792" s="10">
        <v>1</v>
      </c>
      <c r="H792" s="120">
        <v>0.48400000000003729</v>
      </c>
      <c r="I792" s="120">
        <v>0.26700000000005275</v>
      </c>
      <c r="J792" s="120">
        <v>0.60099999999999909</v>
      </c>
      <c r="K792" s="120">
        <v>1.3520000000000891</v>
      </c>
      <c r="L792" s="9">
        <f t="shared" si="56"/>
        <v>0.17143390094301919</v>
      </c>
      <c r="M792" s="10">
        <f t="shared" si="57"/>
        <v>0.10277661488345942</v>
      </c>
      <c r="N792" s="10">
        <f t="shared" si="58"/>
        <v>0.20439133191929948</v>
      </c>
      <c r="O792" s="11">
        <f t="shared" si="59"/>
        <v>0.37143731740411734</v>
      </c>
    </row>
    <row r="793" spans="2:15">
      <c r="B793" s="12">
        <v>7</v>
      </c>
      <c r="C793" s="4" t="s">
        <v>152</v>
      </c>
      <c r="D793" s="4" t="s">
        <v>149</v>
      </c>
      <c r="E793" s="4">
        <v>8</v>
      </c>
      <c r="F793" s="4">
        <v>6</v>
      </c>
      <c r="G793" s="4">
        <v>2</v>
      </c>
      <c r="H793" s="115">
        <v>1.5989999999999327</v>
      </c>
      <c r="I793" s="115">
        <v>1.1490000000000009</v>
      </c>
      <c r="J793" s="115"/>
      <c r="K793" s="115">
        <v>2.7479999999999336</v>
      </c>
      <c r="L793" s="12">
        <f t="shared" si="56"/>
        <v>0.41480627950100135</v>
      </c>
      <c r="M793" s="4">
        <f t="shared" si="57"/>
        <v>0.3322364154914435</v>
      </c>
      <c r="N793" s="4">
        <f t="shared" si="58"/>
        <v>0</v>
      </c>
      <c r="O793" s="13">
        <f t="shared" si="59"/>
        <v>0.57379958221573291</v>
      </c>
    </row>
    <row r="794" spans="2:15">
      <c r="B794" s="12">
        <v>7</v>
      </c>
      <c r="C794" s="4" t="s">
        <v>152</v>
      </c>
      <c r="D794" s="4" t="s">
        <v>149</v>
      </c>
      <c r="E794" s="4">
        <v>8</v>
      </c>
      <c r="F794" s="4">
        <v>6</v>
      </c>
      <c r="G794" s="4">
        <v>3</v>
      </c>
      <c r="H794" s="115">
        <v>9.9999999999965894E-2</v>
      </c>
      <c r="I794" s="115"/>
      <c r="J794" s="115"/>
      <c r="K794" s="115">
        <v>9.9999999999965894E-2</v>
      </c>
      <c r="L794" s="12">
        <f t="shared" si="56"/>
        <v>4.1392685158211574E-2</v>
      </c>
      <c r="M794" s="4">
        <f t="shared" si="57"/>
        <v>0</v>
      </c>
      <c r="N794" s="4">
        <f t="shared" si="58"/>
        <v>0</v>
      </c>
      <c r="O794" s="13">
        <f t="shared" si="59"/>
        <v>4.1392685158211574E-2</v>
      </c>
    </row>
    <row r="795" spans="2:15">
      <c r="B795" s="12">
        <v>7</v>
      </c>
      <c r="C795" s="4" t="s">
        <v>152</v>
      </c>
      <c r="D795" s="4" t="s">
        <v>149</v>
      </c>
      <c r="E795" s="4">
        <v>8</v>
      </c>
      <c r="F795" s="4">
        <v>6</v>
      </c>
      <c r="G795" s="4">
        <v>4</v>
      </c>
      <c r="H795" s="115">
        <v>9.9999999999965894E-2</v>
      </c>
      <c r="I795" s="115"/>
      <c r="J795" s="115"/>
      <c r="K795" s="115">
        <v>9.9999999999965894E-2</v>
      </c>
      <c r="L795" s="12">
        <f t="shared" si="56"/>
        <v>4.1392685158211574E-2</v>
      </c>
      <c r="M795" s="4">
        <f t="shared" si="57"/>
        <v>0</v>
      </c>
      <c r="N795" s="4">
        <f t="shared" si="58"/>
        <v>0</v>
      </c>
      <c r="O795" s="13">
        <f t="shared" si="59"/>
        <v>4.1392685158211574E-2</v>
      </c>
    </row>
    <row r="796" spans="2:15">
      <c r="B796" s="12">
        <v>7</v>
      </c>
      <c r="C796" s="4" t="s">
        <v>152</v>
      </c>
      <c r="D796" s="4" t="s">
        <v>149</v>
      </c>
      <c r="E796" s="4">
        <v>8</v>
      </c>
      <c r="F796" s="4">
        <v>6</v>
      </c>
      <c r="G796" s="4">
        <v>5</v>
      </c>
      <c r="H796" s="115"/>
      <c r="I796" s="115"/>
      <c r="J796" s="115"/>
      <c r="K796" s="115">
        <v>0</v>
      </c>
      <c r="L796" s="12">
        <f t="shared" si="56"/>
        <v>0</v>
      </c>
      <c r="M796" s="4">
        <f t="shared" si="57"/>
        <v>0</v>
      </c>
      <c r="N796" s="4">
        <f t="shared" si="58"/>
        <v>0</v>
      </c>
      <c r="O796" s="13">
        <f t="shared" si="59"/>
        <v>0</v>
      </c>
    </row>
    <row r="797" spans="2:15">
      <c r="B797" s="12">
        <v>7</v>
      </c>
      <c r="C797" s="4" t="s">
        <v>152</v>
      </c>
      <c r="D797" s="4" t="s">
        <v>149</v>
      </c>
      <c r="E797" s="4">
        <v>8</v>
      </c>
      <c r="F797" s="4">
        <v>6</v>
      </c>
      <c r="G797" s="4">
        <v>6</v>
      </c>
      <c r="H797" s="115"/>
      <c r="I797" s="115"/>
      <c r="J797" s="115"/>
      <c r="K797" s="115">
        <v>0</v>
      </c>
      <c r="L797" s="12">
        <f t="shared" si="56"/>
        <v>0</v>
      </c>
      <c r="M797" s="4">
        <f t="shared" si="57"/>
        <v>0</v>
      </c>
      <c r="N797" s="4">
        <f t="shared" si="58"/>
        <v>0</v>
      </c>
      <c r="O797" s="13">
        <f t="shared" si="59"/>
        <v>0</v>
      </c>
    </row>
    <row r="798" spans="2:15">
      <c r="B798" s="12">
        <v>7</v>
      </c>
      <c r="C798" s="4" t="s">
        <v>152</v>
      </c>
      <c r="D798" s="4" t="s">
        <v>149</v>
      </c>
      <c r="E798" s="4">
        <v>8</v>
      </c>
      <c r="F798" s="4">
        <v>6</v>
      </c>
      <c r="G798" s="4">
        <v>7</v>
      </c>
      <c r="H798" s="115"/>
      <c r="I798" s="115"/>
      <c r="J798" s="115"/>
      <c r="K798" s="115">
        <v>0</v>
      </c>
      <c r="L798" s="12">
        <f t="shared" si="56"/>
        <v>0</v>
      </c>
      <c r="M798" s="4">
        <f t="shared" si="57"/>
        <v>0</v>
      </c>
      <c r="N798" s="4">
        <f t="shared" si="58"/>
        <v>0</v>
      </c>
      <c r="O798" s="13">
        <f t="shared" si="59"/>
        <v>0</v>
      </c>
    </row>
    <row r="799" spans="2:15">
      <c r="B799" s="12">
        <v>7</v>
      </c>
      <c r="C799" s="4" t="s">
        <v>152</v>
      </c>
      <c r="D799" s="4" t="s">
        <v>149</v>
      </c>
      <c r="E799" s="4">
        <v>8</v>
      </c>
      <c r="F799" s="4">
        <v>6</v>
      </c>
      <c r="G799" s="4">
        <v>8</v>
      </c>
      <c r="H799" s="115"/>
      <c r="I799" s="115"/>
      <c r="J799" s="115"/>
      <c r="K799" s="115">
        <v>0</v>
      </c>
      <c r="L799" s="12">
        <f t="shared" si="56"/>
        <v>0</v>
      </c>
      <c r="M799" s="4">
        <f t="shared" si="57"/>
        <v>0</v>
      </c>
      <c r="N799" s="4">
        <f t="shared" si="58"/>
        <v>0</v>
      </c>
      <c r="O799" s="13">
        <f t="shared" si="59"/>
        <v>0</v>
      </c>
    </row>
    <row r="800" spans="2:15">
      <c r="B800" s="12">
        <v>7</v>
      </c>
      <c r="C800" s="4" t="s">
        <v>152</v>
      </c>
      <c r="D800" s="4" t="s">
        <v>149</v>
      </c>
      <c r="E800" s="4">
        <v>8</v>
      </c>
      <c r="F800" s="4">
        <v>6</v>
      </c>
      <c r="G800" s="4">
        <v>9</v>
      </c>
      <c r="H800" s="115"/>
      <c r="I800" s="115"/>
      <c r="J800" s="115"/>
      <c r="K800" s="115">
        <v>0</v>
      </c>
      <c r="L800" s="12">
        <f t="shared" si="56"/>
        <v>0</v>
      </c>
      <c r="M800" s="4">
        <f t="shared" si="57"/>
        <v>0</v>
      </c>
      <c r="N800" s="4">
        <f t="shared" si="58"/>
        <v>0</v>
      </c>
      <c r="O800" s="13">
        <f t="shared" si="59"/>
        <v>0</v>
      </c>
    </row>
    <row r="801" spans="2:15" ht="13.8" thickBot="1">
      <c r="B801" s="14">
        <v>7</v>
      </c>
      <c r="C801" s="15" t="s">
        <v>152</v>
      </c>
      <c r="D801" s="15" t="s">
        <v>149</v>
      </c>
      <c r="E801" s="15">
        <v>8</v>
      </c>
      <c r="F801" s="15">
        <v>6</v>
      </c>
      <c r="G801" s="15">
        <v>10</v>
      </c>
      <c r="H801" s="121"/>
      <c r="I801" s="121"/>
      <c r="J801" s="121"/>
      <c r="K801" s="121">
        <v>0</v>
      </c>
      <c r="L801" s="14">
        <f t="shared" si="56"/>
        <v>0</v>
      </c>
      <c r="M801" s="15">
        <f t="shared" si="57"/>
        <v>0</v>
      </c>
      <c r="N801" s="15">
        <f t="shared" si="58"/>
        <v>0</v>
      </c>
      <c r="O801" s="16">
        <f t="shared" si="59"/>
        <v>0</v>
      </c>
    </row>
    <row r="802" spans="2:15">
      <c r="B802" s="9">
        <v>7</v>
      </c>
      <c r="C802" s="10" t="s">
        <v>152</v>
      </c>
      <c r="D802" s="10" t="s">
        <v>149</v>
      </c>
      <c r="E802" s="93">
        <v>9</v>
      </c>
      <c r="F802" s="93">
        <v>8</v>
      </c>
      <c r="G802" s="10">
        <v>1</v>
      </c>
      <c r="H802" s="120">
        <v>2.0340000000000487</v>
      </c>
      <c r="I802" s="120">
        <v>1.7330000000000041</v>
      </c>
      <c r="J802" s="120"/>
      <c r="K802" s="120">
        <v>3.7670000000000528</v>
      </c>
      <c r="L802" s="9">
        <f t="shared" si="56"/>
        <v>0.48201557645071863</v>
      </c>
      <c r="M802" s="10">
        <f t="shared" si="57"/>
        <v>0.43663963169266135</v>
      </c>
      <c r="N802" s="10">
        <f t="shared" si="58"/>
        <v>0</v>
      </c>
      <c r="O802" s="11">
        <f t="shared" si="59"/>
        <v>0.67824515192704682</v>
      </c>
    </row>
    <row r="803" spans="2:15">
      <c r="B803" s="12">
        <v>7</v>
      </c>
      <c r="C803" s="4" t="s">
        <v>152</v>
      </c>
      <c r="D803" s="4" t="s">
        <v>149</v>
      </c>
      <c r="E803" s="4">
        <v>9</v>
      </c>
      <c r="F803" s="4">
        <v>8</v>
      </c>
      <c r="G803" s="4">
        <v>2</v>
      </c>
      <c r="H803" s="115">
        <v>2.8819999999999482</v>
      </c>
      <c r="I803" s="115"/>
      <c r="J803" s="115">
        <v>0.13399999999990087</v>
      </c>
      <c r="K803" s="115">
        <v>3.015999999999849</v>
      </c>
      <c r="L803" s="12">
        <f t="shared" si="56"/>
        <v>0.58905553105233821</v>
      </c>
      <c r="M803" s="4">
        <f t="shared" si="57"/>
        <v>0</v>
      </c>
      <c r="N803" s="4">
        <f t="shared" si="58"/>
        <v>5.461305455684981E-2</v>
      </c>
      <c r="O803" s="13">
        <f t="shared" si="59"/>
        <v>0.60379370413694655</v>
      </c>
    </row>
    <row r="804" spans="2:15">
      <c r="B804" s="12">
        <v>7</v>
      </c>
      <c r="C804" s="4" t="s">
        <v>152</v>
      </c>
      <c r="D804" s="4" t="s">
        <v>149</v>
      </c>
      <c r="E804" s="4">
        <v>9</v>
      </c>
      <c r="F804" s="4">
        <v>8</v>
      </c>
      <c r="G804" s="4">
        <v>3</v>
      </c>
      <c r="H804" s="115">
        <v>0.69299999999998363</v>
      </c>
      <c r="I804" s="115">
        <v>0.43299999999999272</v>
      </c>
      <c r="J804" s="115"/>
      <c r="K804" s="115">
        <v>1.1259999999999764</v>
      </c>
      <c r="L804" s="12">
        <f t="shared" si="56"/>
        <v>0.22865695810893105</v>
      </c>
      <c r="M804" s="4">
        <f t="shared" si="57"/>
        <v>0.15624619039734228</v>
      </c>
      <c r="N804" s="4">
        <f t="shared" si="58"/>
        <v>0</v>
      </c>
      <c r="O804" s="13">
        <f t="shared" si="59"/>
        <v>0.32756326018727311</v>
      </c>
    </row>
    <row r="805" spans="2:15">
      <c r="B805" s="12">
        <v>7</v>
      </c>
      <c r="C805" s="4" t="s">
        <v>152</v>
      </c>
      <c r="D805" s="4" t="s">
        <v>149</v>
      </c>
      <c r="E805" s="4">
        <v>9</v>
      </c>
      <c r="F805" s="4">
        <v>8</v>
      </c>
      <c r="G805" s="4">
        <v>4</v>
      </c>
      <c r="H805" s="115"/>
      <c r="I805" s="115"/>
      <c r="J805" s="115"/>
      <c r="K805" s="115">
        <v>0</v>
      </c>
      <c r="L805" s="12">
        <f t="shared" si="56"/>
        <v>0</v>
      </c>
      <c r="M805" s="4">
        <f t="shared" si="57"/>
        <v>0</v>
      </c>
      <c r="N805" s="4">
        <f t="shared" si="58"/>
        <v>0</v>
      </c>
      <c r="O805" s="13">
        <f t="shared" si="59"/>
        <v>0</v>
      </c>
    </row>
    <row r="806" spans="2:15">
      <c r="B806" s="12">
        <v>7</v>
      </c>
      <c r="C806" s="4" t="s">
        <v>152</v>
      </c>
      <c r="D806" s="4" t="s">
        <v>149</v>
      </c>
      <c r="E806" s="4">
        <v>9</v>
      </c>
      <c r="F806" s="4">
        <v>8</v>
      </c>
      <c r="G806" s="4">
        <v>5</v>
      </c>
      <c r="H806" s="115"/>
      <c r="I806" s="115"/>
      <c r="J806" s="115"/>
      <c r="K806" s="115">
        <v>0</v>
      </c>
      <c r="L806" s="12">
        <f t="shared" si="56"/>
        <v>0</v>
      </c>
      <c r="M806" s="4">
        <f t="shared" si="57"/>
        <v>0</v>
      </c>
      <c r="N806" s="4">
        <f t="shared" si="58"/>
        <v>0</v>
      </c>
      <c r="O806" s="13">
        <f t="shared" si="59"/>
        <v>0</v>
      </c>
    </row>
    <row r="807" spans="2:15">
      <c r="B807" s="12">
        <v>7</v>
      </c>
      <c r="C807" s="4" t="s">
        <v>152</v>
      </c>
      <c r="D807" s="4" t="s">
        <v>149</v>
      </c>
      <c r="E807" s="4">
        <v>9</v>
      </c>
      <c r="F807" s="4">
        <v>8</v>
      </c>
      <c r="G807" s="4">
        <v>6</v>
      </c>
      <c r="H807" s="115"/>
      <c r="I807" s="115"/>
      <c r="J807" s="115"/>
      <c r="K807" s="115">
        <v>0</v>
      </c>
      <c r="L807" s="12">
        <f t="shared" ref="L807:L870" si="60">LOG10(H807+1)</f>
        <v>0</v>
      </c>
      <c r="M807" s="4">
        <f t="shared" ref="M807:M870" si="61">LOG10(I807+1)</f>
        <v>0</v>
      </c>
      <c r="N807" s="4">
        <f t="shared" ref="N807:N870" si="62">LOG10(J807+1)</f>
        <v>0</v>
      </c>
      <c r="O807" s="13">
        <f t="shared" ref="O807:O870" si="63">LOG10(K807+1)</f>
        <v>0</v>
      </c>
    </row>
    <row r="808" spans="2:15">
      <c r="B808" s="12">
        <v>7</v>
      </c>
      <c r="C808" s="4" t="s">
        <v>152</v>
      </c>
      <c r="D808" s="4" t="s">
        <v>149</v>
      </c>
      <c r="E808" s="4">
        <v>9</v>
      </c>
      <c r="F808" s="4">
        <v>8</v>
      </c>
      <c r="G808" s="4">
        <v>7</v>
      </c>
      <c r="H808" s="115"/>
      <c r="I808" s="115"/>
      <c r="J808" s="115"/>
      <c r="K808" s="115">
        <v>0</v>
      </c>
      <c r="L808" s="12">
        <f t="shared" si="60"/>
        <v>0</v>
      </c>
      <c r="M808" s="4">
        <f t="shared" si="61"/>
        <v>0</v>
      </c>
      <c r="N808" s="4">
        <f t="shared" si="62"/>
        <v>0</v>
      </c>
      <c r="O808" s="13">
        <f t="shared" si="63"/>
        <v>0</v>
      </c>
    </row>
    <row r="809" spans="2:15">
      <c r="B809" s="12">
        <v>7</v>
      </c>
      <c r="C809" s="4" t="s">
        <v>152</v>
      </c>
      <c r="D809" s="4" t="s">
        <v>149</v>
      </c>
      <c r="E809" s="4">
        <v>9</v>
      </c>
      <c r="F809" s="4">
        <v>8</v>
      </c>
      <c r="G809" s="4">
        <v>8</v>
      </c>
      <c r="H809" s="115"/>
      <c r="I809" s="115"/>
      <c r="J809" s="115"/>
      <c r="K809" s="115">
        <v>0</v>
      </c>
      <c r="L809" s="12">
        <f t="shared" si="60"/>
        <v>0</v>
      </c>
      <c r="M809" s="4">
        <f t="shared" si="61"/>
        <v>0</v>
      </c>
      <c r="N809" s="4">
        <f t="shared" si="62"/>
        <v>0</v>
      </c>
      <c r="O809" s="13">
        <f t="shared" si="63"/>
        <v>0</v>
      </c>
    </row>
    <row r="810" spans="2:15">
      <c r="B810" s="12">
        <v>7</v>
      </c>
      <c r="C810" s="4" t="s">
        <v>152</v>
      </c>
      <c r="D810" s="4" t="s">
        <v>149</v>
      </c>
      <c r="E810" s="4">
        <v>9</v>
      </c>
      <c r="F810" s="4">
        <v>8</v>
      </c>
      <c r="G810" s="4">
        <v>9</v>
      </c>
      <c r="H810" s="115"/>
      <c r="I810" s="115"/>
      <c r="J810" s="115"/>
      <c r="K810" s="115">
        <v>0</v>
      </c>
      <c r="L810" s="12">
        <f t="shared" si="60"/>
        <v>0</v>
      </c>
      <c r="M810" s="4">
        <f t="shared" si="61"/>
        <v>0</v>
      </c>
      <c r="N810" s="4">
        <f t="shared" si="62"/>
        <v>0</v>
      </c>
      <c r="O810" s="13">
        <f t="shared" si="63"/>
        <v>0</v>
      </c>
    </row>
    <row r="811" spans="2:15" ht="13.8" thickBot="1">
      <c r="B811" s="14">
        <v>7</v>
      </c>
      <c r="C811" s="15" t="s">
        <v>152</v>
      </c>
      <c r="D811" s="15" t="s">
        <v>149</v>
      </c>
      <c r="E811" s="15">
        <v>9</v>
      </c>
      <c r="F811" s="15">
        <v>8</v>
      </c>
      <c r="G811" s="15">
        <v>10</v>
      </c>
      <c r="H811" s="121"/>
      <c r="I811" s="121"/>
      <c r="J811" s="121"/>
      <c r="K811" s="121">
        <v>0</v>
      </c>
      <c r="L811" s="14">
        <f t="shared" si="60"/>
        <v>0</v>
      </c>
      <c r="M811" s="15">
        <f t="shared" si="61"/>
        <v>0</v>
      </c>
      <c r="N811" s="15">
        <f t="shared" si="62"/>
        <v>0</v>
      </c>
      <c r="O811" s="16">
        <f t="shared" si="63"/>
        <v>0</v>
      </c>
    </row>
    <row r="812" spans="2:15">
      <c r="B812" s="9">
        <v>7</v>
      </c>
      <c r="C812" s="10" t="s">
        <v>152</v>
      </c>
      <c r="D812" s="10" t="s">
        <v>150</v>
      </c>
      <c r="E812" s="93">
        <v>10</v>
      </c>
      <c r="F812" s="93">
        <v>10</v>
      </c>
      <c r="G812" s="10">
        <v>1</v>
      </c>
      <c r="H812" s="120">
        <v>0.31700000000000728</v>
      </c>
      <c r="I812" s="120">
        <v>2.5850000000001501</v>
      </c>
      <c r="J812" s="120">
        <v>7.4510000000001355</v>
      </c>
      <c r="K812" s="120">
        <v>10.353000000000293</v>
      </c>
      <c r="L812" s="9">
        <f t="shared" si="60"/>
        <v>0.11958577496178621</v>
      </c>
      <c r="M812" s="10">
        <f t="shared" si="61"/>
        <v>0.55448916000383708</v>
      </c>
      <c r="N812" s="10">
        <f t="shared" si="62"/>
        <v>0.9269081017054428</v>
      </c>
      <c r="O812" s="11">
        <f t="shared" si="63"/>
        <v>1.0551106378541577</v>
      </c>
    </row>
    <row r="813" spans="2:15">
      <c r="B813" s="12">
        <v>7</v>
      </c>
      <c r="C813" s="4" t="s">
        <v>152</v>
      </c>
      <c r="D813" s="4" t="s">
        <v>150</v>
      </c>
      <c r="E813" s="4">
        <v>10</v>
      </c>
      <c r="F813" s="4">
        <v>10</v>
      </c>
      <c r="G813" s="4">
        <v>2</v>
      </c>
      <c r="H813" s="115">
        <v>0.66700000000003001</v>
      </c>
      <c r="I813" s="115">
        <v>0.14999999999997726</v>
      </c>
      <c r="J813" s="115">
        <v>0.60000000000002274</v>
      </c>
      <c r="K813" s="115">
        <v>1.41700000000003</v>
      </c>
      <c r="L813" s="12">
        <f t="shared" si="60"/>
        <v>0.22193559982801314</v>
      </c>
      <c r="M813" s="4">
        <f t="shared" si="61"/>
        <v>6.0697840353603094E-2</v>
      </c>
      <c r="N813" s="4">
        <f t="shared" si="62"/>
        <v>0.20411998265593095</v>
      </c>
      <c r="O813" s="13">
        <f t="shared" si="63"/>
        <v>0.38327665040765574</v>
      </c>
    </row>
    <row r="814" spans="2:15">
      <c r="B814" s="12">
        <v>7</v>
      </c>
      <c r="C814" s="4" t="s">
        <v>152</v>
      </c>
      <c r="D814" s="4" t="s">
        <v>150</v>
      </c>
      <c r="E814" s="4">
        <v>10</v>
      </c>
      <c r="F814" s="4">
        <v>10</v>
      </c>
      <c r="G814" s="4">
        <v>3</v>
      </c>
      <c r="H814" s="115">
        <v>0.31700000000000728</v>
      </c>
      <c r="I814" s="115">
        <v>0.31599999999991724</v>
      </c>
      <c r="J814" s="115">
        <v>0.23400000000003729</v>
      </c>
      <c r="K814" s="115">
        <v>0.8669999999999618</v>
      </c>
      <c r="L814" s="12">
        <f t="shared" si="60"/>
        <v>0.11958577496178621</v>
      </c>
      <c r="M814" s="4">
        <f t="shared" si="61"/>
        <v>0.11925588927790937</v>
      </c>
      <c r="N814" s="4">
        <f t="shared" si="62"/>
        <v>9.1315159697235998E-2</v>
      </c>
      <c r="O814" s="13">
        <f t="shared" si="63"/>
        <v>0.2711443179490694</v>
      </c>
    </row>
    <row r="815" spans="2:15">
      <c r="B815" s="12">
        <v>7</v>
      </c>
      <c r="C815" s="4" t="s">
        <v>152</v>
      </c>
      <c r="D815" s="4" t="s">
        <v>150</v>
      </c>
      <c r="E815" s="4">
        <v>10</v>
      </c>
      <c r="F815" s="4">
        <v>10</v>
      </c>
      <c r="G815" s="4">
        <v>4</v>
      </c>
      <c r="H815" s="115"/>
      <c r="I815" s="115"/>
      <c r="J815" s="115"/>
      <c r="K815" s="115">
        <v>0</v>
      </c>
      <c r="L815" s="12">
        <f t="shared" si="60"/>
        <v>0</v>
      </c>
      <c r="M815" s="4">
        <f t="shared" si="61"/>
        <v>0</v>
      </c>
      <c r="N815" s="4">
        <f t="shared" si="62"/>
        <v>0</v>
      </c>
      <c r="O815" s="13">
        <f t="shared" si="63"/>
        <v>0</v>
      </c>
    </row>
    <row r="816" spans="2:15">
      <c r="B816" s="12">
        <v>7</v>
      </c>
      <c r="C816" s="4" t="s">
        <v>152</v>
      </c>
      <c r="D816" s="4" t="s">
        <v>150</v>
      </c>
      <c r="E816" s="4">
        <v>10</v>
      </c>
      <c r="F816" s="4">
        <v>10</v>
      </c>
      <c r="G816" s="4">
        <v>5</v>
      </c>
      <c r="H816" s="115"/>
      <c r="I816" s="115"/>
      <c r="J816" s="115"/>
      <c r="K816" s="115">
        <v>0</v>
      </c>
      <c r="L816" s="12">
        <f t="shared" si="60"/>
        <v>0</v>
      </c>
      <c r="M816" s="4">
        <f t="shared" si="61"/>
        <v>0</v>
      </c>
      <c r="N816" s="4">
        <f t="shared" si="62"/>
        <v>0</v>
      </c>
      <c r="O816" s="13">
        <f t="shared" si="63"/>
        <v>0</v>
      </c>
    </row>
    <row r="817" spans="2:15">
      <c r="B817" s="12">
        <v>7</v>
      </c>
      <c r="C817" s="4" t="s">
        <v>152</v>
      </c>
      <c r="D817" s="4" t="s">
        <v>150</v>
      </c>
      <c r="E817" s="4">
        <v>10</v>
      </c>
      <c r="F817" s="4">
        <v>10</v>
      </c>
      <c r="G817" s="4">
        <v>6</v>
      </c>
      <c r="H817" s="115"/>
      <c r="I817" s="115"/>
      <c r="J817" s="115"/>
      <c r="K817" s="115">
        <v>0</v>
      </c>
      <c r="L817" s="12">
        <f t="shared" si="60"/>
        <v>0</v>
      </c>
      <c r="M817" s="4">
        <f t="shared" si="61"/>
        <v>0</v>
      </c>
      <c r="N817" s="4">
        <f t="shared" si="62"/>
        <v>0</v>
      </c>
      <c r="O817" s="13">
        <f t="shared" si="63"/>
        <v>0</v>
      </c>
    </row>
    <row r="818" spans="2:15">
      <c r="B818" s="12">
        <v>7</v>
      </c>
      <c r="C818" s="4" t="s">
        <v>152</v>
      </c>
      <c r="D818" s="4" t="s">
        <v>150</v>
      </c>
      <c r="E818" s="4">
        <v>10</v>
      </c>
      <c r="F818" s="4">
        <v>10</v>
      </c>
      <c r="G818" s="4">
        <v>7</v>
      </c>
      <c r="H818" s="115"/>
      <c r="I818" s="115"/>
      <c r="J818" s="115"/>
      <c r="K818" s="115">
        <v>0</v>
      </c>
      <c r="L818" s="12">
        <f t="shared" si="60"/>
        <v>0</v>
      </c>
      <c r="M818" s="4">
        <f t="shared" si="61"/>
        <v>0</v>
      </c>
      <c r="N818" s="4">
        <f t="shared" si="62"/>
        <v>0</v>
      </c>
      <c r="O818" s="13">
        <f t="shared" si="63"/>
        <v>0</v>
      </c>
    </row>
    <row r="819" spans="2:15">
      <c r="B819" s="12">
        <v>7</v>
      </c>
      <c r="C819" s="4" t="s">
        <v>152</v>
      </c>
      <c r="D819" s="4" t="s">
        <v>150</v>
      </c>
      <c r="E819" s="4">
        <v>10</v>
      </c>
      <c r="F819" s="4">
        <v>10</v>
      </c>
      <c r="G819" s="4">
        <v>8</v>
      </c>
      <c r="H819" s="115"/>
      <c r="I819" s="115"/>
      <c r="J819" s="115"/>
      <c r="K819" s="115">
        <v>0</v>
      </c>
      <c r="L819" s="12">
        <f t="shared" si="60"/>
        <v>0</v>
      </c>
      <c r="M819" s="4">
        <f t="shared" si="61"/>
        <v>0</v>
      </c>
      <c r="N819" s="4">
        <f t="shared" si="62"/>
        <v>0</v>
      </c>
      <c r="O819" s="13">
        <f t="shared" si="63"/>
        <v>0</v>
      </c>
    </row>
    <row r="820" spans="2:15">
      <c r="B820" s="12">
        <v>7</v>
      </c>
      <c r="C820" s="4" t="s">
        <v>152</v>
      </c>
      <c r="D820" s="4" t="s">
        <v>150</v>
      </c>
      <c r="E820" s="4">
        <v>10</v>
      </c>
      <c r="F820" s="4">
        <v>10</v>
      </c>
      <c r="G820" s="4">
        <v>9</v>
      </c>
      <c r="H820" s="115"/>
      <c r="I820" s="115"/>
      <c r="J820" s="115"/>
      <c r="K820" s="115">
        <v>0</v>
      </c>
      <c r="L820" s="12">
        <f t="shared" si="60"/>
        <v>0</v>
      </c>
      <c r="M820" s="4">
        <f t="shared" si="61"/>
        <v>0</v>
      </c>
      <c r="N820" s="4">
        <f t="shared" si="62"/>
        <v>0</v>
      </c>
      <c r="O820" s="13">
        <f t="shared" si="63"/>
        <v>0</v>
      </c>
    </row>
    <row r="821" spans="2:15" ht="13.8" thickBot="1">
      <c r="B821" s="14">
        <v>7</v>
      </c>
      <c r="C821" s="15" t="s">
        <v>152</v>
      </c>
      <c r="D821" s="15" t="s">
        <v>150</v>
      </c>
      <c r="E821" s="15">
        <v>10</v>
      </c>
      <c r="F821" s="15">
        <v>10</v>
      </c>
      <c r="G821" s="15">
        <v>10</v>
      </c>
      <c r="H821" s="121"/>
      <c r="I821" s="121"/>
      <c r="J821" s="121"/>
      <c r="K821" s="121">
        <v>0</v>
      </c>
      <c r="L821" s="14">
        <f t="shared" si="60"/>
        <v>0</v>
      </c>
      <c r="M821" s="15">
        <f t="shared" si="61"/>
        <v>0</v>
      </c>
      <c r="N821" s="15">
        <f t="shared" si="62"/>
        <v>0</v>
      </c>
      <c r="O821" s="16">
        <f t="shared" si="63"/>
        <v>0</v>
      </c>
    </row>
    <row r="822" spans="2:15">
      <c r="B822" s="9">
        <v>7</v>
      </c>
      <c r="C822" s="10" t="s">
        <v>152</v>
      </c>
      <c r="D822" s="10" t="s">
        <v>150</v>
      </c>
      <c r="E822" s="93">
        <v>11</v>
      </c>
      <c r="F822" s="93">
        <v>12</v>
      </c>
      <c r="G822" s="10">
        <v>1</v>
      </c>
      <c r="H822" s="120">
        <v>5.1689999999999827</v>
      </c>
      <c r="I822" s="120">
        <v>1.2320000000001983</v>
      </c>
      <c r="J822" s="120">
        <v>7.3159999999999172</v>
      </c>
      <c r="K822" s="120">
        <v>13.717000000000098</v>
      </c>
      <c r="L822" s="9">
        <f t="shared" si="60"/>
        <v>0.79021477024397813</v>
      </c>
      <c r="M822" s="10">
        <f t="shared" si="61"/>
        <v>0.34869419026557974</v>
      </c>
      <c r="N822" s="10">
        <f t="shared" si="62"/>
        <v>0.91991448065942727</v>
      </c>
      <c r="O822" s="11">
        <f t="shared" si="63"/>
        <v>1.1678192898771347</v>
      </c>
    </row>
    <row r="823" spans="2:15">
      <c r="B823" s="12">
        <v>7</v>
      </c>
      <c r="C823" s="4" t="s">
        <v>152</v>
      </c>
      <c r="D823" s="4" t="s">
        <v>150</v>
      </c>
      <c r="E823" s="4">
        <v>11</v>
      </c>
      <c r="F823" s="4">
        <v>12</v>
      </c>
      <c r="G823" s="4">
        <v>2</v>
      </c>
      <c r="H823" s="115">
        <v>0.24900000000002365</v>
      </c>
      <c r="I823" s="115">
        <v>1.5150000000001</v>
      </c>
      <c r="J823" s="115">
        <v>1.0009999999999764</v>
      </c>
      <c r="K823" s="115">
        <v>2.7650000000001</v>
      </c>
      <c r="L823" s="12">
        <f t="shared" si="60"/>
        <v>9.656243837414373E-2</v>
      </c>
      <c r="M823" s="4">
        <f t="shared" si="61"/>
        <v>0.4005379893919635</v>
      </c>
      <c r="N823" s="4">
        <f t="shared" si="62"/>
        <v>0.30124708863620625</v>
      </c>
      <c r="O823" s="13">
        <f t="shared" si="63"/>
        <v>0.57576498053673097</v>
      </c>
    </row>
    <row r="824" spans="2:15">
      <c r="B824" s="12">
        <v>7</v>
      </c>
      <c r="C824" s="4" t="s">
        <v>152</v>
      </c>
      <c r="D824" s="4" t="s">
        <v>150</v>
      </c>
      <c r="E824" s="4">
        <v>11</v>
      </c>
      <c r="F824" s="4">
        <v>12</v>
      </c>
      <c r="G824" s="4">
        <v>3</v>
      </c>
      <c r="H824" s="115">
        <v>0.23400000000003729</v>
      </c>
      <c r="I824" s="115">
        <v>1.8989999999998872</v>
      </c>
      <c r="J824" s="115">
        <v>6.248000000000161</v>
      </c>
      <c r="K824" s="115">
        <v>8.3810000000000855</v>
      </c>
      <c r="L824" s="12">
        <f t="shared" si="60"/>
        <v>9.1315159697235998E-2</v>
      </c>
      <c r="M824" s="4">
        <f t="shared" si="61"/>
        <v>0.46224821535498056</v>
      </c>
      <c r="N824" s="4">
        <f t="shared" si="62"/>
        <v>0.86021818466876632</v>
      </c>
      <c r="O824" s="13">
        <f t="shared" si="63"/>
        <v>0.97224913596259965</v>
      </c>
    </row>
    <row r="825" spans="2:15">
      <c r="B825" s="12">
        <v>7</v>
      </c>
      <c r="C825" s="4" t="s">
        <v>152</v>
      </c>
      <c r="D825" s="4" t="s">
        <v>150</v>
      </c>
      <c r="E825" s="4">
        <v>11</v>
      </c>
      <c r="F825" s="4">
        <v>12</v>
      </c>
      <c r="G825" s="4">
        <v>4</v>
      </c>
      <c r="H825" s="115"/>
      <c r="I825" s="115">
        <v>0.21699999999998454</v>
      </c>
      <c r="J825" s="115">
        <v>1.2330000000001746</v>
      </c>
      <c r="K825" s="115">
        <v>1.4500000000001592</v>
      </c>
      <c r="L825" s="12">
        <f t="shared" si="60"/>
        <v>0</v>
      </c>
      <c r="M825" s="4">
        <f t="shared" si="61"/>
        <v>8.5290578230059477E-2</v>
      </c>
      <c r="N825" s="4">
        <f t="shared" si="62"/>
        <v>0.3488887230714719</v>
      </c>
      <c r="O825" s="13">
        <f t="shared" si="63"/>
        <v>0.38916608436456068</v>
      </c>
    </row>
    <row r="826" spans="2:15">
      <c r="B826" s="12">
        <v>7</v>
      </c>
      <c r="C826" s="4" t="s">
        <v>152</v>
      </c>
      <c r="D826" s="4" t="s">
        <v>150</v>
      </c>
      <c r="E826" s="4">
        <v>11</v>
      </c>
      <c r="F826" s="4">
        <v>12</v>
      </c>
      <c r="G826" s="4">
        <v>5</v>
      </c>
      <c r="H826" s="115">
        <v>0.63200000000006185</v>
      </c>
      <c r="I826" s="115">
        <v>0.30000000000006821</v>
      </c>
      <c r="J826" s="115">
        <v>2.2320000000001983</v>
      </c>
      <c r="K826" s="115">
        <v>3.1640000000003283</v>
      </c>
      <c r="L826" s="12">
        <f t="shared" si="60"/>
        <v>0.2127201544178588</v>
      </c>
      <c r="M826" s="4">
        <f t="shared" si="61"/>
        <v>0.11394335230685956</v>
      </c>
      <c r="N826" s="4">
        <f t="shared" si="62"/>
        <v>0.50947135210257521</v>
      </c>
      <c r="O826" s="13">
        <f t="shared" si="63"/>
        <v>0.61951072083853276</v>
      </c>
    </row>
    <row r="827" spans="2:15">
      <c r="B827" s="12">
        <v>7</v>
      </c>
      <c r="C827" s="4" t="s">
        <v>152</v>
      </c>
      <c r="D827" s="4" t="s">
        <v>150</v>
      </c>
      <c r="E827" s="4">
        <v>11</v>
      </c>
      <c r="F827" s="4">
        <v>12</v>
      </c>
      <c r="G827" s="4">
        <v>6</v>
      </c>
      <c r="H827" s="115">
        <v>0.44999999999993179</v>
      </c>
      <c r="I827" s="115"/>
      <c r="J827" s="115"/>
      <c r="K827" s="115">
        <v>0.44999999999993179</v>
      </c>
      <c r="L827" s="12">
        <f t="shared" si="60"/>
        <v>0.16136800223495446</v>
      </c>
      <c r="M827" s="4">
        <f t="shared" si="61"/>
        <v>0</v>
      </c>
      <c r="N827" s="4">
        <f t="shared" si="62"/>
        <v>0</v>
      </c>
      <c r="O827" s="13">
        <f t="shared" si="63"/>
        <v>0.16136800223495446</v>
      </c>
    </row>
    <row r="828" spans="2:15">
      <c r="B828" s="12">
        <v>7</v>
      </c>
      <c r="C828" s="4" t="s">
        <v>152</v>
      </c>
      <c r="D828" s="4" t="s">
        <v>150</v>
      </c>
      <c r="E828" s="4">
        <v>11</v>
      </c>
      <c r="F828" s="4">
        <v>12</v>
      </c>
      <c r="G828" s="4">
        <v>7</v>
      </c>
      <c r="H828" s="115">
        <v>0.23299999999994725</v>
      </c>
      <c r="I828" s="115">
        <v>1.4999999999998863</v>
      </c>
      <c r="J828" s="115">
        <v>1.9650000000000318</v>
      </c>
      <c r="K828" s="115">
        <v>3.6979999999998654</v>
      </c>
      <c r="L828" s="12">
        <f t="shared" si="60"/>
        <v>9.0963076595713066E-2</v>
      </c>
      <c r="M828" s="4">
        <f t="shared" si="61"/>
        <v>0.39794000867201784</v>
      </c>
      <c r="N828" s="4">
        <f t="shared" si="62"/>
        <v>0.4720246977002861</v>
      </c>
      <c r="O828" s="13">
        <f t="shared" si="63"/>
        <v>0.67191301244157464</v>
      </c>
    </row>
    <row r="829" spans="2:15">
      <c r="B829" s="12">
        <v>7</v>
      </c>
      <c r="C829" s="4" t="s">
        <v>152</v>
      </c>
      <c r="D829" s="4" t="s">
        <v>150</v>
      </c>
      <c r="E829" s="4">
        <v>11</v>
      </c>
      <c r="F829" s="4">
        <v>12</v>
      </c>
      <c r="G829" s="4">
        <v>8</v>
      </c>
      <c r="H829" s="115">
        <v>1.2329999999997199</v>
      </c>
      <c r="I829" s="115">
        <v>0.19999999999993179</v>
      </c>
      <c r="J829" s="115">
        <v>0.81899999999995998</v>
      </c>
      <c r="K829" s="115">
        <v>2.2519999999996116</v>
      </c>
      <c r="L829" s="12">
        <f t="shared" si="60"/>
        <v>0.34888872307138347</v>
      </c>
      <c r="M829" s="4">
        <f t="shared" si="61"/>
        <v>7.9181246047600143E-2</v>
      </c>
      <c r="N829" s="4">
        <f t="shared" si="62"/>
        <v>0.259832699063474</v>
      </c>
      <c r="O829" s="13">
        <f t="shared" si="63"/>
        <v>0.51215053692197865</v>
      </c>
    </row>
    <row r="830" spans="2:15">
      <c r="B830" s="12">
        <v>7</v>
      </c>
      <c r="C830" s="4" t="s">
        <v>152</v>
      </c>
      <c r="D830" s="4" t="s">
        <v>150</v>
      </c>
      <c r="E830" s="4">
        <v>11</v>
      </c>
      <c r="F830" s="4">
        <v>12</v>
      </c>
      <c r="G830" s="4">
        <v>9</v>
      </c>
      <c r="H830" s="115">
        <v>0.18299999999999272</v>
      </c>
      <c r="I830" s="115">
        <v>2.5170000000000528</v>
      </c>
      <c r="J830" s="115">
        <v>0.20000000000004547</v>
      </c>
      <c r="K830" s="115">
        <v>2.9000000000000909</v>
      </c>
      <c r="L830" s="12">
        <f t="shared" si="60"/>
        <v>7.29847446279277E-2</v>
      </c>
      <c r="M830" s="4">
        <f t="shared" si="61"/>
        <v>0.54617236831694904</v>
      </c>
      <c r="N830" s="4">
        <f t="shared" si="62"/>
        <v>7.918124604764129E-2</v>
      </c>
      <c r="O830" s="13">
        <f t="shared" si="63"/>
        <v>0.59106460702650931</v>
      </c>
    </row>
    <row r="831" spans="2:15" ht="13.8" thickBot="1">
      <c r="B831" s="14">
        <v>7</v>
      </c>
      <c r="C831" s="15" t="s">
        <v>152</v>
      </c>
      <c r="D831" s="15" t="s">
        <v>150</v>
      </c>
      <c r="E831" s="15">
        <v>11</v>
      </c>
      <c r="F831" s="15">
        <v>12</v>
      </c>
      <c r="G831" s="15">
        <v>10</v>
      </c>
      <c r="H831" s="121"/>
      <c r="I831" s="121"/>
      <c r="J831" s="121"/>
      <c r="K831" s="121">
        <v>0</v>
      </c>
      <c r="L831" s="14">
        <f t="shared" si="60"/>
        <v>0</v>
      </c>
      <c r="M831" s="15">
        <f t="shared" si="61"/>
        <v>0</v>
      </c>
      <c r="N831" s="15">
        <f t="shared" si="62"/>
        <v>0</v>
      </c>
      <c r="O831" s="16">
        <f t="shared" si="63"/>
        <v>0</v>
      </c>
    </row>
    <row r="832" spans="2:15">
      <c r="B832" s="9">
        <v>7</v>
      </c>
      <c r="C832" s="10" t="s">
        <v>152</v>
      </c>
      <c r="D832" s="10" t="s">
        <v>154</v>
      </c>
      <c r="E832" s="93">
        <v>12</v>
      </c>
      <c r="F832" s="93">
        <v>2</v>
      </c>
      <c r="G832" s="10">
        <v>1</v>
      </c>
      <c r="H832" s="120">
        <v>1.2160000000000082</v>
      </c>
      <c r="I832" s="120">
        <v>0.19999999999998863</v>
      </c>
      <c r="J832" s="120">
        <v>0.91600000000002524</v>
      </c>
      <c r="K832" s="120">
        <v>2.3320000000000221</v>
      </c>
      <c r="L832" s="9">
        <f t="shared" si="60"/>
        <v>0.34556975605639373</v>
      </c>
      <c r="M832" s="10">
        <f t="shared" si="61"/>
        <v>7.918124604762071E-2</v>
      </c>
      <c r="N832" s="10">
        <f t="shared" si="62"/>
        <v>0.28239550474253133</v>
      </c>
      <c r="O832" s="11">
        <f t="shared" si="63"/>
        <v>0.5227049927347529</v>
      </c>
    </row>
    <row r="833" spans="2:15">
      <c r="B833" s="12">
        <v>7</v>
      </c>
      <c r="C833" s="4" t="s">
        <v>152</v>
      </c>
      <c r="D833" s="4" t="s">
        <v>154</v>
      </c>
      <c r="E833" s="4">
        <v>12</v>
      </c>
      <c r="F833" s="4">
        <v>2</v>
      </c>
      <c r="G833" s="4">
        <v>2</v>
      </c>
      <c r="H833" s="115">
        <v>0.91700000000000159</v>
      </c>
      <c r="I833" s="115"/>
      <c r="J833" s="115"/>
      <c r="K833" s="115">
        <v>0.91700000000000159</v>
      </c>
      <c r="L833" s="12">
        <f t="shared" si="60"/>
        <v>0.28262211287806294</v>
      </c>
      <c r="M833" s="4">
        <f t="shared" si="61"/>
        <v>0</v>
      </c>
      <c r="N833" s="4">
        <f t="shared" si="62"/>
        <v>0</v>
      </c>
      <c r="O833" s="13">
        <f t="shared" si="63"/>
        <v>0.28262211287806294</v>
      </c>
    </row>
    <row r="834" spans="2:15">
      <c r="B834" s="12">
        <v>7</v>
      </c>
      <c r="C834" s="4" t="s">
        <v>152</v>
      </c>
      <c r="D834" s="4" t="s">
        <v>154</v>
      </c>
      <c r="E834" s="4">
        <v>12</v>
      </c>
      <c r="F834" s="4">
        <v>2</v>
      </c>
      <c r="G834" s="4">
        <v>3</v>
      </c>
      <c r="H834" s="115">
        <v>1.664999999999992</v>
      </c>
      <c r="I834" s="115">
        <v>0.68400000000002592</v>
      </c>
      <c r="J834" s="115"/>
      <c r="K834" s="115">
        <v>2.349000000000018</v>
      </c>
      <c r="L834" s="12">
        <f t="shared" si="60"/>
        <v>0.42569721336258975</v>
      </c>
      <c r="M834" s="4">
        <f t="shared" si="61"/>
        <v>0.22634208716363738</v>
      </c>
      <c r="N834" s="4">
        <f t="shared" si="62"/>
        <v>0</v>
      </c>
      <c r="O834" s="13">
        <f t="shared" si="63"/>
        <v>0.52491514753986923</v>
      </c>
    </row>
    <row r="835" spans="2:15">
      <c r="B835" s="12">
        <v>7</v>
      </c>
      <c r="C835" s="4" t="s">
        <v>152</v>
      </c>
      <c r="D835" s="4" t="s">
        <v>154</v>
      </c>
      <c r="E835" s="4">
        <v>12</v>
      </c>
      <c r="F835" s="4">
        <v>2</v>
      </c>
      <c r="G835" s="4">
        <v>4</v>
      </c>
      <c r="H835" s="115"/>
      <c r="I835" s="115"/>
      <c r="J835" s="115"/>
      <c r="K835" s="115">
        <v>0</v>
      </c>
      <c r="L835" s="12">
        <f t="shared" si="60"/>
        <v>0</v>
      </c>
      <c r="M835" s="4">
        <f t="shared" si="61"/>
        <v>0</v>
      </c>
      <c r="N835" s="4">
        <f t="shared" si="62"/>
        <v>0</v>
      </c>
      <c r="O835" s="13">
        <f t="shared" si="63"/>
        <v>0</v>
      </c>
    </row>
    <row r="836" spans="2:15">
      <c r="B836" s="12">
        <v>7</v>
      </c>
      <c r="C836" s="4" t="s">
        <v>152</v>
      </c>
      <c r="D836" s="4" t="s">
        <v>154</v>
      </c>
      <c r="E836" s="4">
        <v>12</v>
      </c>
      <c r="F836" s="4">
        <v>2</v>
      </c>
      <c r="G836" s="4">
        <v>5</v>
      </c>
      <c r="H836" s="115"/>
      <c r="I836" s="115"/>
      <c r="J836" s="115"/>
      <c r="K836" s="115">
        <v>0</v>
      </c>
      <c r="L836" s="12">
        <f t="shared" si="60"/>
        <v>0</v>
      </c>
      <c r="M836" s="4">
        <f t="shared" si="61"/>
        <v>0</v>
      </c>
      <c r="N836" s="4">
        <f t="shared" si="62"/>
        <v>0</v>
      </c>
      <c r="O836" s="13">
        <f t="shared" si="63"/>
        <v>0</v>
      </c>
    </row>
    <row r="837" spans="2:15">
      <c r="B837" s="12">
        <v>7</v>
      </c>
      <c r="C837" s="4" t="s">
        <v>152</v>
      </c>
      <c r="D837" s="4" t="s">
        <v>154</v>
      </c>
      <c r="E837" s="4">
        <v>12</v>
      </c>
      <c r="F837" s="4">
        <v>2</v>
      </c>
      <c r="G837" s="4">
        <v>6</v>
      </c>
      <c r="H837" s="115"/>
      <c r="I837" s="115"/>
      <c r="J837" s="115"/>
      <c r="K837" s="115">
        <v>0</v>
      </c>
      <c r="L837" s="12">
        <f t="shared" si="60"/>
        <v>0</v>
      </c>
      <c r="M837" s="4">
        <f t="shared" si="61"/>
        <v>0</v>
      </c>
      <c r="N837" s="4">
        <f t="shared" si="62"/>
        <v>0</v>
      </c>
      <c r="O837" s="13">
        <f t="shared" si="63"/>
        <v>0</v>
      </c>
    </row>
    <row r="838" spans="2:15">
      <c r="B838" s="12">
        <v>7</v>
      </c>
      <c r="C838" s="4" t="s">
        <v>152</v>
      </c>
      <c r="D838" s="4" t="s">
        <v>154</v>
      </c>
      <c r="E838" s="4">
        <v>12</v>
      </c>
      <c r="F838" s="4">
        <v>2</v>
      </c>
      <c r="G838" s="4">
        <v>7</v>
      </c>
      <c r="H838" s="115"/>
      <c r="I838" s="115"/>
      <c r="J838" s="115"/>
      <c r="K838" s="115">
        <v>0</v>
      </c>
      <c r="L838" s="12">
        <f t="shared" si="60"/>
        <v>0</v>
      </c>
      <c r="M838" s="4">
        <f t="shared" si="61"/>
        <v>0</v>
      </c>
      <c r="N838" s="4">
        <f t="shared" si="62"/>
        <v>0</v>
      </c>
      <c r="O838" s="13">
        <f t="shared" si="63"/>
        <v>0</v>
      </c>
    </row>
    <row r="839" spans="2:15">
      <c r="B839" s="12">
        <v>7</v>
      </c>
      <c r="C839" s="4" t="s">
        <v>152</v>
      </c>
      <c r="D839" s="4" t="s">
        <v>154</v>
      </c>
      <c r="E839" s="4">
        <v>12</v>
      </c>
      <c r="F839" s="4">
        <v>2</v>
      </c>
      <c r="G839" s="4">
        <v>8</v>
      </c>
      <c r="H839" s="115"/>
      <c r="I839" s="115"/>
      <c r="J839" s="115"/>
      <c r="K839" s="115">
        <v>0</v>
      </c>
      <c r="L839" s="12">
        <f t="shared" si="60"/>
        <v>0</v>
      </c>
      <c r="M839" s="4">
        <f t="shared" si="61"/>
        <v>0</v>
      </c>
      <c r="N839" s="4">
        <f t="shared" si="62"/>
        <v>0</v>
      </c>
      <c r="O839" s="13">
        <f t="shared" si="63"/>
        <v>0</v>
      </c>
    </row>
    <row r="840" spans="2:15">
      <c r="B840" s="12">
        <v>7</v>
      </c>
      <c r="C840" s="4" t="s">
        <v>152</v>
      </c>
      <c r="D840" s="4" t="s">
        <v>154</v>
      </c>
      <c r="E840" s="4">
        <v>12</v>
      </c>
      <c r="F840" s="4">
        <v>2</v>
      </c>
      <c r="G840" s="4">
        <v>9</v>
      </c>
      <c r="H840" s="115"/>
      <c r="I840" s="115"/>
      <c r="J840" s="115"/>
      <c r="K840" s="115">
        <v>0</v>
      </c>
      <c r="L840" s="12">
        <f t="shared" si="60"/>
        <v>0</v>
      </c>
      <c r="M840" s="4">
        <f t="shared" si="61"/>
        <v>0</v>
      </c>
      <c r="N840" s="4">
        <f t="shared" si="62"/>
        <v>0</v>
      </c>
      <c r="O840" s="13">
        <f t="shared" si="63"/>
        <v>0</v>
      </c>
    </row>
    <row r="841" spans="2:15" ht="13.8" thickBot="1">
      <c r="B841" s="14">
        <v>7</v>
      </c>
      <c r="C841" s="15" t="s">
        <v>152</v>
      </c>
      <c r="D841" s="15" t="s">
        <v>154</v>
      </c>
      <c r="E841" s="15">
        <v>12</v>
      </c>
      <c r="F841" s="15">
        <v>2</v>
      </c>
      <c r="G841" s="15">
        <v>10</v>
      </c>
      <c r="H841" s="121"/>
      <c r="I841" s="121"/>
      <c r="J841" s="121"/>
      <c r="K841" s="121">
        <v>0</v>
      </c>
      <c r="L841" s="14">
        <f t="shared" si="60"/>
        <v>0</v>
      </c>
      <c r="M841" s="15">
        <f t="shared" si="61"/>
        <v>0</v>
      </c>
      <c r="N841" s="15">
        <f t="shared" si="62"/>
        <v>0</v>
      </c>
      <c r="O841" s="16">
        <f t="shared" si="63"/>
        <v>0</v>
      </c>
    </row>
    <row r="842" spans="2:15">
      <c r="B842" s="9">
        <v>8</v>
      </c>
      <c r="C842" s="10" t="s">
        <v>151</v>
      </c>
      <c r="D842" s="10" t="s">
        <v>149</v>
      </c>
      <c r="E842" s="93">
        <v>1</v>
      </c>
      <c r="F842" s="93">
        <v>11</v>
      </c>
      <c r="G842" s="10">
        <v>1</v>
      </c>
      <c r="H842" s="120">
        <v>2.3830000000000382</v>
      </c>
      <c r="I842" s="120">
        <v>0.53399999999999181</v>
      </c>
      <c r="J842" s="120">
        <v>3.6659999999997126</v>
      </c>
      <c r="K842" s="120">
        <v>6.5829999999997426</v>
      </c>
      <c r="L842" s="9">
        <f t="shared" si="60"/>
        <v>0.52930199778798548</v>
      </c>
      <c r="M842" s="10">
        <f t="shared" si="61"/>
        <v>0.18582535961295985</v>
      </c>
      <c r="N842" s="10">
        <f t="shared" si="62"/>
        <v>0.66894473445770708</v>
      </c>
      <c r="O842" s="11">
        <f t="shared" si="63"/>
        <v>0.87984105598654783</v>
      </c>
    </row>
    <row r="843" spans="2:15">
      <c r="B843" s="12">
        <v>8</v>
      </c>
      <c r="C843" s="4" t="s">
        <v>151</v>
      </c>
      <c r="D843" s="4" t="s">
        <v>149</v>
      </c>
      <c r="E843" s="4">
        <v>1</v>
      </c>
      <c r="F843" s="4">
        <v>11</v>
      </c>
      <c r="G843" s="4">
        <v>2</v>
      </c>
      <c r="H843" s="115">
        <v>1.1180000000000518</v>
      </c>
      <c r="I843" s="115"/>
      <c r="J843" s="115"/>
      <c r="K843" s="115">
        <v>1.1180000000000518</v>
      </c>
      <c r="L843" s="12">
        <f t="shared" si="60"/>
        <v>0.32592595577147682</v>
      </c>
      <c r="M843" s="4">
        <f t="shared" si="61"/>
        <v>0</v>
      </c>
      <c r="N843" s="4">
        <f t="shared" si="62"/>
        <v>0</v>
      </c>
      <c r="O843" s="13">
        <f t="shared" si="63"/>
        <v>0.32592595577147682</v>
      </c>
    </row>
    <row r="844" spans="2:15">
      <c r="B844" s="12">
        <v>8</v>
      </c>
      <c r="C844" s="4" t="s">
        <v>151</v>
      </c>
      <c r="D844" s="4" t="s">
        <v>149</v>
      </c>
      <c r="E844" s="4">
        <v>1</v>
      </c>
      <c r="F844" s="4">
        <v>11</v>
      </c>
      <c r="G844" s="4">
        <v>3</v>
      </c>
      <c r="H844" s="115">
        <v>3.2490000000001373</v>
      </c>
      <c r="I844" s="115"/>
      <c r="J844" s="115">
        <v>0.73299999999994725</v>
      </c>
      <c r="K844" s="115">
        <v>3.9820000000000846</v>
      </c>
      <c r="L844" s="12">
        <f t="shared" si="60"/>
        <v>0.62828673108952848</v>
      </c>
      <c r="M844" s="4">
        <f t="shared" si="61"/>
        <v>0</v>
      </c>
      <c r="N844" s="4">
        <f t="shared" si="62"/>
        <v>0.23879856271390379</v>
      </c>
      <c r="O844" s="13">
        <f t="shared" si="63"/>
        <v>0.69740372320049504</v>
      </c>
    </row>
    <row r="845" spans="2:15">
      <c r="B845" s="12">
        <v>8</v>
      </c>
      <c r="C845" s="4" t="s">
        <v>151</v>
      </c>
      <c r="D845" s="4" t="s">
        <v>149</v>
      </c>
      <c r="E845" s="4">
        <v>1</v>
      </c>
      <c r="F845" s="4">
        <v>11</v>
      </c>
      <c r="G845" s="4">
        <v>4</v>
      </c>
      <c r="H845" s="115"/>
      <c r="I845" s="115"/>
      <c r="J845" s="115"/>
      <c r="K845" s="115">
        <v>0</v>
      </c>
      <c r="L845" s="12">
        <f t="shared" si="60"/>
        <v>0</v>
      </c>
      <c r="M845" s="4">
        <f t="shared" si="61"/>
        <v>0</v>
      </c>
      <c r="N845" s="4">
        <f t="shared" si="62"/>
        <v>0</v>
      </c>
      <c r="O845" s="13">
        <f t="shared" si="63"/>
        <v>0</v>
      </c>
    </row>
    <row r="846" spans="2:15">
      <c r="B846" s="12">
        <v>8</v>
      </c>
      <c r="C846" s="4" t="s">
        <v>151</v>
      </c>
      <c r="D846" s="4" t="s">
        <v>149</v>
      </c>
      <c r="E846" s="4">
        <v>1</v>
      </c>
      <c r="F846" s="4">
        <v>11</v>
      </c>
      <c r="G846" s="4">
        <v>5</v>
      </c>
      <c r="H846" s="115"/>
      <c r="I846" s="115"/>
      <c r="J846" s="115"/>
      <c r="K846" s="115">
        <v>0</v>
      </c>
      <c r="L846" s="12">
        <f t="shared" si="60"/>
        <v>0</v>
      </c>
      <c r="M846" s="4">
        <f t="shared" si="61"/>
        <v>0</v>
      </c>
      <c r="N846" s="4">
        <f t="shared" si="62"/>
        <v>0</v>
      </c>
      <c r="O846" s="13">
        <f t="shared" si="63"/>
        <v>0</v>
      </c>
    </row>
    <row r="847" spans="2:15">
      <c r="B847" s="12">
        <v>8</v>
      </c>
      <c r="C847" s="4" t="s">
        <v>151</v>
      </c>
      <c r="D847" s="4" t="s">
        <v>149</v>
      </c>
      <c r="E847" s="4">
        <v>1</v>
      </c>
      <c r="F847" s="4">
        <v>11</v>
      </c>
      <c r="G847" s="4">
        <v>6</v>
      </c>
      <c r="H847" s="115"/>
      <c r="I847" s="115"/>
      <c r="J847" s="115"/>
      <c r="K847" s="115">
        <v>0</v>
      </c>
      <c r="L847" s="12">
        <f t="shared" si="60"/>
        <v>0</v>
      </c>
      <c r="M847" s="4">
        <f t="shared" si="61"/>
        <v>0</v>
      </c>
      <c r="N847" s="4">
        <f t="shared" si="62"/>
        <v>0</v>
      </c>
      <c r="O847" s="13">
        <f t="shared" si="63"/>
        <v>0</v>
      </c>
    </row>
    <row r="848" spans="2:15">
      <c r="B848" s="12">
        <v>8</v>
      </c>
      <c r="C848" s="4" t="s">
        <v>151</v>
      </c>
      <c r="D848" s="4" t="s">
        <v>149</v>
      </c>
      <c r="E848" s="4">
        <v>1</v>
      </c>
      <c r="F848" s="4">
        <v>11</v>
      </c>
      <c r="G848" s="4">
        <v>7</v>
      </c>
      <c r="H848" s="115"/>
      <c r="I848" s="115"/>
      <c r="J848" s="115"/>
      <c r="K848" s="115">
        <v>0</v>
      </c>
      <c r="L848" s="12">
        <f t="shared" si="60"/>
        <v>0</v>
      </c>
      <c r="M848" s="4">
        <f t="shared" si="61"/>
        <v>0</v>
      </c>
      <c r="N848" s="4">
        <f t="shared" si="62"/>
        <v>0</v>
      </c>
      <c r="O848" s="13">
        <f t="shared" si="63"/>
        <v>0</v>
      </c>
    </row>
    <row r="849" spans="2:15">
      <c r="B849" s="12">
        <v>8</v>
      </c>
      <c r="C849" s="4" t="s">
        <v>151</v>
      </c>
      <c r="D849" s="4" t="s">
        <v>149</v>
      </c>
      <c r="E849" s="4">
        <v>1</v>
      </c>
      <c r="F849" s="4">
        <v>11</v>
      </c>
      <c r="G849" s="4">
        <v>8</v>
      </c>
      <c r="H849" s="115"/>
      <c r="I849" s="115"/>
      <c r="J849" s="115"/>
      <c r="K849" s="115">
        <v>0</v>
      </c>
      <c r="L849" s="12">
        <f t="shared" si="60"/>
        <v>0</v>
      </c>
      <c r="M849" s="4">
        <f t="shared" si="61"/>
        <v>0</v>
      </c>
      <c r="N849" s="4">
        <f t="shared" si="62"/>
        <v>0</v>
      </c>
      <c r="O849" s="13">
        <f t="shared" si="63"/>
        <v>0</v>
      </c>
    </row>
    <row r="850" spans="2:15">
      <c r="B850" s="12">
        <v>8</v>
      </c>
      <c r="C850" s="4" t="s">
        <v>151</v>
      </c>
      <c r="D850" s="4" t="s">
        <v>149</v>
      </c>
      <c r="E850" s="4">
        <v>1</v>
      </c>
      <c r="F850" s="4">
        <v>11</v>
      </c>
      <c r="G850" s="4">
        <v>9</v>
      </c>
      <c r="H850" s="115"/>
      <c r="I850" s="115"/>
      <c r="J850" s="115"/>
      <c r="K850" s="115">
        <v>0</v>
      </c>
      <c r="L850" s="12">
        <f t="shared" si="60"/>
        <v>0</v>
      </c>
      <c r="M850" s="4">
        <f t="shared" si="61"/>
        <v>0</v>
      </c>
      <c r="N850" s="4">
        <f t="shared" si="62"/>
        <v>0</v>
      </c>
      <c r="O850" s="13">
        <f t="shared" si="63"/>
        <v>0</v>
      </c>
    </row>
    <row r="851" spans="2:15" ht="13.8" thickBot="1">
      <c r="B851" s="14">
        <v>8</v>
      </c>
      <c r="C851" s="15" t="s">
        <v>151</v>
      </c>
      <c r="D851" s="15" t="s">
        <v>149</v>
      </c>
      <c r="E851" s="15">
        <v>1</v>
      </c>
      <c r="F851" s="15">
        <v>11</v>
      </c>
      <c r="G851" s="15">
        <v>10</v>
      </c>
      <c r="H851" s="121"/>
      <c r="I851" s="121"/>
      <c r="J851" s="121"/>
      <c r="K851" s="121">
        <v>0</v>
      </c>
      <c r="L851" s="14">
        <f t="shared" si="60"/>
        <v>0</v>
      </c>
      <c r="M851" s="15">
        <f t="shared" si="61"/>
        <v>0</v>
      </c>
      <c r="N851" s="15">
        <f t="shared" si="62"/>
        <v>0</v>
      </c>
      <c r="O851" s="16">
        <f t="shared" si="63"/>
        <v>0</v>
      </c>
    </row>
    <row r="852" spans="2:15">
      <c r="B852" s="9">
        <v>8</v>
      </c>
      <c r="C852" s="10" t="s">
        <v>151</v>
      </c>
      <c r="D852" s="10" t="s">
        <v>154</v>
      </c>
      <c r="E852" s="93">
        <v>2</v>
      </c>
      <c r="F852" s="93">
        <v>1</v>
      </c>
      <c r="G852" s="10">
        <v>1</v>
      </c>
      <c r="H852" s="120">
        <v>3.3150000000000261</v>
      </c>
      <c r="I852" s="120">
        <v>0.48299999999998988</v>
      </c>
      <c r="J852" s="120">
        <v>2.7139999999999986</v>
      </c>
      <c r="K852" s="120">
        <v>6.5120000000000147</v>
      </c>
      <c r="L852" s="9">
        <f t="shared" si="60"/>
        <v>0.63498080005123103</v>
      </c>
      <c r="M852" s="10">
        <f t="shared" si="61"/>
        <v>0.17114115102837907</v>
      </c>
      <c r="N852" s="10">
        <f t="shared" si="62"/>
        <v>0.5698418994037614</v>
      </c>
      <c r="O852" s="11">
        <f t="shared" si="63"/>
        <v>0.87575557925805536</v>
      </c>
    </row>
    <row r="853" spans="2:15">
      <c r="B853" s="12">
        <v>8</v>
      </c>
      <c r="C853" s="4" t="s">
        <v>151</v>
      </c>
      <c r="D853" s="4" t="s">
        <v>154</v>
      </c>
      <c r="E853" s="4">
        <v>2</v>
      </c>
      <c r="F853" s="4">
        <v>1</v>
      </c>
      <c r="G853" s="4">
        <v>2</v>
      </c>
      <c r="H853" s="115">
        <v>1.3499999999999943</v>
      </c>
      <c r="I853" s="115">
        <v>9.9999999999994316E-2</v>
      </c>
      <c r="J853" s="115">
        <v>0.78300000000000125</v>
      </c>
      <c r="K853" s="115">
        <v>2.2329999999999899</v>
      </c>
      <c r="L853" s="12">
        <f t="shared" si="60"/>
        <v>0.37106786227173522</v>
      </c>
      <c r="M853" s="4">
        <f t="shared" si="61"/>
        <v>4.1392685158222794E-2</v>
      </c>
      <c r="N853" s="4">
        <f t="shared" si="62"/>
        <v>0.25115134317535492</v>
      </c>
      <c r="O853" s="13">
        <f t="shared" si="63"/>
        <v>0.50960570461155474</v>
      </c>
    </row>
    <row r="854" spans="2:15">
      <c r="B854" s="12">
        <v>8</v>
      </c>
      <c r="C854" s="4" t="s">
        <v>151</v>
      </c>
      <c r="D854" s="4" t="s">
        <v>154</v>
      </c>
      <c r="E854" s="4">
        <v>2</v>
      </c>
      <c r="F854" s="4">
        <v>1</v>
      </c>
      <c r="G854" s="4">
        <v>3</v>
      </c>
      <c r="H854" s="115">
        <v>2.2339999999999947</v>
      </c>
      <c r="I854" s="115"/>
      <c r="J854" s="115"/>
      <c r="K854" s="115">
        <v>2.2339999999999947</v>
      </c>
      <c r="L854" s="12">
        <f t="shared" si="60"/>
        <v>0.50974001557038162</v>
      </c>
      <c r="M854" s="4">
        <f t="shared" si="61"/>
        <v>0</v>
      </c>
      <c r="N854" s="4">
        <f t="shared" si="62"/>
        <v>0</v>
      </c>
      <c r="O854" s="13">
        <f t="shared" si="63"/>
        <v>0.50974001557038162</v>
      </c>
    </row>
    <row r="855" spans="2:15">
      <c r="B855" s="12">
        <v>8</v>
      </c>
      <c r="C855" s="4" t="s">
        <v>151</v>
      </c>
      <c r="D855" s="4" t="s">
        <v>154</v>
      </c>
      <c r="E855" s="4">
        <v>2</v>
      </c>
      <c r="F855" s="4">
        <v>1</v>
      </c>
      <c r="G855" s="4">
        <v>4</v>
      </c>
      <c r="H855" s="115">
        <v>0.10000000000000853</v>
      </c>
      <c r="I855" s="115">
        <v>0.35000000000000853</v>
      </c>
      <c r="J855" s="115"/>
      <c r="K855" s="115">
        <v>0.45000000000001705</v>
      </c>
      <c r="L855" s="12">
        <f t="shared" si="60"/>
        <v>4.1392685158228408E-2</v>
      </c>
      <c r="M855" s="4">
        <f t="shared" si="61"/>
        <v>0.13033376849500886</v>
      </c>
      <c r="N855" s="4">
        <f t="shared" si="62"/>
        <v>0</v>
      </c>
      <c r="O855" s="13">
        <f t="shared" si="63"/>
        <v>0.16136800223497999</v>
      </c>
    </row>
    <row r="856" spans="2:15">
      <c r="B856" s="12">
        <v>8</v>
      </c>
      <c r="C856" s="4" t="s">
        <v>151</v>
      </c>
      <c r="D856" s="4" t="s">
        <v>154</v>
      </c>
      <c r="E856" s="4">
        <v>2</v>
      </c>
      <c r="F856" s="4">
        <v>1</v>
      </c>
      <c r="G856" s="4">
        <v>5</v>
      </c>
      <c r="H856" s="115"/>
      <c r="I856" s="115"/>
      <c r="J856" s="115"/>
      <c r="K856" s="115">
        <v>0</v>
      </c>
      <c r="L856" s="12">
        <f t="shared" si="60"/>
        <v>0</v>
      </c>
      <c r="M856" s="4">
        <f t="shared" si="61"/>
        <v>0</v>
      </c>
      <c r="N856" s="4">
        <f t="shared" si="62"/>
        <v>0</v>
      </c>
      <c r="O856" s="13">
        <f t="shared" si="63"/>
        <v>0</v>
      </c>
    </row>
    <row r="857" spans="2:15">
      <c r="B857" s="12">
        <v>8</v>
      </c>
      <c r="C857" s="4" t="s">
        <v>151</v>
      </c>
      <c r="D857" s="4" t="s">
        <v>154</v>
      </c>
      <c r="E857" s="4">
        <v>2</v>
      </c>
      <c r="F857" s="4">
        <v>1</v>
      </c>
      <c r="G857" s="4">
        <v>6</v>
      </c>
      <c r="H857" s="115"/>
      <c r="I857" s="115"/>
      <c r="J857" s="115"/>
      <c r="K857" s="115">
        <v>0</v>
      </c>
      <c r="L857" s="12">
        <f t="shared" si="60"/>
        <v>0</v>
      </c>
      <c r="M857" s="4">
        <f t="shared" si="61"/>
        <v>0</v>
      </c>
      <c r="N857" s="4">
        <f t="shared" si="62"/>
        <v>0</v>
      </c>
      <c r="O857" s="13">
        <f t="shared" si="63"/>
        <v>0</v>
      </c>
    </row>
    <row r="858" spans="2:15">
      <c r="B858" s="12">
        <v>8</v>
      </c>
      <c r="C858" s="4" t="s">
        <v>151</v>
      </c>
      <c r="D858" s="4" t="s">
        <v>154</v>
      </c>
      <c r="E858" s="4">
        <v>2</v>
      </c>
      <c r="F858" s="4">
        <v>1</v>
      </c>
      <c r="G858" s="4">
        <v>7</v>
      </c>
      <c r="H858" s="115"/>
      <c r="I858" s="115"/>
      <c r="J858" s="115"/>
      <c r="K858" s="115">
        <v>0</v>
      </c>
      <c r="L858" s="12">
        <f t="shared" si="60"/>
        <v>0</v>
      </c>
      <c r="M858" s="4">
        <f t="shared" si="61"/>
        <v>0</v>
      </c>
      <c r="N858" s="4">
        <f t="shared" si="62"/>
        <v>0</v>
      </c>
      <c r="O858" s="13">
        <f t="shared" si="63"/>
        <v>0</v>
      </c>
    </row>
    <row r="859" spans="2:15">
      <c r="B859" s="12">
        <v>8</v>
      </c>
      <c r="C859" s="4" t="s">
        <v>151</v>
      </c>
      <c r="D859" s="4" t="s">
        <v>154</v>
      </c>
      <c r="E859" s="4">
        <v>2</v>
      </c>
      <c r="F859" s="4">
        <v>1</v>
      </c>
      <c r="G859" s="4">
        <v>8</v>
      </c>
      <c r="H859" s="115"/>
      <c r="I859" s="115"/>
      <c r="J859" s="115"/>
      <c r="K859" s="115">
        <v>0</v>
      </c>
      <c r="L859" s="12">
        <f t="shared" si="60"/>
        <v>0</v>
      </c>
      <c r="M859" s="4">
        <f t="shared" si="61"/>
        <v>0</v>
      </c>
      <c r="N859" s="4">
        <f t="shared" si="62"/>
        <v>0</v>
      </c>
      <c r="O859" s="13">
        <f t="shared" si="63"/>
        <v>0</v>
      </c>
    </row>
    <row r="860" spans="2:15">
      <c r="B860" s="12">
        <v>8</v>
      </c>
      <c r="C860" s="4" t="s">
        <v>151</v>
      </c>
      <c r="D860" s="4" t="s">
        <v>154</v>
      </c>
      <c r="E860" s="4">
        <v>2</v>
      </c>
      <c r="F860" s="4">
        <v>1</v>
      </c>
      <c r="G860" s="4">
        <v>9</v>
      </c>
      <c r="H860" s="115"/>
      <c r="I860" s="115"/>
      <c r="J860" s="115"/>
      <c r="K860" s="115">
        <v>0</v>
      </c>
      <c r="L860" s="12">
        <f t="shared" si="60"/>
        <v>0</v>
      </c>
      <c r="M860" s="4">
        <f t="shared" si="61"/>
        <v>0</v>
      </c>
      <c r="N860" s="4">
        <f t="shared" si="62"/>
        <v>0</v>
      </c>
      <c r="O860" s="13">
        <f t="shared" si="63"/>
        <v>0</v>
      </c>
    </row>
    <row r="861" spans="2:15" ht="13.8" thickBot="1">
      <c r="B861" s="14">
        <v>8</v>
      </c>
      <c r="C861" s="15" t="s">
        <v>151</v>
      </c>
      <c r="D861" s="15" t="s">
        <v>154</v>
      </c>
      <c r="E861" s="15">
        <v>2</v>
      </c>
      <c r="F861" s="15">
        <v>1</v>
      </c>
      <c r="G861" s="15">
        <v>10</v>
      </c>
      <c r="H861" s="121"/>
      <c r="I861" s="121"/>
      <c r="J861" s="121"/>
      <c r="K861" s="121">
        <v>0</v>
      </c>
      <c r="L861" s="14">
        <f t="shared" si="60"/>
        <v>0</v>
      </c>
      <c r="M861" s="15">
        <f t="shared" si="61"/>
        <v>0</v>
      </c>
      <c r="N861" s="15">
        <f t="shared" si="62"/>
        <v>0</v>
      </c>
      <c r="O861" s="16">
        <f t="shared" si="63"/>
        <v>0</v>
      </c>
    </row>
    <row r="862" spans="2:15">
      <c r="B862" s="9">
        <v>8</v>
      </c>
      <c r="C862" s="10" t="s">
        <v>151</v>
      </c>
      <c r="D862" s="10" t="s">
        <v>149</v>
      </c>
      <c r="E862" s="93">
        <v>3</v>
      </c>
      <c r="F862" s="93">
        <v>9</v>
      </c>
      <c r="G862" s="10">
        <v>1</v>
      </c>
      <c r="H862" s="120"/>
      <c r="I862" s="120">
        <v>0.21699999999998454</v>
      </c>
      <c r="J862" s="120">
        <v>0.83199999999999363</v>
      </c>
      <c r="K862" s="120">
        <v>1.0489999999999782</v>
      </c>
      <c r="L862" s="9">
        <f t="shared" si="60"/>
        <v>0</v>
      </c>
      <c r="M862" s="10">
        <f t="shared" si="61"/>
        <v>8.5290578230059477E-2</v>
      </c>
      <c r="N862" s="10">
        <f t="shared" si="62"/>
        <v>0.26292546933183009</v>
      </c>
      <c r="O862" s="11">
        <f t="shared" si="63"/>
        <v>0.31154195840119037</v>
      </c>
    </row>
    <row r="863" spans="2:15">
      <c r="B863" s="12">
        <v>8</v>
      </c>
      <c r="C863" s="4" t="s">
        <v>151</v>
      </c>
      <c r="D863" s="4" t="s">
        <v>149</v>
      </c>
      <c r="E863" s="4">
        <v>3</v>
      </c>
      <c r="F863" s="4">
        <v>9</v>
      </c>
      <c r="G863" s="4">
        <v>2</v>
      </c>
      <c r="H863" s="115">
        <v>0.25</v>
      </c>
      <c r="I863" s="115">
        <v>0.14999999999997726</v>
      </c>
      <c r="J863" s="115">
        <v>1.75</v>
      </c>
      <c r="K863" s="115">
        <v>2.1499999999999773</v>
      </c>
      <c r="L863" s="12">
        <f t="shared" si="60"/>
        <v>9.691001300805642E-2</v>
      </c>
      <c r="M863" s="4">
        <f t="shared" si="61"/>
        <v>6.0697840353603094E-2</v>
      </c>
      <c r="N863" s="4">
        <f t="shared" si="62"/>
        <v>0.43933269383026263</v>
      </c>
      <c r="O863" s="13">
        <f t="shared" si="63"/>
        <v>0.49831055378959738</v>
      </c>
    </row>
    <row r="864" spans="2:15">
      <c r="B864" s="12">
        <v>8</v>
      </c>
      <c r="C864" s="4" t="s">
        <v>151</v>
      </c>
      <c r="D864" s="4" t="s">
        <v>149</v>
      </c>
      <c r="E864" s="4">
        <v>3</v>
      </c>
      <c r="F864" s="4">
        <v>9</v>
      </c>
      <c r="G864" s="4">
        <v>3</v>
      </c>
      <c r="H864" s="115"/>
      <c r="I864" s="115">
        <v>0.61700000000001864</v>
      </c>
      <c r="J864" s="115">
        <v>3.0160000000001332</v>
      </c>
      <c r="K864" s="115">
        <v>3.6330000000001519</v>
      </c>
      <c r="L864" s="12">
        <f t="shared" si="60"/>
        <v>0</v>
      </c>
      <c r="M864" s="4">
        <f t="shared" si="61"/>
        <v>0.20871001990640614</v>
      </c>
      <c r="N864" s="4">
        <f t="shared" si="62"/>
        <v>0.60379370413697731</v>
      </c>
      <c r="O864" s="13">
        <f t="shared" si="63"/>
        <v>0.6658623002031695</v>
      </c>
    </row>
    <row r="865" spans="2:15">
      <c r="B865" s="12">
        <v>8</v>
      </c>
      <c r="C865" s="4" t="s">
        <v>151</v>
      </c>
      <c r="D865" s="4" t="s">
        <v>149</v>
      </c>
      <c r="E865" s="4">
        <v>3</v>
      </c>
      <c r="F865" s="4">
        <v>9</v>
      </c>
      <c r="G865" s="4">
        <v>4</v>
      </c>
      <c r="H865" s="115">
        <v>0.16599999999999682</v>
      </c>
      <c r="I865" s="115">
        <v>0.10000000000002274</v>
      </c>
      <c r="J865" s="115">
        <v>0.10000000000002274</v>
      </c>
      <c r="K865" s="115">
        <v>0.36600000000004229</v>
      </c>
      <c r="L865" s="12">
        <f t="shared" si="60"/>
        <v>6.6698550422994093E-2</v>
      </c>
      <c r="M865" s="4">
        <f t="shared" si="61"/>
        <v>4.1392685158234015E-2</v>
      </c>
      <c r="N865" s="4">
        <f t="shared" si="62"/>
        <v>4.1392685158234015E-2</v>
      </c>
      <c r="O865" s="13">
        <f t="shared" si="63"/>
        <v>0.1354506993455272</v>
      </c>
    </row>
    <row r="866" spans="2:15">
      <c r="B866" s="12">
        <v>8</v>
      </c>
      <c r="C866" s="4" t="s">
        <v>151</v>
      </c>
      <c r="D866" s="4" t="s">
        <v>149</v>
      </c>
      <c r="E866" s="4">
        <v>3</v>
      </c>
      <c r="F866" s="4">
        <v>9</v>
      </c>
      <c r="G866" s="4">
        <v>5</v>
      </c>
      <c r="H866" s="115"/>
      <c r="I866" s="115"/>
      <c r="J866" s="115"/>
      <c r="K866" s="115">
        <v>0</v>
      </c>
      <c r="L866" s="12">
        <f t="shared" si="60"/>
        <v>0</v>
      </c>
      <c r="M866" s="4">
        <f t="shared" si="61"/>
        <v>0</v>
      </c>
      <c r="N866" s="4">
        <f t="shared" si="62"/>
        <v>0</v>
      </c>
      <c r="O866" s="13">
        <f t="shared" si="63"/>
        <v>0</v>
      </c>
    </row>
    <row r="867" spans="2:15">
      <c r="B867" s="12">
        <v>8</v>
      </c>
      <c r="C867" s="4" t="s">
        <v>151</v>
      </c>
      <c r="D867" s="4" t="s">
        <v>149</v>
      </c>
      <c r="E867" s="4">
        <v>3</v>
      </c>
      <c r="F867" s="4">
        <v>9</v>
      </c>
      <c r="G867" s="4">
        <v>6</v>
      </c>
      <c r="H867" s="115"/>
      <c r="I867" s="115"/>
      <c r="J867" s="115"/>
      <c r="K867" s="115">
        <v>0</v>
      </c>
      <c r="L867" s="12">
        <f t="shared" si="60"/>
        <v>0</v>
      </c>
      <c r="M867" s="4">
        <f t="shared" si="61"/>
        <v>0</v>
      </c>
      <c r="N867" s="4">
        <f t="shared" si="62"/>
        <v>0</v>
      </c>
      <c r="O867" s="13">
        <f t="shared" si="63"/>
        <v>0</v>
      </c>
    </row>
    <row r="868" spans="2:15">
      <c r="B868" s="12">
        <v>8</v>
      </c>
      <c r="C868" s="4" t="s">
        <v>151</v>
      </c>
      <c r="D868" s="4" t="s">
        <v>149</v>
      </c>
      <c r="E868" s="4">
        <v>3</v>
      </c>
      <c r="F868" s="4">
        <v>9</v>
      </c>
      <c r="G868" s="4">
        <v>7</v>
      </c>
      <c r="H868" s="115"/>
      <c r="I868" s="115"/>
      <c r="J868" s="115"/>
      <c r="K868" s="115">
        <v>0</v>
      </c>
      <c r="L868" s="12">
        <f t="shared" si="60"/>
        <v>0</v>
      </c>
      <c r="M868" s="4">
        <f t="shared" si="61"/>
        <v>0</v>
      </c>
      <c r="N868" s="4">
        <f t="shared" si="62"/>
        <v>0</v>
      </c>
      <c r="O868" s="13">
        <f t="shared" si="63"/>
        <v>0</v>
      </c>
    </row>
    <row r="869" spans="2:15">
      <c r="B869" s="12">
        <v>8</v>
      </c>
      <c r="C869" s="4" t="s">
        <v>151</v>
      </c>
      <c r="D869" s="4" t="s">
        <v>149</v>
      </c>
      <c r="E869" s="4">
        <v>3</v>
      </c>
      <c r="F869" s="4">
        <v>9</v>
      </c>
      <c r="G869" s="4">
        <v>8</v>
      </c>
      <c r="H869" s="115"/>
      <c r="I869" s="115"/>
      <c r="J869" s="115"/>
      <c r="K869" s="115">
        <v>0</v>
      </c>
      <c r="L869" s="12">
        <f t="shared" si="60"/>
        <v>0</v>
      </c>
      <c r="M869" s="4">
        <f t="shared" si="61"/>
        <v>0</v>
      </c>
      <c r="N869" s="4">
        <f t="shared" si="62"/>
        <v>0</v>
      </c>
      <c r="O869" s="13">
        <f t="shared" si="63"/>
        <v>0</v>
      </c>
    </row>
    <row r="870" spans="2:15">
      <c r="B870" s="12">
        <v>8</v>
      </c>
      <c r="C870" s="4" t="s">
        <v>151</v>
      </c>
      <c r="D870" s="4" t="s">
        <v>149</v>
      </c>
      <c r="E870" s="4">
        <v>3</v>
      </c>
      <c r="F870" s="4">
        <v>9</v>
      </c>
      <c r="G870" s="4">
        <v>9</v>
      </c>
      <c r="H870" s="115"/>
      <c r="I870" s="115"/>
      <c r="J870" s="115"/>
      <c r="K870" s="115">
        <v>0</v>
      </c>
      <c r="L870" s="12">
        <f t="shared" si="60"/>
        <v>0</v>
      </c>
      <c r="M870" s="4">
        <f t="shared" si="61"/>
        <v>0</v>
      </c>
      <c r="N870" s="4">
        <f t="shared" si="62"/>
        <v>0</v>
      </c>
      <c r="O870" s="13">
        <f t="shared" si="63"/>
        <v>0</v>
      </c>
    </row>
    <row r="871" spans="2:15" ht="13.8" thickBot="1">
      <c r="B871" s="14">
        <v>8</v>
      </c>
      <c r="C871" s="15" t="s">
        <v>151</v>
      </c>
      <c r="D871" s="15" t="s">
        <v>149</v>
      </c>
      <c r="E871" s="15">
        <v>3</v>
      </c>
      <c r="F871" s="15">
        <v>9</v>
      </c>
      <c r="G871" s="15">
        <v>10</v>
      </c>
      <c r="H871" s="121"/>
      <c r="I871" s="121"/>
      <c r="J871" s="121"/>
      <c r="K871" s="121">
        <v>0</v>
      </c>
      <c r="L871" s="14">
        <f t="shared" ref="L871:L934" si="64">LOG10(H871+1)</f>
        <v>0</v>
      </c>
      <c r="M871" s="15">
        <f t="shared" ref="M871:M934" si="65">LOG10(I871+1)</f>
        <v>0</v>
      </c>
      <c r="N871" s="15">
        <f t="shared" ref="N871:N934" si="66">LOG10(J871+1)</f>
        <v>0</v>
      </c>
      <c r="O871" s="16">
        <f t="shared" ref="O871:O934" si="67">LOG10(K871+1)</f>
        <v>0</v>
      </c>
    </row>
    <row r="872" spans="2:15">
      <c r="B872" s="9">
        <v>8</v>
      </c>
      <c r="C872" s="10" t="s">
        <v>151</v>
      </c>
      <c r="D872" s="10" t="s">
        <v>150</v>
      </c>
      <c r="E872" s="93">
        <v>4</v>
      </c>
      <c r="F872" s="93">
        <v>5</v>
      </c>
      <c r="G872" s="10">
        <v>1</v>
      </c>
      <c r="H872" s="120">
        <v>2.3489999999999895</v>
      </c>
      <c r="I872" s="120">
        <v>0.19999999999998863</v>
      </c>
      <c r="J872" s="120">
        <v>1.0090000000000146</v>
      </c>
      <c r="K872" s="120">
        <v>3.5579999999999927</v>
      </c>
      <c r="L872" s="9">
        <f t="shared" si="64"/>
        <v>0.52491514753986546</v>
      </c>
      <c r="M872" s="10">
        <f t="shared" si="65"/>
        <v>7.918124604762071E-2</v>
      </c>
      <c r="N872" s="10">
        <f t="shared" si="66"/>
        <v>0.3029799367482523</v>
      </c>
      <c r="O872" s="11">
        <f t="shared" si="67"/>
        <v>0.65877432084435605</v>
      </c>
    </row>
    <row r="873" spans="2:15">
      <c r="B873" s="12">
        <v>8</v>
      </c>
      <c r="C873" s="4" t="s">
        <v>151</v>
      </c>
      <c r="D873" s="4" t="s">
        <v>150</v>
      </c>
      <c r="E873" s="4">
        <v>4</v>
      </c>
      <c r="F873" s="4">
        <v>5</v>
      </c>
      <c r="G873" s="4">
        <v>2</v>
      </c>
      <c r="H873" s="115">
        <v>1.2160000000000082</v>
      </c>
      <c r="I873" s="115">
        <v>0.80100000000004457</v>
      </c>
      <c r="J873" s="115">
        <v>2.6369999999999436</v>
      </c>
      <c r="K873" s="115">
        <v>4.6539999999999964</v>
      </c>
      <c r="L873" s="12">
        <f t="shared" si="64"/>
        <v>0.34556975605639373</v>
      </c>
      <c r="M873" s="4">
        <f t="shared" si="65"/>
        <v>0.25551371281954405</v>
      </c>
      <c r="N873" s="4">
        <f t="shared" si="66"/>
        <v>0.56074330105470516</v>
      </c>
      <c r="O873" s="13">
        <f t="shared" si="67"/>
        <v>0.75235580415350045</v>
      </c>
    </row>
    <row r="874" spans="2:15">
      <c r="B874" s="12">
        <v>8</v>
      </c>
      <c r="C874" s="4" t="s">
        <v>151</v>
      </c>
      <c r="D874" s="4" t="s">
        <v>150</v>
      </c>
      <c r="E874" s="4">
        <v>4</v>
      </c>
      <c r="F874" s="4">
        <v>5</v>
      </c>
      <c r="G874" s="4">
        <v>3</v>
      </c>
      <c r="H874" s="115">
        <v>3.6640000000000441</v>
      </c>
      <c r="I874" s="115">
        <v>0.89999999999997726</v>
      </c>
      <c r="J874" s="115">
        <v>0.31799999999998363</v>
      </c>
      <c r="K874" s="115">
        <v>4.882000000000005</v>
      </c>
      <c r="L874" s="12">
        <f t="shared" si="64"/>
        <v>0.66875854175096183</v>
      </c>
      <c r="M874" s="4">
        <f t="shared" si="65"/>
        <v>0.27875360095282375</v>
      </c>
      <c r="N874" s="4">
        <f t="shared" si="66"/>
        <v>0.11991541025798566</v>
      </c>
      <c r="O874" s="13">
        <f t="shared" si="67"/>
        <v>0.76952502017105096</v>
      </c>
    </row>
    <row r="875" spans="2:15">
      <c r="B875" s="12">
        <v>8</v>
      </c>
      <c r="C875" s="4" t="s">
        <v>151</v>
      </c>
      <c r="D875" s="4" t="s">
        <v>150</v>
      </c>
      <c r="E875" s="4">
        <v>4</v>
      </c>
      <c r="F875" s="4">
        <v>5</v>
      </c>
      <c r="G875" s="4">
        <v>4</v>
      </c>
      <c r="H875" s="115"/>
      <c r="I875" s="115"/>
      <c r="J875" s="115"/>
      <c r="K875" s="115">
        <v>0</v>
      </c>
      <c r="L875" s="12">
        <f t="shared" si="64"/>
        <v>0</v>
      </c>
      <c r="M875" s="4">
        <f t="shared" si="65"/>
        <v>0</v>
      </c>
      <c r="N875" s="4">
        <f t="shared" si="66"/>
        <v>0</v>
      </c>
      <c r="O875" s="13">
        <f t="shared" si="67"/>
        <v>0</v>
      </c>
    </row>
    <row r="876" spans="2:15">
      <c r="B876" s="12">
        <v>8</v>
      </c>
      <c r="C876" s="4" t="s">
        <v>151</v>
      </c>
      <c r="D876" s="4" t="s">
        <v>150</v>
      </c>
      <c r="E876" s="4">
        <v>4</v>
      </c>
      <c r="F876" s="4">
        <v>5</v>
      </c>
      <c r="G876" s="4">
        <v>5</v>
      </c>
      <c r="H876" s="115"/>
      <c r="I876" s="115"/>
      <c r="J876" s="115"/>
      <c r="K876" s="115">
        <v>0</v>
      </c>
      <c r="L876" s="12">
        <f t="shared" si="64"/>
        <v>0</v>
      </c>
      <c r="M876" s="4">
        <f t="shared" si="65"/>
        <v>0</v>
      </c>
      <c r="N876" s="4">
        <f t="shared" si="66"/>
        <v>0</v>
      </c>
      <c r="O876" s="13">
        <f t="shared" si="67"/>
        <v>0</v>
      </c>
    </row>
    <row r="877" spans="2:15">
      <c r="B877" s="12">
        <v>8</v>
      </c>
      <c r="C877" s="4" t="s">
        <v>151</v>
      </c>
      <c r="D877" s="4" t="s">
        <v>150</v>
      </c>
      <c r="E877" s="4">
        <v>4</v>
      </c>
      <c r="F877" s="4">
        <v>5</v>
      </c>
      <c r="G877" s="4">
        <v>6</v>
      </c>
      <c r="H877" s="115"/>
      <c r="I877" s="115"/>
      <c r="J877" s="115"/>
      <c r="K877" s="115">
        <v>0</v>
      </c>
      <c r="L877" s="12">
        <f t="shared" si="64"/>
        <v>0</v>
      </c>
      <c r="M877" s="4">
        <f t="shared" si="65"/>
        <v>0</v>
      </c>
      <c r="N877" s="4">
        <f t="shared" si="66"/>
        <v>0</v>
      </c>
      <c r="O877" s="13">
        <f t="shared" si="67"/>
        <v>0</v>
      </c>
    </row>
    <row r="878" spans="2:15">
      <c r="B878" s="12">
        <v>8</v>
      </c>
      <c r="C878" s="4" t="s">
        <v>151</v>
      </c>
      <c r="D878" s="4" t="s">
        <v>150</v>
      </c>
      <c r="E878" s="4">
        <v>4</v>
      </c>
      <c r="F878" s="4">
        <v>5</v>
      </c>
      <c r="G878" s="4">
        <v>7</v>
      </c>
      <c r="H878" s="115"/>
      <c r="I878" s="115"/>
      <c r="J878" s="115"/>
      <c r="K878" s="115">
        <v>0</v>
      </c>
      <c r="L878" s="12">
        <f t="shared" si="64"/>
        <v>0</v>
      </c>
      <c r="M878" s="4">
        <f t="shared" si="65"/>
        <v>0</v>
      </c>
      <c r="N878" s="4">
        <f t="shared" si="66"/>
        <v>0</v>
      </c>
      <c r="O878" s="13">
        <f t="shared" si="67"/>
        <v>0</v>
      </c>
    </row>
    <row r="879" spans="2:15">
      <c r="B879" s="12">
        <v>8</v>
      </c>
      <c r="C879" s="4" t="s">
        <v>151</v>
      </c>
      <c r="D879" s="4" t="s">
        <v>150</v>
      </c>
      <c r="E879" s="4">
        <v>4</v>
      </c>
      <c r="F879" s="4">
        <v>5</v>
      </c>
      <c r="G879" s="4">
        <v>8</v>
      </c>
      <c r="H879" s="115"/>
      <c r="I879" s="115"/>
      <c r="J879" s="115"/>
      <c r="K879" s="115">
        <v>0</v>
      </c>
      <c r="L879" s="12">
        <f t="shared" si="64"/>
        <v>0</v>
      </c>
      <c r="M879" s="4">
        <f t="shared" si="65"/>
        <v>0</v>
      </c>
      <c r="N879" s="4">
        <f t="shared" si="66"/>
        <v>0</v>
      </c>
      <c r="O879" s="13">
        <f t="shared" si="67"/>
        <v>0</v>
      </c>
    </row>
    <row r="880" spans="2:15">
      <c r="B880" s="12">
        <v>8</v>
      </c>
      <c r="C880" s="4" t="s">
        <v>151</v>
      </c>
      <c r="D880" s="4" t="s">
        <v>150</v>
      </c>
      <c r="E880" s="4">
        <v>4</v>
      </c>
      <c r="F880" s="4">
        <v>5</v>
      </c>
      <c r="G880" s="4">
        <v>9</v>
      </c>
      <c r="H880" s="115"/>
      <c r="I880" s="115"/>
      <c r="J880" s="115"/>
      <c r="K880" s="115">
        <v>0</v>
      </c>
      <c r="L880" s="12">
        <f t="shared" si="64"/>
        <v>0</v>
      </c>
      <c r="M880" s="4">
        <f t="shared" si="65"/>
        <v>0</v>
      </c>
      <c r="N880" s="4">
        <f t="shared" si="66"/>
        <v>0</v>
      </c>
      <c r="O880" s="13">
        <f t="shared" si="67"/>
        <v>0</v>
      </c>
    </row>
    <row r="881" spans="2:15" ht="13.8" thickBot="1">
      <c r="B881" s="14">
        <v>8</v>
      </c>
      <c r="C881" s="15" t="s">
        <v>151</v>
      </c>
      <c r="D881" s="15" t="s">
        <v>150</v>
      </c>
      <c r="E881" s="15">
        <v>4</v>
      </c>
      <c r="F881" s="15">
        <v>5</v>
      </c>
      <c r="G881" s="15">
        <v>10</v>
      </c>
      <c r="H881" s="121"/>
      <c r="I881" s="121"/>
      <c r="J881" s="121"/>
      <c r="K881" s="121">
        <v>0</v>
      </c>
      <c r="L881" s="14">
        <f t="shared" si="64"/>
        <v>0</v>
      </c>
      <c r="M881" s="15">
        <f t="shared" si="65"/>
        <v>0</v>
      </c>
      <c r="N881" s="15">
        <f t="shared" si="66"/>
        <v>0</v>
      </c>
      <c r="O881" s="16">
        <f t="shared" si="67"/>
        <v>0</v>
      </c>
    </row>
    <row r="882" spans="2:15">
      <c r="B882" s="9">
        <v>8</v>
      </c>
      <c r="C882" s="10" t="s">
        <v>151</v>
      </c>
      <c r="D882" s="10" t="s">
        <v>154</v>
      </c>
      <c r="E882" s="93">
        <v>5</v>
      </c>
      <c r="F882" s="93">
        <v>3</v>
      </c>
      <c r="G882" s="10">
        <v>1</v>
      </c>
      <c r="H882" s="120">
        <v>2.9840000000000373</v>
      </c>
      <c r="I882" s="120">
        <v>0.23300000000000409</v>
      </c>
      <c r="J882" s="120">
        <v>1.2340000000000089</v>
      </c>
      <c r="K882" s="120">
        <v>4.4510000000000502</v>
      </c>
      <c r="L882" s="9">
        <f t="shared" si="64"/>
        <v>0.60031932975166513</v>
      </c>
      <c r="M882" s="10">
        <f t="shared" si="65"/>
        <v>9.0963076595733078E-2</v>
      </c>
      <c r="N882" s="10">
        <f t="shared" si="66"/>
        <v>0.349083168779592</v>
      </c>
      <c r="O882" s="11">
        <f t="shared" si="67"/>
        <v>0.73647618202770071</v>
      </c>
    </row>
    <row r="883" spans="2:15">
      <c r="B883" s="12">
        <v>8</v>
      </c>
      <c r="C883" s="4" t="s">
        <v>151</v>
      </c>
      <c r="D883" s="4" t="s">
        <v>154</v>
      </c>
      <c r="E883" s="4">
        <v>5</v>
      </c>
      <c r="F883" s="4">
        <v>3</v>
      </c>
      <c r="G883" s="4">
        <v>2</v>
      </c>
      <c r="H883" s="115">
        <v>3.4319999999999879</v>
      </c>
      <c r="I883" s="115"/>
      <c r="J883" s="115"/>
      <c r="K883" s="115">
        <v>3.4319999999999879</v>
      </c>
      <c r="L883" s="12">
        <f t="shared" si="64"/>
        <v>0.64659975172037221</v>
      </c>
      <c r="M883" s="4">
        <f t="shared" si="65"/>
        <v>0</v>
      </c>
      <c r="N883" s="4">
        <f t="shared" si="66"/>
        <v>0</v>
      </c>
      <c r="O883" s="13">
        <f t="shared" si="67"/>
        <v>0.64659975172037221</v>
      </c>
    </row>
    <row r="884" spans="2:15">
      <c r="B884" s="12">
        <v>8</v>
      </c>
      <c r="C884" s="4" t="s">
        <v>151</v>
      </c>
      <c r="D884" s="4" t="s">
        <v>154</v>
      </c>
      <c r="E884" s="4">
        <v>5</v>
      </c>
      <c r="F884" s="4">
        <v>3</v>
      </c>
      <c r="G884" s="4">
        <v>3</v>
      </c>
      <c r="H884" s="115">
        <v>1.3320000000000221</v>
      </c>
      <c r="I884" s="115">
        <v>0.23400000000000887</v>
      </c>
      <c r="J884" s="115"/>
      <c r="K884" s="115">
        <v>1.5660000000000309</v>
      </c>
      <c r="L884" s="12">
        <f t="shared" si="64"/>
        <v>0.36772854608698058</v>
      </c>
      <c r="M884" s="4">
        <f t="shared" si="65"/>
        <v>9.1315159697225992E-2</v>
      </c>
      <c r="N884" s="4">
        <f t="shared" si="66"/>
        <v>0</v>
      </c>
      <c r="O884" s="13">
        <f t="shared" si="67"/>
        <v>0.40925665203891493</v>
      </c>
    </row>
    <row r="885" spans="2:15">
      <c r="B885" s="12">
        <v>8</v>
      </c>
      <c r="C885" s="4" t="s">
        <v>151</v>
      </c>
      <c r="D885" s="4" t="s">
        <v>154</v>
      </c>
      <c r="E885" s="4">
        <v>5</v>
      </c>
      <c r="F885" s="4">
        <v>3</v>
      </c>
      <c r="G885" s="4">
        <v>4</v>
      </c>
      <c r="H885" s="115">
        <v>0.45000000000001705</v>
      </c>
      <c r="I885" s="115">
        <v>0.66499999999999204</v>
      </c>
      <c r="J885" s="115"/>
      <c r="K885" s="115">
        <v>1.1150000000000091</v>
      </c>
      <c r="L885" s="12">
        <f t="shared" si="64"/>
        <v>0.16136800223497999</v>
      </c>
      <c r="M885" s="4">
        <f t="shared" si="65"/>
        <v>0.2214142378423366</v>
      </c>
      <c r="N885" s="4">
        <f t="shared" si="66"/>
        <v>0</v>
      </c>
      <c r="O885" s="13">
        <f t="shared" si="67"/>
        <v>0.32531037171106303</v>
      </c>
    </row>
    <row r="886" spans="2:15">
      <c r="B886" s="12">
        <v>8</v>
      </c>
      <c r="C886" s="4" t="s">
        <v>151</v>
      </c>
      <c r="D886" s="4" t="s">
        <v>154</v>
      </c>
      <c r="E886" s="4">
        <v>5</v>
      </c>
      <c r="F886" s="4">
        <v>3</v>
      </c>
      <c r="G886" s="4">
        <v>5</v>
      </c>
      <c r="H886" s="115"/>
      <c r="I886" s="115"/>
      <c r="J886" s="115"/>
      <c r="K886" s="115">
        <v>0</v>
      </c>
      <c r="L886" s="12">
        <f t="shared" si="64"/>
        <v>0</v>
      </c>
      <c r="M886" s="4">
        <f t="shared" si="65"/>
        <v>0</v>
      </c>
      <c r="N886" s="4">
        <f t="shared" si="66"/>
        <v>0</v>
      </c>
      <c r="O886" s="13">
        <f t="shared" si="67"/>
        <v>0</v>
      </c>
    </row>
    <row r="887" spans="2:15">
      <c r="B887" s="12">
        <v>8</v>
      </c>
      <c r="C887" s="4" t="s">
        <v>151</v>
      </c>
      <c r="D887" s="4" t="s">
        <v>154</v>
      </c>
      <c r="E887" s="4">
        <v>5</v>
      </c>
      <c r="F887" s="4">
        <v>3</v>
      </c>
      <c r="G887" s="4">
        <v>6</v>
      </c>
      <c r="H887" s="115"/>
      <c r="I887" s="115"/>
      <c r="J887" s="115"/>
      <c r="K887" s="115">
        <v>0</v>
      </c>
      <c r="L887" s="12">
        <f t="shared" si="64"/>
        <v>0</v>
      </c>
      <c r="M887" s="4">
        <f t="shared" si="65"/>
        <v>0</v>
      </c>
      <c r="N887" s="4">
        <f t="shared" si="66"/>
        <v>0</v>
      </c>
      <c r="O887" s="13">
        <f t="shared" si="67"/>
        <v>0</v>
      </c>
    </row>
    <row r="888" spans="2:15">
      <c r="B888" s="12">
        <v>8</v>
      </c>
      <c r="C888" s="4" t="s">
        <v>151</v>
      </c>
      <c r="D888" s="4" t="s">
        <v>154</v>
      </c>
      <c r="E888" s="4">
        <v>5</v>
      </c>
      <c r="F888" s="4">
        <v>3</v>
      </c>
      <c r="G888" s="4">
        <v>7</v>
      </c>
      <c r="H888" s="115"/>
      <c r="I888" s="115"/>
      <c r="J888" s="115"/>
      <c r="K888" s="115">
        <v>0</v>
      </c>
      <c r="L888" s="12">
        <f t="shared" si="64"/>
        <v>0</v>
      </c>
      <c r="M888" s="4">
        <f t="shared" si="65"/>
        <v>0</v>
      </c>
      <c r="N888" s="4">
        <f t="shared" si="66"/>
        <v>0</v>
      </c>
      <c r="O888" s="13">
        <f t="shared" si="67"/>
        <v>0</v>
      </c>
    </row>
    <row r="889" spans="2:15">
      <c r="B889" s="12">
        <v>8</v>
      </c>
      <c r="C889" s="4" t="s">
        <v>151</v>
      </c>
      <c r="D889" s="4" t="s">
        <v>154</v>
      </c>
      <c r="E889" s="4">
        <v>5</v>
      </c>
      <c r="F889" s="4">
        <v>3</v>
      </c>
      <c r="G889" s="4">
        <v>8</v>
      </c>
      <c r="H889" s="115"/>
      <c r="I889" s="115"/>
      <c r="J889" s="115"/>
      <c r="K889" s="115">
        <v>0</v>
      </c>
      <c r="L889" s="12">
        <f t="shared" si="64"/>
        <v>0</v>
      </c>
      <c r="M889" s="4">
        <f t="shared" si="65"/>
        <v>0</v>
      </c>
      <c r="N889" s="4">
        <f t="shared" si="66"/>
        <v>0</v>
      </c>
      <c r="O889" s="13">
        <f t="shared" si="67"/>
        <v>0</v>
      </c>
    </row>
    <row r="890" spans="2:15">
      <c r="B890" s="12">
        <v>8</v>
      </c>
      <c r="C890" s="4" t="s">
        <v>151</v>
      </c>
      <c r="D890" s="4" t="s">
        <v>154</v>
      </c>
      <c r="E890" s="4">
        <v>5</v>
      </c>
      <c r="F890" s="4">
        <v>3</v>
      </c>
      <c r="G890" s="4">
        <v>9</v>
      </c>
      <c r="H890" s="115"/>
      <c r="I890" s="115"/>
      <c r="J890" s="115"/>
      <c r="K890" s="115">
        <v>0</v>
      </c>
      <c r="L890" s="12">
        <f t="shared" si="64"/>
        <v>0</v>
      </c>
      <c r="M890" s="4">
        <f t="shared" si="65"/>
        <v>0</v>
      </c>
      <c r="N890" s="4">
        <f t="shared" si="66"/>
        <v>0</v>
      </c>
      <c r="O890" s="13">
        <f t="shared" si="67"/>
        <v>0</v>
      </c>
    </row>
    <row r="891" spans="2:15" ht="13.8" thickBot="1">
      <c r="B891" s="14">
        <v>8</v>
      </c>
      <c r="C891" s="15" t="s">
        <v>151</v>
      </c>
      <c r="D891" s="15" t="s">
        <v>154</v>
      </c>
      <c r="E891" s="15">
        <v>5</v>
      </c>
      <c r="F891" s="15">
        <v>3</v>
      </c>
      <c r="G891" s="15">
        <v>10</v>
      </c>
      <c r="H891" s="121"/>
      <c r="I891" s="121"/>
      <c r="J891" s="121"/>
      <c r="K891" s="121">
        <v>0</v>
      </c>
      <c r="L891" s="14">
        <f t="shared" si="64"/>
        <v>0</v>
      </c>
      <c r="M891" s="15">
        <f t="shared" si="65"/>
        <v>0</v>
      </c>
      <c r="N891" s="15">
        <f t="shared" si="66"/>
        <v>0</v>
      </c>
      <c r="O891" s="16">
        <f t="shared" si="67"/>
        <v>0</v>
      </c>
    </row>
    <row r="892" spans="2:15">
      <c r="B892" s="9">
        <v>8</v>
      </c>
      <c r="C892" s="10" t="s">
        <v>151</v>
      </c>
      <c r="D892" s="10" t="s">
        <v>150</v>
      </c>
      <c r="E892" s="93">
        <v>6</v>
      </c>
      <c r="F892" s="93">
        <v>7</v>
      </c>
      <c r="G892" s="10">
        <v>1</v>
      </c>
      <c r="H892" s="120">
        <v>3.1820000000000732</v>
      </c>
      <c r="I892" s="120">
        <v>0.88499999999987722</v>
      </c>
      <c r="J892" s="120">
        <v>0.68200000000001637</v>
      </c>
      <c r="K892" s="120">
        <v>4.7489999999999668</v>
      </c>
      <c r="L892" s="9">
        <f t="shared" si="64"/>
        <v>0.62138402848166063</v>
      </c>
      <c r="M892" s="10">
        <f t="shared" si="65"/>
        <v>0.27531135454178335</v>
      </c>
      <c r="N892" s="10">
        <f t="shared" si="66"/>
        <v>0.22582599146189761</v>
      </c>
      <c r="O892" s="11">
        <f t="shared" si="67"/>
        <v>0.75959230864597238</v>
      </c>
    </row>
    <row r="893" spans="2:15">
      <c r="B893" s="12">
        <v>8</v>
      </c>
      <c r="C893" s="4" t="s">
        <v>151</v>
      </c>
      <c r="D893" s="4" t="s">
        <v>150</v>
      </c>
      <c r="E893" s="4">
        <v>6</v>
      </c>
      <c r="F893" s="4">
        <v>7</v>
      </c>
      <c r="G893" s="4">
        <v>2</v>
      </c>
      <c r="H893" s="115">
        <v>1.4510000000000218</v>
      </c>
      <c r="I893" s="115">
        <v>0.48400000000003729</v>
      </c>
      <c r="J893" s="115">
        <v>0.78399999999999181</v>
      </c>
      <c r="K893" s="115">
        <v>2.7190000000000509</v>
      </c>
      <c r="L893" s="12">
        <f t="shared" si="64"/>
        <v>0.38934331125208177</v>
      </c>
      <c r="M893" s="4">
        <f t="shared" si="65"/>
        <v>0.17143390094301919</v>
      </c>
      <c r="N893" s="4">
        <f t="shared" si="66"/>
        <v>0.25139485004010226</v>
      </c>
      <c r="O893" s="13">
        <f t="shared" si="67"/>
        <v>0.57042617835897858</v>
      </c>
    </row>
    <row r="894" spans="2:15">
      <c r="B894" s="12">
        <v>8</v>
      </c>
      <c r="C894" s="4" t="s">
        <v>151</v>
      </c>
      <c r="D894" s="4" t="s">
        <v>150</v>
      </c>
      <c r="E894" s="4">
        <v>6</v>
      </c>
      <c r="F894" s="4">
        <v>7</v>
      </c>
      <c r="G894" s="4">
        <v>3</v>
      </c>
      <c r="H894" s="115">
        <v>0.43299999999993588</v>
      </c>
      <c r="I894" s="115">
        <v>0.13400000000001455</v>
      </c>
      <c r="J894" s="115"/>
      <c r="K894" s="115">
        <v>0.56699999999995043</v>
      </c>
      <c r="L894" s="12">
        <f t="shared" si="64"/>
        <v>0.15624619039732504</v>
      </c>
      <c r="M894" s="4">
        <f t="shared" si="65"/>
        <v>5.4613054556893345E-2</v>
      </c>
      <c r="N894" s="4">
        <f t="shared" si="66"/>
        <v>0</v>
      </c>
      <c r="O894" s="13">
        <f t="shared" si="67"/>
        <v>0.19506899646857639</v>
      </c>
    </row>
    <row r="895" spans="2:15">
      <c r="B895" s="12">
        <v>8</v>
      </c>
      <c r="C895" s="4" t="s">
        <v>151</v>
      </c>
      <c r="D895" s="4" t="s">
        <v>150</v>
      </c>
      <c r="E895" s="4">
        <v>6</v>
      </c>
      <c r="F895" s="4">
        <v>7</v>
      </c>
      <c r="G895" s="4">
        <v>4</v>
      </c>
      <c r="H895" s="115"/>
      <c r="I895" s="115"/>
      <c r="J895" s="115"/>
      <c r="K895" s="115">
        <v>0</v>
      </c>
      <c r="L895" s="12">
        <f t="shared" si="64"/>
        <v>0</v>
      </c>
      <c r="M895" s="4">
        <f t="shared" si="65"/>
        <v>0</v>
      </c>
      <c r="N895" s="4">
        <f t="shared" si="66"/>
        <v>0</v>
      </c>
      <c r="O895" s="13">
        <f t="shared" si="67"/>
        <v>0</v>
      </c>
    </row>
    <row r="896" spans="2:15">
      <c r="B896" s="12">
        <v>8</v>
      </c>
      <c r="C896" s="4" t="s">
        <v>151</v>
      </c>
      <c r="D896" s="4" t="s">
        <v>150</v>
      </c>
      <c r="E896" s="4">
        <v>6</v>
      </c>
      <c r="F896" s="4">
        <v>7</v>
      </c>
      <c r="G896" s="4">
        <v>5</v>
      </c>
      <c r="H896" s="115"/>
      <c r="I896" s="115"/>
      <c r="J896" s="115"/>
      <c r="K896" s="115">
        <v>0</v>
      </c>
      <c r="L896" s="12">
        <f t="shared" si="64"/>
        <v>0</v>
      </c>
      <c r="M896" s="4">
        <f t="shared" si="65"/>
        <v>0</v>
      </c>
      <c r="N896" s="4">
        <f t="shared" si="66"/>
        <v>0</v>
      </c>
      <c r="O896" s="13">
        <f t="shared" si="67"/>
        <v>0</v>
      </c>
    </row>
    <row r="897" spans="2:15">
      <c r="B897" s="12">
        <v>8</v>
      </c>
      <c r="C897" s="4" t="s">
        <v>151</v>
      </c>
      <c r="D897" s="4" t="s">
        <v>150</v>
      </c>
      <c r="E897" s="4">
        <v>6</v>
      </c>
      <c r="F897" s="4">
        <v>7</v>
      </c>
      <c r="G897" s="4">
        <v>6</v>
      </c>
      <c r="H897" s="115"/>
      <c r="I897" s="115"/>
      <c r="J897" s="115"/>
      <c r="K897" s="115">
        <v>0</v>
      </c>
      <c r="L897" s="12">
        <f t="shared" si="64"/>
        <v>0</v>
      </c>
      <c r="M897" s="4">
        <f t="shared" si="65"/>
        <v>0</v>
      </c>
      <c r="N897" s="4">
        <f t="shared" si="66"/>
        <v>0</v>
      </c>
      <c r="O897" s="13">
        <f t="shared" si="67"/>
        <v>0</v>
      </c>
    </row>
    <row r="898" spans="2:15">
      <c r="B898" s="12">
        <v>8</v>
      </c>
      <c r="C898" s="4" t="s">
        <v>151</v>
      </c>
      <c r="D898" s="4" t="s">
        <v>150</v>
      </c>
      <c r="E898" s="4">
        <v>6</v>
      </c>
      <c r="F898" s="4">
        <v>7</v>
      </c>
      <c r="G898" s="4">
        <v>7</v>
      </c>
      <c r="H898" s="115"/>
      <c r="I898" s="115"/>
      <c r="J898" s="115"/>
      <c r="K898" s="115">
        <v>0</v>
      </c>
      <c r="L898" s="12">
        <f t="shared" si="64"/>
        <v>0</v>
      </c>
      <c r="M898" s="4">
        <f t="shared" si="65"/>
        <v>0</v>
      </c>
      <c r="N898" s="4">
        <f t="shared" si="66"/>
        <v>0</v>
      </c>
      <c r="O898" s="13">
        <f t="shared" si="67"/>
        <v>0</v>
      </c>
    </row>
    <row r="899" spans="2:15">
      <c r="B899" s="12">
        <v>8</v>
      </c>
      <c r="C899" s="4" t="s">
        <v>151</v>
      </c>
      <c r="D899" s="4" t="s">
        <v>150</v>
      </c>
      <c r="E899" s="4">
        <v>6</v>
      </c>
      <c r="F899" s="4">
        <v>7</v>
      </c>
      <c r="G899" s="4">
        <v>8</v>
      </c>
      <c r="H899" s="115"/>
      <c r="I899" s="115"/>
      <c r="J899" s="115"/>
      <c r="K899" s="115">
        <v>0</v>
      </c>
      <c r="L899" s="12">
        <f t="shared" si="64"/>
        <v>0</v>
      </c>
      <c r="M899" s="4">
        <f t="shared" si="65"/>
        <v>0</v>
      </c>
      <c r="N899" s="4">
        <f t="shared" si="66"/>
        <v>0</v>
      </c>
      <c r="O899" s="13">
        <f t="shared" si="67"/>
        <v>0</v>
      </c>
    </row>
    <row r="900" spans="2:15">
      <c r="B900" s="12">
        <v>8</v>
      </c>
      <c r="C900" s="4" t="s">
        <v>151</v>
      </c>
      <c r="D900" s="4" t="s">
        <v>150</v>
      </c>
      <c r="E900" s="4">
        <v>6</v>
      </c>
      <c r="F900" s="4">
        <v>7</v>
      </c>
      <c r="G900" s="4">
        <v>9</v>
      </c>
      <c r="H900" s="115"/>
      <c r="I900" s="115"/>
      <c r="J900" s="115"/>
      <c r="K900" s="115">
        <v>0</v>
      </c>
      <c r="L900" s="12">
        <f t="shared" si="64"/>
        <v>0</v>
      </c>
      <c r="M900" s="4">
        <f t="shared" si="65"/>
        <v>0</v>
      </c>
      <c r="N900" s="4">
        <f t="shared" si="66"/>
        <v>0</v>
      </c>
      <c r="O900" s="13">
        <f t="shared" si="67"/>
        <v>0</v>
      </c>
    </row>
    <row r="901" spans="2:15" ht="13.8" thickBot="1">
      <c r="B901" s="14">
        <v>8</v>
      </c>
      <c r="C901" s="15" t="s">
        <v>151</v>
      </c>
      <c r="D901" s="15" t="s">
        <v>150</v>
      </c>
      <c r="E901" s="15">
        <v>6</v>
      </c>
      <c r="F901" s="15">
        <v>7</v>
      </c>
      <c r="G901" s="15">
        <v>10</v>
      </c>
      <c r="H901" s="121"/>
      <c r="I901" s="121"/>
      <c r="J901" s="121"/>
      <c r="K901" s="121">
        <v>0</v>
      </c>
      <c r="L901" s="14">
        <f t="shared" si="64"/>
        <v>0</v>
      </c>
      <c r="M901" s="15">
        <f t="shared" si="65"/>
        <v>0</v>
      </c>
      <c r="N901" s="15">
        <f t="shared" si="66"/>
        <v>0</v>
      </c>
      <c r="O901" s="16">
        <f t="shared" si="67"/>
        <v>0</v>
      </c>
    </row>
    <row r="902" spans="2:15">
      <c r="B902" s="9">
        <v>8</v>
      </c>
      <c r="C902" s="10" t="s">
        <v>152</v>
      </c>
      <c r="D902" s="10" t="s">
        <v>149</v>
      </c>
      <c r="E902" s="93">
        <v>7</v>
      </c>
      <c r="F902" s="93">
        <v>12</v>
      </c>
      <c r="G902" s="10">
        <v>1</v>
      </c>
      <c r="H902" s="120">
        <v>1.4189999999999827</v>
      </c>
      <c r="I902" s="120">
        <v>0.65099999999995362</v>
      </c>
      <c r="J902" s="120">
        <v>1.0169999999999391</v>
      </c>
      <c r="K902" s="120">
        <v>3.0869999999998754</v>
      </c>
      <c r="L902" s="9">
        <f t="shared" si="64"/>
        <v>0.38363586836187658</v>
      </c>
      <c r="M902" s="10">
        <f t="shared" si="65"/>
        <v>0.21774707326278142</v>
      </c>
      <c r="N902" s="10">
        <f t="shared" si="66"/>
        <v>0.30470589821275229</v>
      </c>
      <c r="O902" s="11">
        <f t="shared" si="67"/>
        <v>0.61140463771158027</v>
      </c>
    </row>
    <row r="903" spans="2:15">
      <c r="B903" s="12">
        <v>8</v>
      </c>
      <c r="C903" s="4" t="s">
        <v>152</v>
      </c>
      <c r="D903" s="4" t="s">
        <v>149</v>
      </c>
      <c r="E903" s="4">
        <v>7</v>
      </c>
      <c r="F903" s="4">
        <v>12</v>
      </c>
      <c r="G903" s="4">
        <v>2</v>
      </c>
      <c r="H903" s="115">
        <v>4.9670000000002119</v>
      </c>
      <c r="I903" s="115">
        <v>2.6670000000001437</v>
      </c>
      <c r="J903" s="115">
        <v>0.31700000000000728</v>
      </c>
      <c r="K903" s="115">
        <v>7.9510000000003629</v>
      </c>
      <c r="L903" s="12">
        <f t="shared" si="64"/>
        <v>0.7757560378441134</v>
      </c>
      <c r="M903" s="4">
        <f t="shared" si="65"/>
        <v>0.56431090996061972</v>
      </c>
      <c r="N903" s="4">
        <f t="shared" si="66"/>
        <v>0.11958577496178621</v>
      </c>
      <c r="O903" s="13">
        <f t="shared" si="67"/>
        <v>0.95187155712838201</v>
      </c>
    </row>
    <row r="904" spans="2:15">
      <c r="B904" s="12">
        <v>8</v>
      </c>
      <c r="C904" s="4" t="s">
        <v>152</v>
      </c>
      <c r="D904" s="4" t="s">
        <v>149</v>
      </c>
      <c r="E904" s="4">
        <v>7</v>
      </c>
      <c r="F904" s="4">
        <v>12</v>
      </c>
      <c r="G904" s="4">
        <v>3</v>
      </c>
      <c r="H904" s="115">
        <v>1.3849999999998772</v>
      </c>
      <c r="I904" s="115">
        <v>0.81799999999986994</v>
      </c>
      <c r="J904" s="115">
        <v>0.13299999999992451</v>
      </c>
      <c r="K904" s="115">
        <v>2.3359999999996717</v>
      </c>
      <c r="L904" s="12">
        <f t="shared" si="64"/>
        <v>0.37748838337611035</v>
      </c>
      <c r="M904" s="4">
        <f t="shared" si="65"/>
        <v>0.25959387888591756</v>
      </c>
      <c r="N904" s="4">
        <f t="shared" si="66"/>
        <v>5.4229909863368307E-2</v>
      </c>
      <c r="O904" s="13">
        <f t="shared" si="67"/>
        <v>0.52322604196565836</v>
      </c>
    </row>
    <row r="905" spans="2:15">
      <c r="B905" s="12">
        <v>8</v>
      </c>
      <c r="C905" s="4" t="s">
        <v>152</v>
      </c>
      <c r="D905" s="4" t="s">
        <v>149</v>
      </c>
      <c r="E905" s="4">
        <v>7</v>
      </c>
      <c r="F905" s="4">
        <v>12</v>
      </c>
      <c r="G905" s="4">
        <v>4</v>
      </c>
      <c r="H905" s="115">
        <v>0.5</v>
      </c>
      <c r="I905" s="115">
        <v>0.46699999999998454</v>
      </c>
      <c r="J905" s="115"/>
      <c r="K905" s="115">
        <v>0.96699999999998454</v>
      </c>
      <c r="L905" s="12">
        <f t="shared" si="64"/>
        <v>0.17609125905568124</v>
      </c>
      <c r="M905" s="4">
        <f t="shared" si="65"/>
        <v>0.1664301138432781</v>
      </c>
      <c r="N905" s="4">
        <f t="shared" si="66"/>
        <v>0</v>
      </c>
      <c r="O905" s="13">
        <f t="shared" si="67"/>
        <v>0.29380435991933329</v>
      </c>
    </row>
    <row r="906" spans="2:15">
      <c r="B906" s="12">
        <v>8</v>
      </c>
      <c r="C906" s="4" t="s">
        <v>152</v>
      </c>
      <c r="D906" s="4" t="s">
        <v>149</v>
      </c>
      <c r="E906" s="4">
        <v>7</v>
      </c>
      <c r="F906" s="4">
        <v>12</v>
      </c>
      <c r="G906" s="4">
        <v>5</v>
      </c>
      <c r="H906" s="115"/>
      <c r="I906" s="115"/>
      <c r="J906" s="115"/>
      <c r="K906" s="115">
        <v>0</v>
      </c>
      <c r="L906" s="12">
        <f t="shared" si="64"/>
        <v>0</v>
      </c>
      <c r="M906" s="4">
        <f t="shared" si="65"/>
        <v>0</v>
      </c>
      <c r="N906" s="4">
        <f t="shared" si="66"/>
        <v>0</v>
      </c>
      <c r="O906" s="13">
        <f t="shared" si="67"/>
        <v>0</v>
      </c>
    </row>
    <row r="907" spans="2:15">
      <c r="B907" s="12">
        <v>8</v>
      </c>
      <c r="C907" s="4" t="s">
        <v>152</v>
      </c>
      <c r="D907" s="4" t="s">
        <v>149</v>
      </c>
      <c r="E907" s="4">
        <v>7</v>
      </c>
      <c r="F907" s="4">
        <v>12</v>
      </c>
      <c r="G907" s="4">
        <v>6</v>
      </c>
      <c r="H907" s="115"/>
      <c r="I907" s="115"/>
      <c r="J907" s="115"/>
      <c r="K907" s="115">
        <v>0</v>
      </c>
      <c r="L907" s="12">
        <f t="shared" si="64"/>
        <v>0</v>
      </c>
      <c r="M907" s="4">
        <f t="shared" si="65"/>
        <v>0</v>
      </c>
      <c r="N907" s="4">
        <f t="shared" si="66"/>
        <v>0</v>
      </c>
      <c r="O907" s="13">
        <f t="shared" si="67"/>
        <v>0</v>
      </c>
    </row>
    <row r="908" spans="2:15">
      <c r="B908" s="12">
        <v>8</v>
      </c>
      <c r="C908" s="4" t="s">
        <v>152</v>
      </c>
      <c r="D908" s="4" t="s">
        <v>149</v>
      </c>
      <c r="E908" s="4">
        <v>7</v>
      </c>
      <c r="F908" s="4">
        <v>12</v>
      </c>
      <c r="G908" s="4">
        <v>7</v>
      </c>
      <c r="H908" s="115"/>
      <c r="I908" s="115"/>
      <c r="J908" s="115"/>
      <c r="K908" s="115">
        <v>0</v>
      </c>
      <c r="L908" s="12">
        <f t="shared" si="64"/>
        <v>0</v>
      </c>
      <c r="M908" s="4">
        <f t="shared" si="65"/>
        <v>0</v>
      </c>
      <c r="N908" s="4">
        <f t="shared" si="66"/>
        <v>0</v>
      </c>
      <c r="O908" s="13">
        <f t="shared" si="67"/>
        <v>0</v>
      </c>
    </row>
    <row r="909" spans="2:15">
      <c r="B909" s="12">
        <v>8</v>
      </c>
      <c r="C909" s="4" t="s">
        <v>152</v>
      </c>
      <c r="D909" s="4" t="s">
        <v>149</v>
      </c>
      <c r="E909" s="4">
        <v>7</v>
      </c>
      <c r="F909" s="4">
        <v>12</v>
      </c>
      <c r="G909" s="4">
        <v>8</v>
      </c>
      <c r="H909" s="115"/>
      <c r="I909" s="115"/>
      <c r="J909" s="115"/>
      <c r="K909" s="115">
        <v>0</v>
      </c>
      <c r="L909" s="12">
        <f t="shared" si="64"/>
        <v>0</v>
      </c>
      <c r="M909" s="4">
        <f t="shared" si="65"/>
        <v>0</v>
      </c>
      <c r="N909" s="4">
        <f t="shared" si="66"/>
        <v>0</v>
      </c>
      <c r="O909" s="13">
        <f t="shared" si="67"/>
        <v>0</v>
      </c>
    </row>
    <row r="910" spans="2:15">
      <c r="B910" s="12">
        <v>8</v>
      </c>
      <c r="C910" s="4" t="s">
        <v>152</v>
      </c>
      <c r="D910" s="4" t="s">
        <v>149</v>
      </c>
      <c r="E910" s="4">
        <v>7</v>
      </c>
      <c r="F910" s="4">
        <v>12</v>
      </c>
      <c r="G910" s="4">
        <v>9</v>
      </c>
      <c r="H910" s="115"/>
      <c r="I910" s="115"/>
      <c r="J910" s="115"/>
      <c r="K910" s="115">
        <v>0</v>
      </c>
      <c r="L910" s="12">
        <f t="shared" si="64"/>
        <v>0</v>
      </c>
      <c r="M910" s="4">
        <f t="shared" si="65"/>
        <v>0</v>
      </c>
      <c r="N910" s="4">
        <f t="shared" si="66"/>
        <v>0</v>
      </c>
      <c r="O910" s="13">
        <f t="shared" si="67"/>
        <v>0</v>
      </c>
    </row>
    <row r="911" spans="2:15" ht="13.8" thickBot="1">
      <c r="B911" s="14">
        <v>8</v>
      </c>
      <c r="C911" s="15" t="s">
        <v>152</v>
      </c>
      <c r="D911" s="15" t="s">
        <v>149</v>
      </c>
      <c r="E911" s="15">
        <v>7</v>
      </c>
      <c r="F911" s="15">
        <v>12</v>
      </c>
      <c r="G911" s="15">
        <v>10</v>
      </c>
      <c r="H911" s="121"/>
      <c r="I911" s="121"/>
      <c r="J911" s="121"/>
      <c r="K911" s="121">
        <v>0</v>
      </c>
      <c r="L911" s="14">
        <f t="shared" si="64"/>
        <v>0</v>
      </c>
      <c r="M911" s="15">
        <f t="shared" si="65"/>
        <v>0</v>
      </c>
      <c r="N911" s="15">
        <f t="shared" si="66"/>
        <v>0</v>
      </c>
      <c r="O911" s="16">
        <f t="shared" si="67"/>
        <v>0</v>
      </c>
    </row>
    <row r="912" spans="2:15">
      <c r="B912" s="9">
        <v>8</v>
      </c>
      <c r="C912" s="10" t="s">
        <v>152</v>
      </c>
      <c r="D912" s="10" t="s">
        <v>150</v>
      </c>
      <c r="E912" s="93">
        <v>8</v>
      </c>
      <c r="F912" s="93">
        <v>8</v>
      </c>
      <c r="G912" s="10">
        <v>1</v>
      </c>
      <c r="H912" s="120">
        <v>2.0989999999999895</v>
      </c>
      <c r="I912" s="120">
        <v>0.73300000000000409</v>
      </c>
      <c r="J912" s="120">
        <v>9.9999999999965894E-2</v>
      </c>
      <c r="K912" s="120">
        <v>2.9319999999999595</v>
      </c>
      <c r="L912" s="9">
        <f t="shared" si="64"/>
        <v>0.49122157623928153</v>
      </c>
      <c r="M912" s="10">
        <f t="shared" si="65"/>
        <v>0.23879856271391803</v>
      </c>
      <c r="N912" s="10">
        <f t="shared" si="66"/>
        <v>4.1392685158211574E-2</v>
      </c>
      <c r="O912" s="11">
        <f t="shared" si="67"/>
        <v>0.59461350916009359</v>
      </c>
    </row>
    <row r="913" spans="2:15">
      <c r="B913" s="12">
        <v>8</v>
      </c>
      <c r="C913" s="4" t="s">
        <v>152</v>
      </c>
      <c r="D913" s="4" t="s">
        <v>150</v>
      </c>
      <c r="E913" s="4">
        <v>8</v>
      </c>
      <c r="F913" s="4">
        <v>8</v>
      </c>
      <c r="G913" s="4">
        <v>2</v>
      </c>
      <c r="H913" s="115">
        <v>0.53300000000001546</v>
      </c>
      <c r="I913" s="115">
        <v>1.0309999999998922</v>
      </c>
      <c r="J913" s="115">
        <v>0.76700000000005275</v>
      </c>
      <c r="K913" s="115">
        <v>2.3309999999999604</v>
      </c>
      <c r="L913" s="12">
        <f t="shared" si="64"/>
        <v>0.18554215485437955</v>
      </c>
      <c r="M913" s="4">
        <f t="shared" si="65"/>
        <v>0.3077099234047837</v>
      </c>
      <c r="N913" s="4">
        <f t="shared" si="66"/>
        <v>0.24723654950677704</v>
      </c>
      <c r="O913" s="13">
        <f t="shared" si="67"/>
        <v>0.52257463269117166</v>
      </c>
    </row>
    <row r="914" spans="2:15">
      <c r="B914" s="12">
        <v>8</v>
      </c>
      <c r="C914" s="4" t="s">
        <v>152</v>
      </c>
      <c r="D914" s="4" t="s">
        <v>150</v>
      </c>
      <c r="E914" s="4">
        <v>8</v>
      </c>
      <c r="F914" s="4">
        <v>8</v>
      </c>
      <c r="G914" s="4">
        <v>3</v>
      </c>
      <c r="H914" s="115"/>
      <c r="I914" s="115"/>
      <c r="J914" s="115"/>
      <c r="K914" s="115">
        <v>0</v>
      </c>
      <c r="L914" s="12">
        <f t="shared" si="64"/>
        <v>0</v>
      </c>
      <c r="M914" s="4">
        <f t="shared" si="65"/>
        <v>0</v>
      </c>
      <c r="N914" s="4">
        <f t="shared" si="66"/>
        <v>0</v>
      </c>
      <c r="O914" s="13">
        <f t="shared" si="67"/>
        <v>0</v>
      </c>
    </row>
    <row r="915" spans="2:15">
      <c r="B915" s="12">
        <v>8</v>
      </c>
      <c r="C915" s="4" t="s">
        <v>152</v>
      </c>
      <c r="D915" s="4" t="s">
        <v>150</v>
      </c>
      <c r="E915" s="4">
        <v>8</v>
      </c>
      <c r="F915" s="4">
        <v>8</v>
      </c>
      <c r="G915" s="4">
        <v>4</v>
      </c>
      <c r="H915" s="115"/>
      <c r="I915" s="115"/>
      <c r="J915" s="115"/>
      <c r="K915" s="115">
        <v>0</v>
      </c>
      <c r="L915" s="12">
        <f t="shared" si="64"/>
        <v>0</v>
      </c>
      <c r="M915" s="4">
        <f t="shared" si="65"/>
        <v>0</v>
      </c>
      <c r="N915" s="4">
        <f t="shared" si="66"/>
        <v>0</v>
      </c>
      <c r="O915" s="13">
        <f t="shared" si="67"/>
        <v>0</v>
      </c>
    </row>
    <row r="916" spans="2:15">
      <c r="B916" s="12">
        <v>8</v>
      </c>
      <c r="C916" s="4" t="s">
        <v>152</v>
      </c>
      <c r="D916" s="4" t="s">
        <v>150</v>
      </c>
      <c r="E916" s="4">
        <v>8</v>
      </c>
      <c r="F916" s="4">
        <v>8</v>
      </c>
      <c r="G916" s="4">
        <v>5</v>
      </c>
      <c r="H916" s="115"/>
      <c r="I916" s="115"/>
      <c r="J916" s="115"/>
      <c r="K916" s="115">
        <v>0</v>
      </c>
      <c r="L916" s="12">
        <f t="shared" si="64"/>
        <v>0</v>
      </c>
      <c r="M916" s="4">
        <f t="shared" si="65"/>
        <v>0</v>
      </c>
      <c r="N916" s="4">
        <f t="shared" si="66"/>
        <v>0</v>
      </c>
      <c r="O916" s="13">
        <f t="shared" si="67"/>
        <v>0</v>
      </c>
    </row>
    <row r="917" spans="2:15">
      <c r="B917" s="12">
        <v>8</v>
      </c>
      <c r="C917" s="4" t="s">
        <v>152</v>
      </c>
      <c r="D917" s="4" t="s">
        <v>150</v>
      </c>
      <c r="E917" s="4">
        <v>8</v>
      </c>
      <c r="F917" s="4">
        <v>8</v>
      </c>
      <c r="G917" s="4">
        <v>6</v>
      </c>
      <c r="H917" s="115"/>
      <c r="I917" s="115"/>
      <c r="J917" s="115"/>
      <c r="K917" s="115">
        <v>0</v>
      </c>
      <c r="L917" s="12">
        <f t="shared" si="64"/>
        <v>0</v>
      </c>
      <c r="M917" s="4">
        <f t="shared" si="65"/>
        <v>0</v>
      </c>
      <c r="N917" s="4">
        <f t="shared" si="66"/>
        <v>0</v>
      </c>
      <c r="O917" s="13">
        <f t="shared" si="67"/>
        <v>0</v>
      </c>
    </row>
    <row r="918" spans="2:15">
      <c r="B918" s="12">
        <v>8</v>
      </c>
      <c r="C918" s="4" t="s">
        <v>152</v>
      </c>
      <c r="D918" s="4" t="s">
        <v>150</v>
      </c>
      <c r="E918" s="4">
        <v>8</v>
      </c>
      <c r="F918" s="4">
        <v>8</v>
      </c>
      <c r="G918" s="4">
        <v>7</v>
      </c>
      <c r="H918" s="115"/>
      <c r="I918" s="115"/>
      <c r="J918" s="115"/>
      <c r="K918" s="115">
        <v>0</v>
      </c>
      <c r="L918" s="12">
        <f t="shared" si="64"/>
        <v>0</v>
      </c>
      <c r="M918" s="4">
        <f t="shared" si="65"/>
        <v>0</v>
      </c>
      <c r="N918" s="4">
        <f t="shared" si="66"/>
        <v>0</v>
      </c>
      <c r="O918" s="13">
        <f t="shared" si="67"/>
        <v>0</v>
      </c>
    </row>
    <row r="919" spans="2:15">
      <c r="B919" s="12">
        <v>8</v>
      </c>
      <c r="C919" s="4" t="s">
        <v>152</v>
      </c>
      <c r="D919" s="4" t="s">
        <v>150</v>
      </c>
      <c r="E919" s="4">
        <v>8</v>
      </c>
      <c r="F919" s="4">
        <v>8</v>
      </c>
      <c r="G919" s="4">
        <v>8</v>
      </c>
      <c r="H919" s="115"/>
      <c r="I919" s="115"/>
      <c r="J919" s="115"/>
      <c r="K919" s="115">
        <v>0</v>
      </c>
      <c r="L919" s="12">
        <f t="shared" si="64"/>
        <v>0</v>
      </c>
      <c r="M919" s="4">
        <f t="shared" si="65"/>
        <v>0</v>
      </c>
      <c r="N919" s="4">
        <f t="shared" si="66"/>
        <v>0</v>
      </c>
      <c r="O919" s="13">
        <f t="shared" si="67"/>
        <v>0</v>
      </c>
    </row>
    <row r="920" spans="2:15">
      <c r="B920" s="12">
        <v>8</v>
      </c>
      <c r="C920" s="4" t="s">
        <v>152</v>
      </c>
      <c r="D920" s="4" t="s">
        <v>150</v>
      </c>
      <c r="E920" s="4">
        <v>8</v>
      </c>
      <c r="F920" s="4">
        <v>8</v>
      </c>
      <c r="G920" s="4">
        <v>9</v>
      </c>
      <c r="H920" s="115"/>
      <c r="I920" s="115"/>
      <c r="J920" s="115"/>
      <c r="K920" s="115">
        <v>0</v>
      </c>
      <c r="L920" s="12">
        <f t="shared" si="64"/>
        <v>0</v>
      </c>
      <c r="M920" s="4">
        <f t="shared" si="65"/>
        <v>0</v>
      </c>
      <c r="N920" s="4">
        <f t="shared" si="66"/>
        <v>0</v>
      </c>
      <c r="O920" s="13">
        <f t="shared" si="67"/>
        <v>0</v>
      </c>
    </row>
    <row r="921" spans="2:15" ht="13.8" thickBot="1">
      <c r="B921" s="14">
        <v>8</v>
      </c>
      <c r="C921" s="15" t="s">
        <v>152</v>
      </c>
      <c r="D921" s="15" t="s">
        <v>150</v>
      </c>
      <c r="E921" s="15">
        <v>8</v>
      </c>
      <c r="F921" s="15">
        <v>8</v>
      </c>
      <c r="G921" s="15">
        <v>10</v>
      </c>
      <c r="H921" s="121"/>
      <c r="I921" s="121"/>
      <c r="J921" s="121"/>
      <c r="K921" s="121">
        <v>0</v>
      </c>
      <c r="L921" s="14">
        <f t="shared" si="64"/>
        <v>0</v>
      </c>
      <c r="M921" s="15">
        <f t="shared" si="65"/>
        <v>0</v>
      </c>
      <c r="N921" s="15">
        <f t="shared" si="66"/>
        <v>0</v>
      </c>
      <c r="O921" s="16">
        <f t="shared" si="67"/>
        <v>0</v>
      </c>
    </row>
    <row r="922" spans="2:15">
      <c r="B922" s="9">
        <v>8</v>
      </c>
      <c r="C922" s="10" t="s">
        <v>152</v>
      </c>
      <c r="D922" s="10" t="s">
        <v>150</v>
      </c>
      <c r="E922" s="93">
        <v>9</v>
      </c>
      <c r="F922" s="93">
        <v>6</v>
      </c>
      <c r="G922" s="10">
        <v>1</v>
      </c>
      <c r="H922" s="120">
        <v>2.0670000000000073</v>
      </c>
      <c r="I922" s="120">
        <v>0.76699999999999591</v>
      </c>
      <c r="J922" s="120"/>
      <c r="K922" s="120">
        <v>2.8340000000000032</v>
      </c>
      <c r="L922" s="9">
        <f t="shared" si="64"/>
        <v>0.48671377598248655</v>
      </c>
      <c r="M922" s="10">
        <f t="shared" si="65"/>
        <v>0.24723654950676308</v>
      </c>
      <c r="N922" s="10">
        <f t="shared" si="66"/>
        <v>0</v>
      </c>
      <c r="O922" s="11">
        <f t="shared" si="67"/>
        <v>0.58365210854204419</v>
      </c>
    </row>
    <row r="923" spans="2:15">
      <c r="B923" s="12">
        <v>8</v>
      </c>
      <c r="C923" s="4" t="s">
        <v>152</v>
      </c>
      <c r="D923" s="4" t="s">
        <v>150</v>
      </c>
      <c r="E923" s="4">
        <v>9</v>
      </c>
      <c r="F923" s="4">
        <v>6</v>
      </c>
      <c r="G923" s="4">
        <v>2</v>
      </c>
      <c r="H923" s="115">
        <v>1.0500000000000682</v>
      </c>
      <c r="I923" s="115">
        <v>1.3649999999999523</v>
      </c>
      <c r="J923" s="115">
        <v>9.9999999999965894E-2</v>
      </c>
      <c r="K923" s="115">
        <v>2.5149999999999864</v>
      </c>
      <c r="L923" s="12">
        <f t="shared" si="64"/>
        <v>0.31175386105576874</v>
      </c>
      <c r="M923" s="4">
        <f t="shared" si="65"/>
        <v>0.37383114507382159</v>
      </c>
      <c r="N923" s="4">
        <f t="shared" si="66"/>
        <v>4.1392685158211574E-2</v>
      </c>
      <c r="O923" s="13">
        <f t="shared" si="67"/>
        <v>0.54592532935584104</v>
      </c>
    </row>
    <row r="924" spans="2:15">
      <c r="B924" s="12">
        <v>8</v>
      </c>
      <c r="C924" s="4" t="s">
        <v>152</v>
      </c>
      <c r="D924" s="4" t="s">
        <v>150</v>
      </c>
      <c r="E924" s="4">
        <v>9</v>
      </c>
      <c r="F924" s="4">
        <v>6</v>
      </c>
      <c r="G924" s="4">
        <v>3</v>
      </c>
      <c r="H924" s="115"/>
      <c r="I924" s="115"/>
      <c r="J924" s="115"/>
      <c r="K924" s="115">
        <v>0</v>
      </c>
      <c r="L924" s="12">
        <f t="shared" si="64"/>
        <v>0</v>
      </c>
      <c r="M924" s="4">
        <f t="shared" si="65"/>
        <v>0</v>
      </c>
      <c r="N924" s="4">
        <f t="shared" si="66"/>
        <v>0</v>
      </c>
      <c r="O924" s="13">
        <f t="shared" si="67"/>
        <v>0</v>
      </c>
    </row>
    <row r="925" spans="2:15">
      <c r="B925" s="12">
        <v>8</v>
      </c>
      <c r="C925" s="4" t="s">
        <v>152</v>
      </c>
      <c r="D925" s="4" t="s">
        <v>150</v>
      </c>
      <c r="E925" s="4">
        <v>9</v>
      </c>
      <c r="F925" s="4">
        <v>6</v>
      </c>
      <c r="G925" s="4">
        <v>4</v>
      </c>
      <c r="H925" s="115"/>
      <c r="I925" s="115"/>
      <c r="J925" s="115"/>
      <c r="K925" s="115">
        <v>0</v>
      </c>
      <c r="L925" s="12">
        <f t="shared" si="64"/>
        <v>0</v>
      </c>
      <c r="M925" s="4">
        <f t="shared" si="65"/>
        <v>0</v>
      </c>
      <c r="N925" s="4">
        <f t="shared" si="66"/>
        <v>0</v>
      </c>
      <c r="O925" s="13">
        <f t="shared" si="67"/>
        <v>0</v>
      </c>
    </row>
    <row r="926" spans="2:15">
      <c r="B926" s="12">
        <v>8</v>
      </c>
      <c r="C926" s="4" t="s">
        <v>152</v>
      </c>
      <c r="D926" s="4" t="s">
        <v>150</v>
      </c>
      <c r="E926" s="4">
        <v>9</v>
      </c>
      <c r="F926" s="4">
        <v>6</v>
      </c>
      <c r="G926" s="4">
        <v>5</v>
      </c>
      <c r="H926" s="115"/>
      <c r="I926" s="115"/>
      <c r="J926" s="115"/>
      <c r="K926" s="115">
        <v>0</v>
      </c>
      <c r="L926" s="12">
        <f t="shared" si="64"/>
        <v>0</v>
      </c>
      <c r="M926" s="4">
        <f t="shared" si="65"/>
        <v>0</v>
      </c>
      <c r="N926" s="4">
        <f t="shared" si="66"/>
        <v>0</v>
      </c>
      <c r="O926" s="13">
        <f t="shared" si="67"/>
        <v>0</v>
      </c>
    </row>
    <row r="927" spans="2:15">
      <c r="B927" s="12">
        <v>8</v>
      </c>
      <c r="C927" s="4" t="s">
        <v>152</v>
      </c>
      <c r="D927" s="4" t="s">
        <v>150</v>
      </c>
      <c r="E927" s="4">
        <v>9</v>
      </c>
      <c r="F927" s="4">
        <v>6</v>
      </c>
      <c r="G927" s="4">
        <v>6</v>
      </c>
      <c r="H927" s="115"/>
      <c r="I927" s="115"/>
      <c r="J927" s="115"/>
      <c r="K927" s="115">
        <v>0</v>
      </c>
      <c r="L927" s="12">
        <f t="shared" si="64"/>
        <v>0</v>
      </c>
      <c r="M927" s="4">
        <f t="shared" si="65"/>
        <v>0</v>
      </c>
      <c r="N927" s="4">
        <f t="shared" si="66"/>
        <v>0</v>
      </c>
      <c r="O927" s="13">
        <f t="shared" si="67"/>
        <v>0</v>
      </c>
    </row>
    <row r="928" spans="2:15">
      <c r="B928" s="12">
        <v>8</v>
      </c>
      <c r="C928" s="4" t="s">
        <v>152</v>
      </c>
      <c r="D928" s="4" t="s">
        <v>150</v>
      </c>
      <c r="E928" s="4">
        <v>9</v>
      </c>
      <c r="F928" s="4">
        <v>6</v>
      </c>
      <c r="G928" s="4">
        <v>7</v>
      </c>
      <c r="H928" s="115"/>
      <c r="I928" s="115"/>
      <c r="J928" s="115"/>
      <c r="K928" s="115">
        <v>0</v>
      </c>
      <c r="L928" s="12">
        <f t="shared" si="64"/>
        <v>0</v>
      </c>
      <c r="M928" s="4">
        <f t="shared" si="65"/>
        <v>0</v>
      </c>
      <c r="N928" s="4">
        <f t="shared" si="66"/>
        <v>0</v>
      </c>
      <c r="O928" s="13">
        <f t="shared" si="67"/>
        <v>0</v>
      </c>
    </row>
    <row r="929" spans="2:15">
      <c r="B929" s="12">
        <v>8</v>
      </c>
      <c r="C929" s="4" t="s">
        <v>152</v>
      </c>
      <c r="D929" s="4" t="s">
        <v>150</v>
      </c>
      <c r="E929" s="4">
        <v>9</v>
      </c>
      <c r="F929" s="4">
        <v>6</v>
      </c>
      <c r="G929" s="4">
        <v>8</v>
      </c>
      <c r="H929" s="115"/>
      <c r="I929" s="115"/>
      <c r="J929" s="115"/>
      <c r="K929" s="115">
        <v>0</v>
      </c>
      <c r="L929" s="12">
        <f t="shared" si="64"/>
        <v>0</v>
      </c>
      <c r="M929" s="4">
        <f t="shared" si="65"/>
        <v>0</v>
      </c>
      <c r="N929" s="4">
        <f t="shared" si="66"/>
        <v>0</v>
      </c>
      <c r="O929" s="13">
        <f t="shared" si="67"/>
        <v>0</v>
      </c>
    </row>
    <row r="930" spans="2:15">
      <c r="B930" s="12">
        <v>8</v>
      </c>
      <c r="C930" s="4" t="s">
        <v>152</v>
      </c>
      <c r="D930" s="4" t="s">
        <v>150</v>
      </c>
      <c r="E930" s="4">
        <v>9</v>
      </c>
      <c r="F930" s="4">
        <v>6</v>
      </c>
      <c r="G930" s="4">
        <v>9</v>
      </c>
      <c r="H930" s="115"/>
      <c r="I930" s="115"/>
      <c r="J930" s="115"/>
      <c r="K930" s="115">
        <v>0</v>
      </c>
      <c r="L930" s="12">
        <f t="shared" si="64"/>
        <v>0</v>
      </c>
      <c r="M930" s="4">
        <f t="shared" si="65"/>
        <v>0</v>
      </c>
      <c r="N930" s="4">
        <f t="shared" si="66"/>
        <v>0</v>
      </c>
      <c r="O930" s="13">
        <f t="shared" si="67"/>
        <v>0</v>
      </c>
    </row>
    <row r="931" spans="2:15" ht="13.8" thickBot="1">
      <c r="B931" s="14">
        <v>8</v>
      </c>
      <c r="C931" s="15" t="s">
        <v>152</v>
      </c>
      <c r="D931" s="15" t="s">
        <v>150</v>
      </c>
      <c r="E931" s="15">
        <v>9</v>
      </c>
      <c r="F931" s="15">
        <v>6</v>
      </c>
      <c r="G931" s="15">
        <v>10</v>
      </c>
      <c r="H931" s="121"/>
      <c r="I931" s="121"/>
      <c r="J931" s="121"/>
      <c r="K931" s="121">
        <v>0</v>
      </c>
      <c r="L931" s="14">
        <f t="shared" si="64"/>
        <v>0</v>
      </c>
      <c r="M931" s="15">
        <f t="shared" si="65"/>
        <v>0</v>
      </c>
      <c r="N931" s="15">
        <f t="shared" si="66"/>
        <v>0</v>
      </c>
      <c r="O931" s="16">
        <f t="shared" si="67"/>
        <v>0</v>
      </c>
    </row>
    <row r="932" spans="2:15">
      <c r="B932" s="9">
        <v>8</v>
      </c>
      <c r="C932" s="10" t="s">
        <v>152</v>
      </c>
      <c r="D932" s="10" t="s">
        <v>154</v>
      </c>
      <c r="E932" s="93">
        <v>10</v>
      </c>
      <c r="F932" s="93">
        <v>4</v>
      </c>
      <c r="G932" s="10">
        <v>1</v>
      </c>
      <c r="H932" s="120">
        <v>2.6999999999999886</v>
      </c>
      <c r="I932" s="120">
        <v>0.90099999999989677</v>
      </c>
      <c r="J932" s="120">
        <v>0.93299999999999272</v>
      </c>
      <c r="K932" s="120">
        <v>4.5339999999998781</v>
      </c>
      <c r="L932" s="9">
        <f t="shared" si="64"/>
        <v>0.56820172406699365</v>
      </c>
      <c r="M932" s="10">
        <f t="shared" si="65"/>
        <v>0.27898211686541957</v>
      </c>
      <c r="N932" s="10">
        <f t="shared" si="66"/>
        <v>0.28623185402855139</v>
      </c>
      <c r="O932" s="11">
        <f t="shared" si="67"/>
        <v>0.74303915480492366</v>
      </c>
    </row>
    <row r="933" spans="2:15">
      <c r="B933" s="12">
        <v>8</v>
      </c>
      <c r="C933" s="4" t="s">
        <v>152</v>
      </c>
      <c r="D933" s="4" t="s">
        <v>154</v>
      </c>
      <c r="E933" s="4">
        <v>10</v>
      </c>
      <c r="F933" s="4">
        <v>4</v>
      </c>
      <c r="G933" s="4">
        <v>2</v>
      </c>
      <c r="H933" s="115">
        <v>0.54800000000000182</v>
      </c>
      <c r="I933" s="115"/>
      <c r="J933" s="115">
        <v>0.14999999999997726</v>
      </c>
      <c r="K933" s="115">
        <v>0.69799999999997908</v>
      </c>
      <c r="L933" s="12">
        <f t="shared" si="64"/>
        <v>0.1897709563468743</v>
      </c>
      <c r="M933" s="4">
        <f t="shared" si="65"/>
        <v>0</v>
      </c>
      <c r="N933" s="4">
        <f t="shared" si="66"/>
        <v>6.0697840353603094E-2</v>
      </c>
      <c r="O933" s="13">
        <f t="shared" si="67"/>
        <v>0.22993768590792851</v>
      </c>
    </row>
    <row r="934" spans="2:15">
      <c r="B934" s="12">
        <v>8</v>
      </c>
      <c r="C934" s="4" t="s">
        <v>152</v>
      </c>
      <c r="D934" s="4" t="s">
        <v>154</v>
      </c>
      <c r="E934" s="4">
        <v>10</v>
      </c>
      <c r="F934" s="4">
        <v>4</v>
      </c>
      <c r="G934" s="4">
        <v>3</v>
      </c>
      <c r="H934" s="115"/>
      <c r="I934" s="115">
        <v>0.41700000000003001</v>
      </c>
      <c r="J934" s="115"/>
      <c r="K934" s="115">
        <v>0.41700000000003001</v>
      </c>
      <c r="L934" s="12">
        <f t="shared" si="64"/>
        <v>0</v>
      </c>
      <c r="M934" s="4">
        <f t="shared" si="65"/>
        <v>0.1513698502474696</v>
      </c>
      <c r="N934" s="4">
        <f t="shared" si="66"/>
        <v>0</v>
      </c>
      <c r="O934" s="13">
        <f t="shared" si="67"/>
        <v>0.1513698502474696</v>
      </c>
    </row>
    <row r="935" spans="2:15">
      <c r="B935" s="12">
        <v>8</v>
      </c>
      <c r="C935" s="4" t="s">
        <v>152</v>
      </c>
      <c r="D935" s="4" t="s">
        <v>154</v>
      </c>
      <c r="E935" s="4">
        <v>10</v>
      </c>
      <c r="F935" s="4">
        <v>4</v>
      </c>
      <c r="G935" s="4">
        <v>4</v>
      </c>
      <c r="H935" s="115"/>
      <c r="I935" s="115"/>
      <c r="J935" s="115"/>
      <c r="K935" s="115">
        <v>0</v>
      </c>
      <c r="L935" s="12">
        <f t="shared" ref="L935:L998" si="68">LOG10(H935+1)</f>
        <v>0</v>
      </c>
      <c r="M935" s="4">
        <f t="shared" ref="M935:M998" si="69">LOG10(I935+1)</f>
        <v>0</v>
      </c>
      <c r="N935" s="4">
        <f t="shared" ref="N935:N998" si="70">LOG10(J935+1)</f>
        <v>0</v>
      </c>
      <c r="O935" s="13">
        <f t="shared" ref="O935:O998" si="71">LOG10(K935+1)</f>
        <v>0</v>
      </c>
    </row>
    <row r="936" spans="2:15">
      <c r="B936" s="12">
        <v>8</v>
      </c>
      <c r="C936" s="4" t="s">
        <v>152</v>
      </c>
      <c r="D936" s="4" t="s">
        <v>154</v>
      </c>
      <c r="E936" s="4">
        <v>10</v>
      </c>
      <c r="F936" s="4">
        <v>4</v>
      </c>
      <c r="G936" s="4">
        <v>5</v>
      </c>
      <c r="H936" s="115"/>
      <c r="I936" s="115"/>
      <c r="J936" s="115"/>
      <c r="K936" s="115">
        <v>0</v>
      </c>
      <c r="L936" s="12">
        <f t="shared" si="68"/>
        <v>0</v>
      </c>
      <c r="M936" s="4">
        <f t="shared" si="69"/>
        <v>0</v>
      </c>
      <c r="N936" s="4">
        <f t="shared" si="70"/>
        <v>0</v>
      </c>
      <c r="O936" s="13">
        <f t="shared" si="71"/>
        <v>0</v>
      </c>
    </row>
    <row r="937" spans="2:15">
      <c r="B937" s="12">
        <v>8</v>
      </c>
      <c r="C937" s="4" t="s">
        <v>152</v>
      </c>
      <c r="D937" s="4" t="s">
        <v>154</v>
      </c>
      <c r="E937" s="4">
        <v>10</v>
      </c>
      <c r="F937" s="4">
        <v>4</v>
      </c>
      <c r="G937" s="4">
        <v>6</v>
      </c>
      <c r="H937" s="115"/>
      <c r="I937" s="115"/>
      <c r="J937" s="115"/>
      <c r="K937" s="115">
        <v>0</v>
      </c>
      <c r="L937" s="12">
        <f t="shared" si="68"/>
        <v>0</v>
      </c>
      <c r="M937" s="4">
        <f t="shared" si="69"/>
        <v>0</v>
      </c>
      <c r="N937" s="4">
        <f t="shared" si="70"/>
        <v>0</v>
      </c>
      <c r="O937" s="13">
        <f t="shared" si="71"/>
        <v>0</v>
      </c>
    </row>
    <row r="938" spans="2:15">
      <c r="B938" s="12">
        <v>8</v>
      </c>
      <c r="C938" s="4" t="s">
        <v>152</v>
      </c>
      <c r="D938" s="4" t="s">
        <v>154</v>
      </c>
      <c r="E938" s="4">
        <v>10</v>
      </c>
      <c r="F938" s="4">
        <v>4</v>
      </c>
      <c r="G938" s="4">
        <v>7</v>
      </c>
      <c r="H938" s="115"/>
      <c r="I938" s="115"/>
      <c r="J938" s="115"/>
      <c r="K938" s="115">
        <v>0</v>
      </c>
      <c r="L938" s="12">
        <f t="shared" si="68"/>
        <v>0</v>
      </c>
      <c r="M938" s="4">
        <f t="shared" si="69"/>
        <v>0</v>
      </c>
      <c r="N938" s="4">
        <f t="shared" si="70"/>
        <v>0</v>
      </c>
      <c r="O938" s="13">
        <f t="shared" si="71"/>
        <v>0</v>
      </c>
    </row>
    <row r="939" spans="2:15">
      <c r="B939" s="12">
        <v>8</v>
      </c>
      <c r="C939" s="4" t="s">
        <v>152</v>
      </c>
      <c r="D939" s="4" t="s">
        <v>154</v>
      </c>
      <c r="E939" s="4">
        <v>10</v>
      </c>
      <c r="F939" s="4">
        <v>4</v>
      </c>
      <c r="G939" s="4">
        <v>8</v>
      </c>
      <c r="H939" s="115"/>
      <c r="I939" s="115"/>
      <c r="J939" s="115"/>
      <c r="K939" s="115">
        <v>0</v>
      </c>
      <c r="L939" s="12">
        <f t="shared" si="68"/>
        <v>0</v>
      </c>
      <c r="M939" s="4">
        <f t="shared" si="69"/>
        <v>0</v>
      </c>
      <c r="N939" s="4">
        <f t="shared" si="70"/>
        <v>0</v>
      </c>
      <c r="O939" s="13">
        <f t="shared" si="71"/>
        <v>0</v>
      </c>
    </row>
    <row r="940" spans="2:15">
      <c r="B940" s="12">
        <v>8</v>
      </c>
      <c r="C940" s="4" t="s">
        <v>152</v>
      </c>
      <c r="D940" s="4" t="s">
        <v>154</v>
      </c>
      <c r="E940" s="4">
        <v>10</v>
      </c>
      <c r="F940" s="4">
        <v>4</v>
      </c>
      <c r="G940" s="4">
        <v>9</v>
      </c>
      <c r="H940" s="115"/>
      <c r="I940" s="115"/>
      <c r="J940" s="115"/>
      <c r="K940" s="115">
        <v>0</v>
      </c>
      <c r="L940" s="12">
        <f t="shared" si="68"/>
        <v>0</v>
      </c>
      <c r="M940" s="4">
        <f t="shared" si="69"/>
        <v>0</v>
      </c>
      <c r="N940" s="4">
        <f t="shared" si="70"/>
        <v>0</v>
      </c>
      <c r="O940" s="13">
        <f t="shared" si="71"/>
        <v>0</v>
      </c>
    </row>
    <row r="941" spans="2:15" ht="13.8" thickBot="1">
      <c r="B941" s="14">
        <v>8</v>
      </c>
      <c r="C941" s="15" t="s">
        <v>152</v>
      </c>
      <c r="D941" s="15" t="s">
        <v>154</v>
      </c>
      <c r="E941" s="15">
        <v>10</v>
      </c>
      <c r="F941" s="15">
        <v>4</v>
      </c>
      <c r="G941" s="15">
        <v>10</v>
      </c>
      <c r="H941" s="121"/>
      <c r="I941" s="121"/>
      <c r="J941" s="121"/>
      <c r="K941" s="121">
        <v>0</v>
      </c>
      <c r="L941" s="14">
        <f t="shared" si="68"/>
        <v>0</v>
      </c>
      <c r="M941" s="15">
        <f t="shared" si="69"/>
        <v>0</v>
      </c>
      <c r="N941" s="15">
        <f t="shared" si="70"/>
        <v>0</v>
      </c>
      <c r="O941" s="16">
        <f t="shared" si="71"/>
        <v>0</v>
      </c>
    </row>
    <row r="942" spans="2:15">
      <c r="B942" s="9">
        <v>8</v>
      </c>
      <c r="C942" s="10" t="s">
        <v>152</v>
      </c>
      <c r="D942" s="10" t="s">
        <v>154</v>
      </c>
      <c r="E942" s="93">
        <v>11</v>
      </c>
      <c r="F942" s="93">
        <v>2</v>
      </c>
      <c r="G942" s="10">
        <v>1</v>
      </c>
      <c r="H942" s="120">
        <v>3.4689999999999941</v>
      </c>
      <c r="I942" s="120">
        <v>0.28300000000001546</v>
      </c>
      <c r="J942" s="120">
        <v>0.30000000000001137</v>
      </c>
      <c r="K942" s="120">
        <v>4.0520000000000209</v>
      </c>
      <c r="L942" s="9">
        <f t="shared" si="68"/>
        <v>0.65021035466035859</v>
      </c>
      <c r="M942" s="10">
        <f t="shared" si="69"/>
        <v>0.10822665637493374</v>
      </c>
      <c r="N942" s="10">
        <f t="shared" si="70"/>
        <v>0.11394335230684056</v>
      </c>
      <c r="O942" s="11">
        <f t="shared" si="71"/>
        <v>0.70346334188329496</v>
      </c>
    </row>
    <row r="943" spans="2:15">
      <c r="B943" s="12">
        <v>8</v>
      </c>
      <c r="C943" s="4" t="s">
        <v>152</v>
      </c>
      <c r="D943" s="4" t="s">
        <v>154</v>
      </c>
      <c r="E943" s="4">
        <v>11</v>
      </c>
      <c r="F943" s="4">
        <v>2</v>
      </c>
      <c r="G943" s="4">
        <v>2</v>
      </c>
      <c r="H943" s="115">
        <v>0.28300000000001546</v>
      </c>
      <c r="I943" s="115">
        <v>0.21700000000001296</v>
      </c>
      <c r="J943" s="115"/>
      <c r="K943" s="115">
        <v>0.50000000000002842</v>
      </c>
      <c r="L943" s="12">
        <f t="shared" si="68"/>
        <v>0.10822665637493374</v>
      </c>
      <c r="M943" s="4">
        <f t="shared" si="69"/>
        <v>8.5290578230069608E-2</v>
      </c>
      <c r="N943" s="4">
        <f t="shared" si="70"/>
        <v>0</v>
      </c>
      <c r="O943" s="13">
        <f t="shared" si="71"/>
        <v>0.17609125905568948</v>
      </c>
    </row>
    <row r="944" spans="2:15">
      <c r="B944" s="12">
        <v>8</v>
      </c>
      <c r="C944" s="4" t="s">
        <v>152</v>
      </c>
      <c r="D944" s="4" t="s">
        <v>154</v>
      </c>
      <c r="E944" s="4">
        <v>11</v>
      </c>
      <c r="F944" s="4">
        <v>2</v>
      </c>
      <c r="G944" s="4">
        <v>3</v>
      </c>
      <c r="H944" s="115">
        <v>0.81600000000003092</v>
      </c>
      <c r="I944" s="115">
        <v>1.4660000000000366</v>
      </c>
      <c r="J944" s="115">
        <v>0.51700000000005275</v>
      </c>
      <c r="K944" s="115">
        <v>2.7990000000001203</v>
      </c>
      <c r="L944" s="12">
        <f t="shared" si="68"/>
        <v>0.25911584418507372</v>
      </c>
      <c r="M944" s="4">
        <f t="shared" si="69"/>
        <v>0.3919930722597193</v>
      </c>
      <c r="N944" s="4">
        <f t="shared" si="70"/>
        <v>0.18098558078674559</v>
      </c>
      <c r="O944" s="13">
        <f t="shared" si="71"/>
        <v>0.57966929355473407</v>
      </c>
    </row>
    <row r="945" spans="2:15">
      <c r="B945" s="12">
        <v>8</v>
      </c>
      <c r="C945" s="4" t="s">
        <v>152</v>
      </c>
      <c r="D945" s="4" t="s">
        <v>154</v>
      </c>
      <c r="E945" s="4">
        <v>11</v>
      </c>
      <c r="F945" s="4">
        <v>2</v>
      </c>
      <c r="G945" s="4">
        <v>4</v>
      </c>
      <c r="H945" s="115"/>
      <c r="I945" s="115"/>
      <c r="J945" s="115"/>
      <c r="K945" s="115">
        <v>0</v>
      </c>
      <c r="L945" s="12">
        <f t="shared" si="68"/>
        <v>0</v>
      </c>
      <c r="M945" s="4">
        <f t="shared" si="69"/>
        <v>0</v>
      </c>
      <c r="N945" s="4">
        <f t="shared" si="70"/>
        <v>0</v>
      </c>
      <c r="O945" s="13">
        <f t="shared" si="71"/>
        <v>0</v>
      </c>
    </row>
    <row r="946" spans="2:15">
      <c r="B946" s="12">
        <v>8</v>
      </c>
      <c r="C946" s="4" t="s">
        <v>152</v>
      </c>
      <c r="D946" s="4" t="s">
        <v>154</v>
      </c>
      <c r="E946" s="4">
        <v>11</v>
      </c>
      <c r="F946" s="4">
        <v>2</v>
      </c>
      <c r="G946" s="4">
        <v>5</v>
      </c>
      <c r="H946" s="115"/>
      <c r="I946" s="115"/>
      <c r="J946" s="115"/>
      <c r="K946" s="115">
        <v>0</v>
      </c>
      <c r="L946" s="12">
        <f t="shared" si="68"/>
        <v>0</v>
      </c>
      <c r="M946" s="4">
        <f t="shared" si="69"/>
        <v>0</v>
      </c>
      <c r="N946" s="4">
        <f t="shared" si="70"/>
        <v>0</v>
      </c>
      <c r="O946" s="13">
        <f t="shared" si="71"/>
        <v>0</v>
      </c>
    </row>
    <row r="947" spans="2:15">
      <c r="B947" s="12">
        <v>8</v>
      </c>
      <c r="C947" s="4" t="s">
        <v>152</v>
      </c>
      <c r="D947" s="4" t="s">
        <v>154</v>
      </c>
      <c r="E947" s="4">
        <v>11</v>
      </c>
      <c r="F947" s="4">
        <v>2</v>
      </c>
      <c r="G947" s="4">
        <v>6</v>
      </c>
      <c r="H947" s="115"/>
      <c r="I947" s="115"/>
      <c r="J947" s="115"/>
      <c r="K947" s="115">
        <v>0</v>
      </c>
      <c r="L947" s="12">
        <f t="shared" si="68"/>
        <v>0</v>
      </c>
      <c r="M947" s="4">
        <f t="shared" si="69"/>
        <v>0</v>
      </c>
      <c r="N947" s="4">
        <f t="shared" si="70"/>
        <v>0</v>
      </c>
      <c r="O947" s="13">
        <f t="shared" si="71"/>
        <v>0</v>
      </c>
    </row>
    <row r="948" spans="2:15">
      <c r="B948" s="12">
        <v>8</v>
      </c>
      <c r="C948" s="4" t="s">
        <v>152</v>
      </c>
      <c r="D948" s="4" t="s">
        <v>154</v>
      </c>
      <c r="E948" s="4">
        <v>11</v>
      </c>
      <c r="F948" s="4">
        <v>2</v>
      </c>
      <c r="G948" s="4">
        <v>7</v>
      </c>
      <c r="H948" s="115"/>
      <c r="I948" s="115"/>
      <c r="J948" s="115"/>
      <c r="K948" s="115">
        <v>0</v>
      </c>
      <c r="L948" s="12">
        <f t="shared" si="68"/>
        <v>0</v>
      </c>
      <c r="M948" s="4">
        <f t="shared" si="69"/>
        <v>0</v>
      </c>
      <c r="N948" s="4">
        <f t="shared" si="70"/>
        <v>0</v>
      </c>
      <c r="O948" s="13">
        <f t="shared" si="71"/>
        <v>0</v>
      </c>
    </row>
    <row r="949" spans="2:15">
      <c r="B949" s="12">
        <v>8</v>
      </c>
      <c r="C949" s="4" t="s">
        <v>152</v>
      </c>
      <c r="D949" s="4" t="s">
        <v>154</v>
      </c>
      <c r="E949" s="4">
        <v>11</v>
      </c>
      <c r="F949" s="4">
        <v>2</v>
      </c>
      <c r="G949" s="4">
        <v>8</v>
      </c>
      <c r="H949" s="115"/>
      <c r="I949" s="115"/>
      <c r="J949" s="115"/>
      <c r="K949" s="115">
        <v>0</v>
      </c>
      <c r="L949" s="12">
        <f t="shared" si="68"/>
        <v>0</v>
      </c>
      <c r="M949" s="4">
        <f t="shared" si="69"/>
        <v>0</v>
      </c>
      <c r="N949" s="4">
        <f t="shared" si="70"/>
        <v>0</v>
      </c>
      <c r="O949" s="13">
        <f t="shared" si="71"/>
        <v>0</v>
      </c>
    </row>
    <row r="950" spans="2:15">
      <c r="B950" s="12">
        <v>8</v>
      </c>
      <c r="C950" s="4" t="s">
        <v>152</v>
      </c>
      <c r="D950" s="4" t="s">
        <v>154</v>
      </c>
      <c r="E950" s="4">
        <v>11</v>
      </c>
      <c r="F950" s="4">
        <v>2</v>
      </c>
      <c r="G950" s="4">
        <v>9</v>
      </c>
      <c r="H950" s="115"/>
      <c r="I950" s="115"/>
      <c r="J950" s="115"/>
      <c r="K950" s="115">
        <v>0</v>
      </c>
      <c r="L950" s="12">
        <f t="shared" si="68"/>
        <v>0</v>
      </c>
      <c r="M950" s="4">
        <f t="shared" si="69"/>
        <v>0</v>
      </c>
      <c r="N950" s="4">
        <f t="shared" si="70"/>
        <v>0</v>
      </c>
      <c r="O950" s="13">
        <f t="shared" si="71"/>
        <v>0</v>
      </c>
    </row>
    <row r="951" spans="2:15" ht="13.8" thickBot="1">
      <c r="B951" s="14">
        <v>8</v>
      </c>
      <c r="C951" s="15" t="s">
        <v>152</v>
      </c>
      <c r="D951" s="15" t="s">
        <v>154</v>
      </c>
      <c r="E951" s="15">
        <v>11</v>
      </c>
      <c r="F951" s="15">
        <v>2</v>
      </c>
      <c r="G951" s="15">
        <v>10</v>
      </c>
      <c r="H951" s="121"/>
      <c r="I951" s="121"/>
      <c r="J951" s="121"/>
      <c r="K951" s="121">
        <v>0</v>
      </c>
      <c r="L951" s="14">
        <f t="shared" si="68"/>
        <v>0</v>
      </c>
      <c r="M951" s="15">
        <f t="shared" si="69"/>
        <v>0</v>
      </c>
      <c r="N951" s="15">
        <f t="shared" si="70"/>
        <v>0</v>
      </c>
      <c r="O951" s="16">
        <f t="shared" si="71"/>
        <v>0</v>
      </c>
    </row>
    <row r="952" spans="2:15">
      <c r="B952" s="9">
        <v>8</v>
      </c>
      <c r="C952" s="10" t="s">
        <v>152</v>
      </c>
      <c r="D952" s="10" t="s">
        <v>149</v>
      </c>
      <c r="E952" s="93">
        <v>12</v>
      </c>
      <c r="F952" s="93">
        <v>10</v>
      </c>
      <c r="G952" s="10">
        <v>1</v>
      </c>
      <c r="H952" s="120">
        <v>2.9509999999996808</v>
      </c>
      <c r="I952" s="120">
        <v>1.5670000000000073</v>
      </c>
      <c r="J952" s="120">
        <v>1.8669999999997344</v>
      </c>
      <c r="K952" s="120">
        <v>6.3849999999994225</v>
      </c>
      <c r="L952" s="9">
        <f t="shared" si="68"/>
        <v>0.59670702968141121</v>
      </c>
      <c r="M952" s="10">
        <f t="shared" si="69"/>
        <v>0.40942586867144459</v>
      </c>
      <c r="N952" s="10">
        <f t="shared" si="70"/>
        <v>0.45742769294644425</v>
      </c>
      <c r="O952" s="11">
        <f t="shared" si="71"/>
        <v>0.86835049964793432</v>
      </c>
    </row>
    <row r="953" spans="2:15">
      <c r="B953" s="12">
        <v>8</v>
      </c>
      <c r="C953" s="4" t="s">
        <v>152</v>
      </c>
      <c r="D953" s="4" t="s">
        <v>149</v>
      </c>
      <c r="E953" s="4">
        <v>12</v>
      </c>
      <c r="F953" s="4">
        <v>10</v>
      </c>
      <c r="G953" s="4">
        <v>2</v>
      </c>
      <c r="H953" s="115">
        <v>0.58299999999996999</v>
      </c>
      <c r="I953" s="115"/>
      <c r="J953" s="115">
        <v>0.34999999999990905</v>
      </c>
      <c r="K953" s="115">
        <v>0.93299999999987904</v>
      </c>
      <c r="L953" s="12">
        <f t="shared" si="68"/>
        <v>0.19948091486234767</v>
      </c>
      <c r="M953" s="4">
        <f t="shared" si="69"/>
        <v>0</v>
      </c>
      <c r="N953" s="4">
        <f t="shared" si="70"/>
        <v>0.13033376849497685</v>
      </c>
      <c r="O953" s="13">
        <f t="shared" si="71"/>
        <v>0.28623185402852586</v>
      </c>
    </row>
    <row r="954" spans="2:15">
      <c r="B954" s="12">
        <v>8</v>
      </c>
      <c r="C954" s="4" t="s">
        <v>152</v>
      </c>
      <c r="D954" s="4" t="s">
        <v>149</v>
      </c>
      <c r="E954" s="4">
        <v>12</v>
      </c>
      <c r="F954" s="4">
        <v>10</v>
      </c>
      <c r="G954" s="4">
        <v>3</v>
      </c>
      <c r="H954" s="115">
        <v>1.1999999999999318</v>
      </c>
      <c r="I954" s="115">
        <v>0.10000000000002274</v>
      </c>
      <c r="J954" s="115">
        <v>0.75099999999997635</v>
      </c>
      <c r="K954" s="115">
        <v>2.0509999999999309</v>
      </c>
      <c r="L954" s="12">
        <f t="shared" si="68"/>
        <v>0.34242268082219279</v>
      </c>
      <c r="M954" s="4">
        <f t="shared" si="69"/>
        <v>4.1392685158234015E-2</v>
      </c>
      <c r="N954" s="4">
        <f t="shared" si="70"/>
        <v>0.24328614608344026</v>
      </c>
      <c r="O954" s="13">
        <f t="shared" si="71"/>
        <v>0.4844422076423972</v>
      </c>
    </row>
    <row r="955" spans="2:15">
      <c r="B955" s="12">
        <v>8</v>
      </c>
      <c r="C955" s="4" t="s">
        <v>152</v>
      </c>
      <c r="D955" s="4" t="s">
        <v>149</v>
      </c>
      <c r="E955" s="4">
        <v>12</v>
      </c>
      <c r="F955" s="4">
        <v>10</v>
      </c>
      <c r="G955" s="4">
        <v>4</v>
      </c>
      <c r="H955" s="115">
        <v>0.13400000000001455</v>
      </c>
      <c r="I955" s="115">
        <v>0.10000000000002274</v>
      </c>
      <c r="J955" s="115"/>
      <c r="K955" s="115">
        <v>0.23400000000003729</v>
      </c>
      <c r="L955" s="12">
        <f t="shared" si="68"/>
        <v>5.4613054556893345E-2</v>
      </c>
      <c r="M955" s="4">
        <f t="shared" si="69"/>
        <v>4.1392685158234015E-2</v>
      </c>
      <c r="N955" s="4">
        <f t="shared" si="70"/>
        <v>0</v>
      </c>
      <c r="O955" s="13">
        <f t="shared" si="71"/>
        <v>9.1315159697235998E-2</v>
      </c>
    </row>
    <row r="956" spans="2:15">
      <c r="B956" s="12">
        <v>8</v>
      </c>
      <c r="C956" s="4" t="s">
        <v>152</v>
      </c>
      <c r="D956" s="4" t="s">
        <v>149</v>
      </c>
      <c r="E956" s="4">
        <v>12</v>
      </c>
      <c r="F956" s="4">
        <v>10</v>
      </c>
      <c r="G956" s="4">
        <v>5</v>
      </c>
      <c r="H956" s="115"/>
      <c r="I956" s="115"/>
      <c r="J956" s="115"/>
      <c r="K956" s="115">
        <v>0</v>
      </c>
      <c r="L956" s="12">
        <f t="shared" si="68"/>
        <v>0</v>
      </c>
      <c r="M956" s="4">
        <f t="shared" si="69"/>
        <v>0</v>
      </c>
      <c r="N956" s="4">
        <f t="shared" si="70"/>
        <v>0</v>
      </c>
      <c r="O956" s="13">
        <f t="shared" si="71"/>
        <v>0</v>
      </c>
    </row>
    <row r="957" spans="2:15">
      <c r="B957" s="12">
        <v>8</v>
      </c>
      <c r="C957" s="4" t="s">
        <v>152</v>
      </c>
      <c r="D957" s="4" t="s">
        <v>149</v>
      </c>
      <c r="E957" s="4">
        <v>12</v>
      </c>
      <c r="F957" s="4">
        <v>10</v>
      </c>
      <c r="G957" s="4">
        <v>6</v>
      </c>
      <c r="H957" s="115"/>
      <c r="I957" s="115"/>
      <c r="J957" s="115"/>
      <c r="K957" s="115">
        <v>0</v>
      </c>
      <c r="L957" s="12">
        <f t="shared" si="68"/>
        <v>0</v>
      </c>
      <c r="M957" s="4">
        <f t="shared" si="69"/>
        <v>0</v>
      </c>
      <c r="N957" s="4">
        <f t="shared" si="70"/>
        <v>0</v>
      </c>
      <c r="O957" s="13">
        <f t="shared" si="71"/>
        <v>0</v>
      </c>
    </row>
    <row r="958" spans="2:15">
      <c r="B958" s="12">
        <v>8</v>
      </c>
      <c r="C958" s="4" t="s">
        <v>152</v>
      </c>
      <c r="D958" s="4" t="s">
        <v>149</v>
      </c>
      <c r="E958" s="4">
        <v>12</v>
      </c>
      <c r="F958" s="4">
        <v>10</v>
      </c>
      <c r="G958" s="4">
        <v>7</v>
      </c>
      <c r="H958" s="115"/>
      <c r="I958" s="115"/>
      <c r="J958" s="115"/>
      <c r="K958" s="115">
        <v>0</v>
      </c>
      <c r="L958" s="12">
        <f t="shared" si="68"/>
        <v>0</v>
      </c>
      <c r="M958" s="4">
        <f t="shared" si="69"/>
        <v>0</v>
      </c>
      <c r="N958" s="4">
        <f t="shared" si="70"/>
        <v>0</v>
      </c>
      <c r="O958" s="13">
        <f t="shared" si="71"/>
        <v>0</v>
      </c>
    </row>
    <row r="959" spans="2:15">
      <c r="B959" s="12">
        <v>8</v>
      </c>
      <c r="C959" s="4" t="s">
        <v>152</v>
      </c>
      <c r="D959" s="4" t="s">
        <v>149</v>
      </c>
      <c r="E959" s="4">
        <v>12</v>
      </c>
      <c r="F959" s="4">
        <v>10</v>
      </c>
      <c r="G959" s="4">
        <v>8</v>
      </c>
      <c r="H959" s="115"/>
      <c r="I959" s="115"/>
      <c r="J959" s="115"/>
      <c r="K959" s="115">
        <v>0</v>
      </c>
      <c r="L959" s="12">
        <f t="shared" si="68"/>
        <v>0</v>
      </c>
      <c r="M959" s="4">
        <f t="shared" si="69"/>
        <v>0</v>
      </c>
      <c r="N959" s="4">
        <f t="shared" si="70"/>
        <v>0</v>
      </c>
      <c r="O959" s="13">
        <f t="shared" si="71"/>
        <v>0</v>
      </c>
    </row>
    <row r="960" spans="2:15">
      <c r="B960" s="12">
        <v>8</v>
      </c>
      <c r="C960" s="4" t="s">
        <v>152</v>
      </c>
      <c r="D960" s="4" t="s">
        <v>149</v>
      </c>
      <c r="E960" s="4">
        <v>12</v>
      </c>
      <c r="F960" s="4">
        <v>10</v>
      </c>
      <c r="G960" s="4">
        <v>9</v>
      </c>
      <c r="H960" s="115"/>
      <c r="I960" s="115"/>
      <c r="J960" s="115"/>
      <c r="K960" s="115">
        <v>0</v>
      </c>
      <c r="L960" s="12">
        <f t="shared" si="68"/>
        <v>0</v>
      </c>
      <c r="M960" s="4">
        <f t="shared" si="69"/>
        <v>0</v>
      </c>
      <c r="N960" s="4">
        <f t="shared" si="70"/>
        <v>0</v>
      </c>
      <c r="O960" s="13">
        <f t="shared" si="71"/>
        <v>0</v>
      </c>
    </row>
    <row r="961" spans="2:15" ht="13.8" thickBot="1">
      <c r="B961" s="14">
        <v>8</v>
      </c>
      <c r="C961" s="15" t="s">
        <v>152</v>
      </c>
      <c r="D961" s="15" t="s">
        <v>149</v>
      </c>
      <c r="E961" s="15">
        <v>12</v>
      </c>
      <c r="F961" s="15">
        <v>10</v>
      </c>
      <c r="G961" s="15">
        <v>10</v>
      </c>
      <c r="H961" s="121"/>
      <c r="I961" s="121"/>
      <c r="J961" s="121"/>
      <c r="K961" s="121">
        <v>0</v>
      </c>
      <c r="L961" s="14">
        <f t="shared" si="68"/>
        <v>0</v>
      </c>
      <c r="M961" s="15">
        <f t="shared" si="69"/>
        <v>0</v>
      </c>
      <c r="N961" s="15">
        <f t="shared" si="70"/>
        <v>0</v>
      </c>
      <c r="O961" s="16">
        <f t="shared" si="71"/>
        <v>0</v>
      </c>
    </row>
    <row r="962" spans="2:15">
      <c r="B962" s="9">
        <v>9</v>
      </c>
      <c r="C962" s="10" t="s">
        <v>151</v>
      </c>
      <c r="D962" s="10" t="s">
        <v>150</v>
      </c>
      <c r="E962" s="93">
        <v>1</v>
      </c>
      <c r="F962" s="93">
        <v>11</v>
      </c>
      <c r="G962" s="10">
        <v>1</v>
      </c>
      <c r="H962" s="120">
        <v>3.5179999999999154</v>
      </c>
      <c r="I962" s="120">
        <v>1.16599999999994</v>
      </c>
      <c r="J962" s="120">
        <v>4.7130000000003065</v>
      </c>
      <c r="K962" s="120">
        <v>9.3970000000001619</v>
      </c>
      <c r="L962" s="9">
        <f t="shared" si="68"/>
        <v>0.6549462265843361</v>
      </c>
      <c r="M962" s="10">
        <f t="shared" si="69"/>
        <v>0.33565845228928953</v>
      </c>
      <c r="N962" s="10">
        <f t="shared" si="70"/>
        <v>0.7568642240605723</v>
      </c>
      <c r="O962" s="11">
        <f t="shared" si="71"/>
        <v>1.0169080439720817</v>
      </c>
    </row>
    <row r="963" spans="2:15">
      <c r="B963" s="12">
        <v>9</v>
      </c>
      <c r="C963" s="4" t="s">
        <v>151</v>
      </c>
      <c r="D963" s="4" t="s">
        <v>150</v>
      </c>
      <c r="E963" s="4">
        <v>1</v>
      </c>
      <c r="F963" s="4">
        <v>11</v>
      </c>
      <c r="G963" s="4">
        <v>2</v>
      </c>
      <c r="H963" s="115">
        <v>0.58399999999994634</v>
      </c>
      <c r="I963" s="115">
        <v>1.0160000000000764</v>
      </c>
      <c r="J963" s="115">
        <v>7.9130000000000109</v>
      </c>
      <c r="K963" s="115">
        <v>9.5130000000000337</v>
      </c>
      <c r="L963" s="12">
        <f t="shared" si="68"/>
        <v>0.19975517725345998</v>
      </c>
      <c r="M963" s="4">
        <f t="shared" si="69"/>
        <v>0.30449052777350416</v>
      </c>
      <c r="N963" s="4">
        <f t="shared" si="70"/>
        <v>0.95002390652332702</v>
      </c>
      <c r="O963" s="13">
        <f t="shared" si="71"/>
        <v>1.0217266644137788</v>
      </c>
    </row>
    <row r="964" spans="2:15">
      <c r="B964" s="12">
        <v>9</v>
      </c>
      <c r="C964" s="4" t="s">
        <v>151</v>
      </c>
      <c r="D964" s="4" t="s">
        <v>150</v>
      </c>
      <c r="E964" s="4">
        <v>1</v>
      </c>
      <c r="F964" s="4">
        <v>11</v>
      </c>
      <c r="G964" s="4">
        <v>3</v>
      </c>
      <c r="H964" s="115">
        <v>2.7850000000000819</v>
      </c>
      <c r="I964" s="115">
        <v>0.75</v>
      </c>
      <c r="J964" s="115">
        <v>2.1500000000002046</v>
      </c>
      <c r="K964" s="115">
        <v>5.6850000000002865</v>
      </c>
      <c r="L964" s="12">
        <f t="shared" si="68"/>
        <v>0.57806588383610091</v>
      </c>
      <c r="M964" s="4">
        <f t="shared" si="69"/>
        <v>0.24303804868629444</v>
      </c>
      <c r="N964" s="4">
        <f t="shared" si="70"/>
        <v>0.49831055378962874</v>
      </c>
      <c r="O964" s="13">
        <f t="shared" si="71"/>
        <v>0.82510141159802175</v>
      </c>
    </row>
    <row r="965" spans="2:15">
      <c r="B965" s="12">
        <v>9</v>
      </c>
      <c r="C965" s="4" t="s">
        <v>151</v>
      </c>
      <c r="D965" s="4" t="s">
        <v>150</v>
      </c>
      <c r="E965" s="4">
        <v>1</v>
      </c>
      <c r="F965" s="4">
        <v>11</v>
      </c>
      <c r="G965" s="4">
        <v>4</v>
      </c>
      <c r="H965" s="115"/>
      <c r="I965" s="115"/>
      <c r="J965" s="115">
        <v>0.13400000000001455</v>
      </c>
      <c r="K965" s="115">
        <v>0.13400000000001455</v>
      </c>
      <c r="L965" s="12">
        <f t="shared" si="68"/>
        <v>0</v>
      </c>
      <c r="M965" s="4">
        <f t="shared" si="69"/>
        <v>0</v>
      </c>
      <c r="N965" s="4">
        <f t="shared" si="70"/>
        <v>5.4613054556893345E-2</v>
      </c>
      <c r="O965" s="13">
        <f t="shared" si="71"/>
        <v>5.4613054556893345E-2</v>
      </c>
    </row>
    <row r="966" spans="2:15">
      <c r="B966" s="12">
        <v>9</v>
      </c>
      <c r="C966" s="4" t="s">
        <v>151</v>
      </c>
      <c r="D966" s="4" t="s">
        <v>150</v>
      </c>
      <c r="E966" s="4">
        <v>1</v>
      </c>
      <c r="F966" s="4">
        <v>11</v>
      </c>
      <c r="G966" s="4">
        <v>5</v>
      </c>
      <c r="H966" s="115"/>
      <c r="I966" s="115"/>
      <c r="J966" s="115"/>
      <c r="K966" s="115">
        <v>0</v>
      </c>
      <c r="L966" s="12">
        <f t="shared" si="68"/>
        <v>0</v>
      </c>
      <c r="M966" s="4">
        <f t="shared" si="69"/>
        <v>0</v>
      </c>
      <c r="N966" s="4">
        <f t="shared" si="70"/>
        <v>0</v>
      </c>
      <c r="O966" s="13">
        <f t="shared" si="71"/>
        <v>0</v>
      </c>
    </row>
    <row r="967" spans="2:15">
      <c r="B967" s="12">
        <v>9</v>
      </c>
      <c r="C967" s="4" t="s">
        <v>151</v>
      </c>
      <c r="D967" s="4" t="s">
        <v>150</v>
      </c>
      <c r="E967" s="4">
        <v>1</v>
      </c>
      <c r="F967" s="4">
        <v>11</v>
      </c>
      <c r="G967" s="4">
        <v>6</v>
      </c>
      <c r="H967" s="115"/>
      <c r="I967" s="115"/>
      <c r="J967" s="115"/>
      <c r="K967" s="115">
        <v>0</v>
      </c>
      <c r="L967" s="12">
        <f t="shared" si="68"/>
        <v>0</v>
      </c>
      <c r="M967" s="4">
        <f t="shared" si="69"/>
        <v>0</v>
      </c>
      <c r="N967" s="4">
        <f t="shared" si="70"/>
        <v>0</v>
      </c>
      <c r="O967" s="13">
        <f t="shared" si="71"/>
        <v>0</v>
      </c>
    </row>
    <row r="968" spans="2:15">
      <c r="B968" s="12">
        <v>9</v>
      </c>
      <c r="C968" s="4" t="s">
        <v>151</v>
      </c>
      <c r="D968" s="4" t="s">
        <v>150</v>
      </c>
      <c r="E968" s="4">
        <v>1</v>
      </c>
      <c r="F968" s="4">
        <v>11</v>
      </c>
      <c r="G968" s="4">
        <v>7</v>
      </c>
      <c r="H968" s="115"/>
      <c r="I968" s="115"/>
      <c r="J968" s="115"/>
      <c r="K968" s="115">
        <v>0</v>
      </c>
      <c r="L968" s="12">
        <f t="shared" si="68"/>
        <v>0</v>
      </c>
      <c r="M968" s="4">
        <f t="shared" si="69"/>
        <v>0</v>
      </c>
      <c r="N968" s="4">
        <f t="shared" si="70"/>
        <v>0</v>
      </c>
      <c r="O968" s="13">
        <f t="shared" si="71"/>
        <v>0</v>
      </c>
    </row>
    <row r="969" spans="2:15">
      <c r="B969" s="12">
        <v>9</v>
      </c>
      <c r="C969" s="4" t="s">
        <v>151</v>
      </c>
      <c r="D969" s="4" t="s">
        <v>150</v>
      </c>
      <c r="E969" s="4">
        <v>1</v>
      </c>
      <c r="F969" s="4">
        <v>11</v>
      </c>
      <c r="G969" s="4">
        <v>8</v>
      </c>
      <c r="H969" s="115"/>
      <c r="I969" s="115"/>
      <c r="J969" s="115"/>
      <c r="K969" s="115">
        <v>0</v>
      </c>
      <c r="L969" s="12">
        <f t="shared" si="68"/>
        <v>0</v>
      </c>
      <c r="M969" s="4">
        <f t="shared" si="69"/>
        <v>0</v>
      </c>
      <c r="N969" s="4">
        <f t="shared" si="70"/>
        <v>0</v>
      </c>
      <c r="O969" s="13">
        <f t="shared" si="71"/>
        <v>0</v>
      </c>
    </row>
    <row r="970" spans="2:15">
      <c r="B970" s="12">
        <v>9</v>
      </c>
      <c r="C970" s="4" t="s">
        <v>151</v>
      </c>
      <c r="D970" s="4" t="s">
        <v>150</v>
      </c>
      <c r="E970" s="4">
        <v>1</v>
      </c>
      <c r="F970" s="4">
        <v>11</v>
      </c>
      <c r="G970" s="4">
        <v>9</v>
      </c>
      <c r="H970" s="115"/>
      <c r="I970" s="115"/>
      <c r="J970" s="115"/>
      <c r="K970" s="115">
        <v>0</v>
      </c>
      <c r="L970" s="12">
        <f t="shared" si="68"/>
        <v>0</v>
      </c>
      <c r="M970" s="4">
        <f t="shared" si="69"/>
        <v>0</v>
      </c>
      <c r="N970" s="4">
        <f t="shared" si="70"/>
        <v>0</v>
      </c>
      <c r="O970" s="13">
        <f t="shared" si="71"/>
        <v>0</v>
      </c>
    </row>
    <row r="971" spans="2:15" ht="13.8" thickBot="1">
      <c r="B971" s="14">
        <v>9</v>
      </c>
      <c r="C971" s="15" t="s">
        <v>151</v>
      </c>
      <c r="D971" s="15" t="s">
        <v>150</v>
      </c>
      <c r="E971" s="15">
        <v>1</v>
      </c>
      <c r="F971" s="15">
        <v>11</v>
      </c>
      <c r="G971" s="15">
        <v>10</v>
      </c>
      <c r="H971" s="121"/>
      <c r="I971" s="121"/>
      <c r="J971" s="121"/>
      <c r="K971" s="121">
        <v>0</v>
      </c>
      <c r="L971" s="14">
        <f t="shared" si="68"/>
        <v>0</v>
      </c>
      <c r="M971" s="15">
        <f t="shared" si="69"/>
        <v>0</v>
      </c>
      <c r="N971" s="15">
        <f t="shared" si="70"/>
        <v>0</v>
      </c>
      <c r="O971" s="16">
        <f t="shared" si="71"/>
        <v>0</v>
      </c>
    </row>
    <row r="972" spans="2:15">
      <c r="B972" s="9">
        <v>9</v>
      </c>
      <c r="C972" s="10" t="s">
        <v>151</v>
      </c>
      <c r="D972" s="10" t="s">
        <v>149</v>
      </c>
      <c r="E972" s="93">
        <v>2</v>
      </c>
      <c r="F972" s="93">
        <v>3</v>
      </c>
      <c r="G972" s="10">
        <v>1</v>
      </c>
      <c r="H972" s="120">
        <v>3.0659999999999741</v>
      </c>
      <c r="I972" s="120">
        <v>0.83400000000000318</v>
      </c>
      <c r="J972" s="120">
        <v>0.60100000000002751</v>
      </c>
      <c r="K972" s="120">
        <v>4.5010000000000048</v>
      </c>
      <c r="L972" s="9">
        <f t="shared" si="68"/>
        <v>0.60916737430201706</v>
      </c>
      <c r="M972" s="10">
        <f t="shared" si="69"/>
        <v>0.26339933133400306</v>
      </c>
      <c r="N972" s="10">
        <f t="shared" si="70"/>
        <v>0.2043913319193072</v>
      </c>
      <c r="O972" s="11">
        <f t="shared" si="71"/>
        <v>0.74044164494976639</v>
      </c>
    </row>
    <row r="973" spans="2:15">
      <c r="B973" s="12">
        <v>9</v>
      </c>
      <c r="C973" s="4" t="s">
        <v>151</v>
      </c>
      <c r="D973" s="4" t="s">
        <v>149</v>
      </c>
      <c r="E973" s="4">
        <v>2</v>
      </c>
      <c r="F973" s="4">
        <v>3</v>
      </c>
      <c r="G973" s="4">
        <v>2</v>
      </c>
      <c r="H973" s="115">
        <v>2.1660000000000252</v>
      </c>
      <c r="I973" s="115">
        <v>1.2330000000000041</v>
      </c>
      <c r="J973" s="115">
        <v>1.8499999999999943</v>
      </c>
      <c r="K973" s="115">
        <v>5.2490000000000236</v>
      </c>
      <c r="L973" s="12">
        <f t="shared" si="68"/>
        <v>0.50051091052634056</v>
      </c>
      <c r="M973" s="4">
        <f t="shared" si="69"/>
        <v>0.34888872307143876</v>
      </c>
      <c r="N973" s="4">
        <f t="shared" si="70"/>
        <v>0.45484486000850932</v>
      </c>
      <c r="O973" s="13">
        <f t="shared" si="71"/>
        <v>0.79581052466740998</v>
      </c>
    </row>
    <row r="974" spans="2:15">
      <c r="B974" s="12">
        <v>9</v>
      </c>
      <c r="C974" s="4" t="s">
        <v>151</v>
      </c>
      <c r="D974" s="4" t="s">
        <v>149</v>
      </c>
      <c r="E974" s="4">
        <v>2</v>
      </c>
      <c r="F974" s="4">
        <v>3</v>
      </c>
      <c r="G974" s="4">
        <v>3</v>
      </c>
      <c r="H974" s="115">
        <v>0.1839999999999975</v>
      </c>
      <c r="I974" s="115"/>
      <c r="J974" s="115">
        <v>0.882000000000005</v>
      </c>
      <c r="K974" s="115">
        <v>1.0660000000000025</v>
      </c>
      <c r="L974" s="12">
        <f t="shared" si="68"/>
        <v>7.3351702386900058E-2</v>
      </c>
      <c r="M974" s="4">
        <f t="shared" si="69"/>
        <v>0</v>
      </c>
      <c r="N974" s="4">
        <f t="shared" si="70"/>
        <v>0.27461961909123928</v>
      </c>
      <c r="O974" s="13">
        <f t="shared" si="71"/>
        <v>0.31513031718360229</v>
      </c>
    </row>
    <row r="975" spans="2:15">
      <c r="B975" s="12">
        <v>9</v>
      </c>
      <c r="C975" s="4" t="s">
        <v>151</v>
      </c>
      <c r="D975" s="4" t="s">
        <v>149</v>
      </c>
      <c r="E975" s="4">
        <v>2</v>
      </c>
      <c r="F975" s="4">
        <v>3</v>
      </c>
      <c r="G975" s="4">
        <v>4</v>
      </c>
      <c r="H975" s="115">
        <v>0.15000000000000568</v>
      </c>
      <c r="I975" s="115"/>
      <c r="J975" s="115"/>
      <c r="K975" s="115">
        <v>0.15000000000000568</v>
      </c>
      <c r="L975" s="12">
        <f t="shared" si="68"/>
        <v>6.0697840353613829E-2</v>
      </c>
      <c r="M975" s="4">
        <f t="shared" si="69"/>
        <v>0</v>
      </c>
      <c r="N975" s="4">
        <f t="shared" si="70"/>
        <v>0</v>
      </c>
      <c r="O975" s="13">
        <f t="shared" si="71"/>
        <v>6.0697840353613829E-2</v>
      </c>
    </row>
    <row r="976" spans="2:15">
      <c r="B976" s="12">
        <v>9</v>
      </c>
      <c r="C976" s="4" t="s">
        <v>151</v>
      </c>
      <c r="D976" s="4" t="s">
        <v>149</v>
      </c>
      <c r="E976" s="4">
        <v>2</v>
      </c>
      <c r="F976" s="4">
        <v>3</v>
      </c>
      <c r="G976" s="4">
        <v>5</v>
      </c>
      <c r="H976" s="115"/>
      <c r="I976" s="115"/>
      <c r="J976" s="115"/>
      <c r="K976" s="115">
        <v>0</v>
      </c>
      <c r="L976" s="12">
        <f t="shared" si="68"/>
        <v>0</v>
      </c>
      <c r="M976" s="4">
        <f t="shared" si="69"/>
        <v>0</v>
      </c>
      <c r="N976" s="4">
        <f t="shared" si="70"/>
        <v>0</v>
      </c>
      <c r="O976" s="13">
        <f t="shared" si="71"/>
        <v>0</v>
      </c>
    </row>
    <row r="977" spans="2:15">
      <c r="B977" s="12">
        <v>9</v>
      </c>
      <c r="C977" s="4" t="s">
        <v>151</v>
      </c>
      <c r="D977" s="4" t="s">
        <v>149</v>
      </c>
      <c r="E977" s="4">
        <v>2</v>
      </c>
      <c r="F977" s="4">
        <v>3</v>
      </c>
      <c r="G977" s="4">
        <v>6</v>
      </c>
      <c r="H977" s="115"/>
      <c r="I977" s="115"/>
      <c r="J977" s="115"/>
      <c r="K977" s="115">
        <v>0</v>
      </c>
      <c r="L977" s="12">
        <f t="shared" si="68"/>
        <v>0</v>
      </c>
      <c r="M977" s="4">
        <f t="shared" si="69"/>
        <v>0</v>
      </c>
      <c r="N977" s="4">
        <f t="shared" si="70"/>
        <v>0</v>
      </c>
      <c r="O977" s="13">
        <f t="shared" si="71"/>
        <v>0</v>
      </c>
    </row>
    <row r="978" spans="2:15">
      <c r="B978" s="12">
        <v>9</v>
      </c>
      <c r="C978" s="4" t="s">
        <v>151</v>
      </c>
      <c r="D978" s="4" t="s">
        <v>149</v>
      </c>
      <c r="E978" s="4">
        <v>2</v>
      </c>
      <c r="F978" s="4">
        <v>3</v>
      </c>
      <c r="G978" s="4">
        <v>7</v>
      </c>
      <c r="H978" s="115"/>
      <c r="I978" s="115"/>
      <c r="J978" s="115"/>
      <c r="K978" s="115">
        <v>0</v>
      </c>
      <c r="L978" s="12">
        <f t="shared" si="68"/>
        <v>0</v>
      </c>
      <c r="M978" s="4">
        <f t="shared" si="69"/>
        <v>0</v>
      </c>
      <c r="N978" s="4">
        <f t="shared" si="70"/>
        <v>0</v>
      </c>
      <c r="O978" s="13">
        <f t="shared" si="71"/>
        <v>0</v>
      </c>
    </row>
    <row r="979" spans="2:15">
      <c r="B979" s="12">
        <v>9</v>
      </c>
      <c r="C979" s="4" t="s">
        <v>151</v>
      </c>
      <c r="D979" s="4" t="s">
        <v>149</v>
      </c>
      <c r="E979" s="4">
        <v>2</v>
      </c>
      <c r="F979" s="4">
        <v>3</v>
      </c>
      <c r="G979" s="4">
        <v>8</v>
      </c>
      <c r="H979" s="115"/>
      <c r="I979" s="115"/>
      <c r="J979" s="115"/>
      <c r="K979" s="115">
        <v>0</v>
      </c>
      <c r="L979" s="12">
        <f t="shared" si="68"/>
        <v>0</v>
      </c>
      <c r="M979" s="4">
        <f t="shared" si="69"/>
        <v>0</v>
      </c>
      <c r="N979" s="4">
        <f t="shared" si="70"/>
        <v>0</v>
      </c>
      <c r="O979" s="13">
        <f t="shared" si="71"/>
        <v>0</v>
      </c>
    </row>
    <row r="980" spans="2:15">
      <c r="B980" s="12">
        <v>9</v>
      </c>
      <c r="C980" s="4" t="s">
        <v>151</v>
      </c>
      <c r="D980" s="4" t="s">
        <v>149</v>
      </c>
      <c r="E980" s="4">
        <v>2</v>
      </c>
      <c r="F980" s="4">
        <v>3</v>
      </c>
      <c r="G980" s="4">
        <v>9</v>
      </c>
      <c r="H980" s="115"/>
      <c r="I980" s="115"/>
      <c r="J980" s="115"/>
      <c r="K980" s="115">
        <v>0</v>
      </c>
      <c r="L980" s="12">
        <f t="shared" si="68"/>
        <v>0</v>
      </c>
      <c r="M980" s="4">
        <f t="shared" si="69"/>
        <v>0</v>
      </c>
      <c r="N980" s="4">
        <f t="shared" si="70"/>
        <v>0</v>
      </c>
      <c r="O980" s="13">
        <f t="shared" si="71"/>
        <v>0</v>
      </c>
    </row>
    <row r="981" spans="2:15" ht="13.8" thickBot="1">
      <c r="B981" s="14">
        <v>9</v>
      </c>
      <c r="C981" s="15" t="s">
        <v>151</v>
      </c>
      <c r="D981" s="15" t="s">
        <v>149</v>
      </c>
      <c r="E981" s="15">
        <v>2</v>
      </c>
      <c r="F981" s="15">
        <v>3</v>
      </c>
      <c r="G981" s="15">
        <v>10</v>
      </c>
      <c r="H981" s="121"/>
      <c r="I981" s="121"/>
      <c r="J981" s="121"/>
      <c r="K981" s="121">
        <v>0</v>
      </c>
      <c r="L981" s="14">
        <f t="shared" si="68"/>
        <v>0</v>
      </c>
      <c r="M981" s="15">
        <f t="shared" si="69"/>
        <v>0</v>
      </c>
      <c r="N981" s="15">
        <f t="shared" si="70"/>
        <v>0</v>
      </c>
      <c r="O981" s="16">
        <f t="shared" si="71"/>
        <v>0</v>
      </c>
    </row>
    <row r="982" spans="2:15">
      <c r="B982" s="9">
        <v>9</v>
      </c>
      <c r="C982" s="10" t="s">
        <v>151</v>
      </c>
      <c r="D982" s="10" t="s">
        <v>154</v>
      </c>
      <c r="E982" s="93">
        <v>3</v>
      </c>
      <c r="F982" s="93">
        <v>5</v>
      </c>
      <c r="G982" s="10">
        <v>1</v>
      </c>
      <c r="H982" s="120">
        <v>1.5559999999999832</v>
      </c>
      <c r="I982" s="120">
        <v>0.96600000000006503</v>
      </c>
      <c r="J982" s="120">
        <v>0.98300000000000409</v>
      </c>
      <c r="K982" s="120">
        <v>3.5050000000000523</v>
      </c>
      <c r="L982" s="9">
        <f t="shared" si="68"/>
        <v>0.40756084948635968</v>
      </c>
      <c r="M982" s="10">
        <f t="shared" si="69"/>
        <v>0.29358351349613121</v>
      </c>
      <c r="N982" s="10">
        <f t="shared" si="70"/>
        <v>0.2973227142053036</v>
      </c>
      <c r="O982" s="11">
        <f t="shared" si="71"/>
        <v>0.65369479531508679</v>
      </c>
    </row>
    <row r="983" spans="2:15">
      <c r="B983" s="12">
        <v>9</v>
      </c>
      <c r="C983" s="4" t="s">
        <v>151</v>
      </c>
      <c r="D983" s="4" t="s">
        <v>154</v>
      </c>
      <c r="E983" s="4">
        <v>3</v>
      </c>
      <c r="F983" s="4">
        <v>5</v>
      </c>
      <c r="G983" s="4">
        <v>2</v>
      </c>
      <c r="H983" s="115">
        <v>0.51700000000010959</v>
      </c>
      <c r="I983" s="115">
        <v>0.23399999999998045</v>
      </c>
      <c r="J983" s="115">
        <v>0.28300000000001546</v>
      </c>
      <c r="K983" s="115">
        <v>1.0340000000001055</v>
      </c>
      <c r="L983" s="12">
        <f t="shared" si="68"/>
        <v>0.18098558078676186</v>
      </c>
      <c r="M983" s="4">
        <f t="shared" si="69"/>
        <v>9.1315159697216E-2</v>
      </c>
      <c r="N983" s="4">
        <f t="shared" si="70"/>
        <v>0.10822665637493374</v>
      </c>
      <c r="O983" s="13">
        <f t="shared" si="71"/>
        <v>0.30835094858674833</v>
      </c>
    </row>
    <row r="984" spans="2:15">
      <c r="B984" s="12">
        <v>9</v>
      </c>
      <c r="C984" s="4" t="s">
        <v>151</v>
      </c>
      <c r="D984" s="4" t="s">
        <v>154</v>
      </c>
      <c r="E984" s="4">
        <v>3</v>
      </c>
      <c r="F984" s="4">
        <v>5</v>
      </c>
      <c r="G984" s="4">
        <v>3</v>
      </c>
      <c r="H984" s="115">
        <v>0.5180000000000291</v>
      </c>
      <c r="I984" s="115"/>
      <c r="J984" s="115">
        <v>0.21699999999998454</v>
      </c>
      <c r="K984" s="115">
        <v>0.73500000000001364</v>
      </c>
      <c r="L984" s="12">
        <f t="shared" si="68"/>
        <v>0.18127177155946989</v>
      </c>
      <c r="M984" s="4">
        <f t="shared" si="69"/>
        <v>0</v>
      </c>
      <c r="N984" s="4">
        <f t="shared" si="70"/>
        <v>8.5290578230059477E-2</v>
      </c>
      <c r="O984" s="13">
        <f t="shared" si="71"/>
        <v>0.23929947912689595</v>
      </c>
    </row>
    <row r="985" spans="2:15">
      <c r="B985" s="12">
        <v>9</v>
      </c>
      <c r="C985" s="4" t="s">
        <v>151</v>
      </c>
      <c r="D985" s="4" t="s">
        <v>154</v>
      </c>
      <c r="E985" s="4">
        <v>3</v>
      </c>
      <c r="F985" s="4">
        <v>5</v>
      </c>
      <c r="G985" s="4">
        <v>4</v>
      </c>
      <c r="H985" s="115">
        <v>0.15000000000003411</v>
      </c>
      <c r="I985" s="115">
        <v>0.23300000000000409</v>
      </c>
      <c r="J985" s="115"/>
      <c r="K985" s="115">
        <v>0.3830000000000382</v>
      </c>
      <c r="L985" s="12">
        <f t="shared" si="68"/>
        <v>6.0697840353624563E-2</v>
      </c>
      <c r="M985" s="4">
        <f t="shared" si="69"/>
        <v>9.0963076595733078E-2</v>
      </c>
      <c r="N985" s="4">
        <f t="shared" si="70"/>
        <v>0</v>
      </c>
      <c r="O985" s="13">
        <f t="shared" si="71"/>
        <v>0.14082218010932257</v>
      </c>
    </row>
    <row r="986" spans="2:15">
      <c r="B986" s="12">
        <v>9</v>
      </c>
      <c r="C986" s="4" t="s">
        <v>151</v>
      </c>
      <c r="D986" s="4" t="s">
        <v>154</v>
      </c>
      <c r="E986" s="4">
        <v>3</v>
      </c>
      <c r="F986" s="4">
        <v>5</v>
      </c>
      <c r="G986" s="4">
        <v>5</v>
      </c>
      <c r="H986" s="115"/>
      <c r="I986" s="115">
        <v>0.16599999999999682</v>
      </c>
      <c r="J986" s="115">
        <v>1.2000000000000455</v>
      </c>
      <c r="K986" s="115">
        <v>1.3660000000000423</v>
      </c>
      <c r="L986" s="12">
        <f t="shared" si="68"/>
        <v>0</v>
      </c>
      <c r="M986" s="4">
        <f t="shared" si="69"/>
        <v>6.6698550422994093E-2</v>
      </c>
      <c r="N986" s="4">
        <f t="shared" si="70"/>
        <v>0.34242268082221522</v>
      </c>
      <c r="O986" s="13">
        <f t="shared" si="71"/>
        <v>0.37401474029191933</v>
      </c>
    </row>
    <row r="987" spans="2:15">
      <c r="B987" s="12">
        <v>9</v>
      </c>
      <c r="C987" s="4" t="s">
        <v>151</v>
      </c>
      <c r="D987" s="4" t="s">
        <v>154</v>
      </c>
      <c r="E987" s="4">
        <v>3</v>
      </c>
      <c r="F987" s="4">
        <v>5</v>
      </c>
      <c r="G987" s="4">
        <v>6</v>
      </c>
      <c r="H987" s="115"/>
      <c r="I987" s="115"/>
      <c r="J987" s="115"/>
      <c r="K987" s="115">
        <v>0</v>
      </c>
      <c r="L987" s="12">
        <f t="shared" si="68"/>
        <v>0</v>
      </c>
      <c r="M987" s="4">
        <f t="shared" si="69"/>
        <v>0</v>
      </c>
      <c r="N987" s="4">
        <f t="shared" si="70"/>
        <v>0</v>
      </c>
      <c r="O987" s="13">
        <f t="shared" si="71"/>
        <v>0</v>
      </c>
    </row>
    <row r="988" spans="2:15">
      <c r="B988" s="12">
        <v>9</v>
      </c>
      <c r="C988" s="4" t="s">
        <v>151</v>
      </c>
      <c r="D988" s="4" t="s">
        <v>154</v>
      </c>
      <c r="E988" s="4">
        <v>3</v>
      </c>
      <c r="F988" s="4">
        <v>5</v>
      </c>
      <c r="G988" s="4">
        <v>7</v>
      </c>
      <c r="H988" s="115"/>
      <c r="I988" s="115"/>
      <c r="J988" s="115"/>
      <c r="K988" s="115">
        <v>0</v>
      </c>
      <c r="L988" s="12">
        <f t="shared" si="68"/>
        <v>0</v>
      </c>
      <c r="M988" s="4">
        <f t="shared" si="69"/>
        <v>0</v>
      </c>
      <c r="N988" s="4">
        <f t="shared" si="70"/>
        <v>0</v>
      </c>
      <c r="O988" s="13">
        <f t="shared" si="71"/>
        <v>0</v>
      </c>
    </row>
    <row r="989" spans="2:15">
      <c r="B989" s="12">
        <v>9</v>
      </c>
      <c r="C989" s="4" t="s">
        <v>151</v>
      </c>
      <c r="D989" s="4" t="s">
        <v>154</v>
      </c>
      <c r="E989" s="4">
        <v>3</v>
      </c>
      <c r="F989" s="4">
        <v>5</v>
      </c>
      <c r="G989" s="4">
        <v>8</v>
      </c>
      <c r="H989" s="115"/>
      <c r="I989" s="115"/>
      <c r="J989" s="115"/>
      <c r="K989" s="115">
        <v>0</v>
      </c>
      <c r="L989" s="12">
        <f t="shared" si="68"/>
        <v>0</v>
      </c>
      <c r="M989" s="4">
        <f t="shared" si="69"/>
        <v>0</v>
      </c>
      <c r="N989" s="4">
        <f t="shared" si="70"/>
        <v>0</v>
      </c>
      <c r="O989" s="13">
        <f t="shared" si="71"/>
        <v>0</v>
      </c>
    </row>
    <row r="990" spans="2:15">
      <c r="B990" s="12">
        <v>9</v>
      </c>
      <c r="C990" s="4" t="s">
        <v>151</v>
      </c>
      <c r="D990" s="4" t="s">
        <v>154</v>
      </c>
      <c r="E990" s="4">
        <v>3</v>
      </c>
      <c r="F990" s="4">
        <v>5</v>
      </c>
      <c r="G990" s="4">
        <v>9</v>
      </c>
      <c r="H990" s="115"/>
      <c r="I990" s="115"/>
      <c r="J990" s="115"/>
      <c r="K990" s="115">
        <v>0</v>
      </c>
      <c r="L990" s="12">
        <f t="shared" si="68"/>
        <v>0</v>
      </c>
      <c r="M990" s="4">
        <f t="shared" si="69"/>
        <v>0</v>
      </c>
      <c r="N990" s="4">
        <f t="shared" si="70"/>
        <v>0</v>
      </c>
      <c r="O990" s="13">
        <f t="shared" si="71"/>
        <v>0</v>
      </c>
    </row>
    <row r="991" spans="2:15" ht="13.8" thickBot="1">
      <c r="B991" s="14">
        <v>9</v>
      </c>
      <c r="C991" s="15" t="s">
        <v>151</v>
      </c>
      <c r="D991" s="15" t="s">
        <v>154</v>
      </c>
      <c r="E991" s="15">
        <v>3</v>
      </c>
      <c r="F991" s="15">
        <v>5</v>
      </c>
      <c r="G991" s="15">
        <v>10</v>
      </c>
      <c r="H991" s="121"/>
      <c r="I991" s="121"/>
      <c r="J991" s="121"/>
      <c r="K991" s="121">
        <v>0</v>
      </c>
      <c r="L991" s="14">
        <f t="shared" si="68"/>
        <v>0</v>
      </c>
      <c r="M991" s="15">
        <f t="shared" si="69"/>
        <v>0</v>
      </c>
      <c r="N991" s="15">
        <f t="shared" si="70"/>
        <v>0</v>
      </c>
      <c r="O991" s="16">
        <f t="shared" si="71"/>
        <v>0</v>
      </c>
    </row>
    <row r="992" spans="2:15">
      <c r="B992" s="9">
        <v>9</v>
      </c>
      <c r="C992" s="10" t="s">
        <v>151</v>
      </c>
      <c r="D992" s="10" t="s">
        <v>149</v>
      </c>
      <c r="E992" s="93">
        <v>4</v>
      </c>
      <c r="F992" s="93">
        <v>1</v>
      </c>
      <c r="G992" s="10">
        <v>1</v>
      </c>
      <c r="H992" s="120">
        <v>1.7169999999999987</v>
      </c>
      <c r="I992" s="120">
        <v>0.19999999999998863</v>
      </c>
      <c r="J992" s="120">
        <v>3.5299999999999869</v>
      </c>
      <c r="K992" s="120">
        <v>5.4469999999999743</v>
      </c>
      <c r="L992" s="9">
        <f t="shared" si="68"/>
        <v>0.43408963841789056</v>
      </c>
      <c r="M992" s="10">
        <f t="shared" si="69"/>
        <v>7.918124604762071E-2</v>
      </c>
      <c r="N992" s="10">
        <f t="shared" si="70"/>
        <v>0.65609820201283064</v>
      </c>
      <c r="O992" s="11">
        <f t="shared" si="71"/>
        <v>0.80935767021110405</v>
      </c>
    </row>
    <row r="993" spans="2:15">
      <c r="B993" s="12">
        <v>9</v>
      </c>
      <c r="C993" s="4" t="s">
        <v>151</v>
      </c>
      <c r="D993" s="4" t="s">
        <v>149</v>
      </c>
      <c r="E993" s="4">
        <v>4</v>
      </c>
      <c r="F993" s="4">
        <v>1</v>
      </c>
      <c r="G993" s="4">
        <v>2</v>
      </c>
      <c r="H993" s="115">
        <v>1.0340000000000344</v>
      </c>
      <c r="I993" s="115">
        <v>1.7849999999999824</v>
      </c>
      <c r="J993" s="115">
        <v>3.7989999999999924</v>
      </c>
      <c r="K993" s="115">
        <v>6.6180000000000092</v>
      </c>
      <c r="L993" s="12">
        <f t="shared" si="68"/>
        <v>0.30835094858673312</v>
      </c>
      <c r="M993" s="4">
        <f t="shared" si="69"/>
        <v>0.44482519950974497</v>
      </c>
      <c r="N993" s="4">
        <f t="shared" si="70"/>
        <v>0.68115074993242075</v>
      </c>
      <c r="O993" s="13">
        <f t="shared" si="71"/>
        <v>0.88184096832492798</v>
      </c>
    </row>
    <row r="994" spans="2:15">
      <c r="B994" s="12">
        <v>9</v>
      </c>
      <c r="C994" s="4" t="s">
        <v>151</v>
      </c>
      <c r="D994" s="4" t="s">
        <v>149</v>
      </c>
      <c r="E994" s="4">
        <v>4</v>
      </c>
      <c r="F994" s="4">
        <v>1</v>
      </c>
      <c r="G994" s="4">
        <v>3</v>
      </c>
      <c r="H994" s="115">
        <v>1.1170000000000044</v>
      </c>
      <c r="I994" s="115">
        <v>0.1839999999999975</v>
      </c>
      <c r="J994" s="115">
        <v>0.35000000000000853</v>
      </c>
      <c r="K994" s="115">
        <v>1.6510000000000105</v>
      </c>
      <c r="L994" s="12">
        <f t="shared" si="68"/>
        <v>0.32572085801941292</v>
      </c>
      <c r="M994" s="4">
        <f t="shared" si="69"/>
        <v>7.3351702386900058E-2</v>
      </c>
      <c r="N994" s="4">
        <f t="shared" si="70"/>
        <v>0.13033376849500886</v>
      </c>
      <c r="O994" s="13">
        <f t="shared" si="71"/>
        <v>0.42340972773309515</v>
      </c>
    </row>
    <row r="995" spans="2:15">
      <c r="B995" s="12">
        <v>9</v>
      </c>
      <c r="C995" s="4" t="s">
        <v>151</v>
      </c>
      <c r="D995" s="4" t="s">
        <v>149</v>
      </c>
      <c r="E995" s="4">
        <v>4</v>
      </c>
      <c r="F995" s="4">
        <v>1</v>
      </c>
      <c r="G995" s="4">
        <v>4</v>
      </c>
      <c r="H995" s="115">
        <v>0.10000000000000853</v>
      </c>
      <c r="I995" s="115"/>
      <c r="J995" s="115"/>
      <c r="K995" s="115">
        <v>0.10000000000000853</v>
      </c>
      <c r="L995" s="12">
        <f t="shared" si="68"/>
        <v>4.1392685158228408E-2</v>
      </c>
      <c r="M995" s="4">
        <f t="shared" si="69"/>
        <v>0</v>
      </c>
      <c r="N995" s="4">
        <f t="shared" si="70"/>
        <v>0</v>
      </c>
      <c r="O995" s="13">
        <f t="shared" si="71"/>
        <v>4.1392685158228408E-2</v>
      </c>
    </row>
    <row r="996" spans="2:15">
      <c r="B996" s="12">
        <v>9</v>
      </c>
      <c r="C996" s="4" t="s">
        <v>151</v>
      </c>
      <c r="D996" s="4" t="s">
        <v>149</v>
      </c>
      <c r="E996" s="4">
        <v>4</v>
      </c>
      <c r="F996" s="4">
        <v>1</v>
      </c>
      <c r="G996" s="4">
        <v>5</v>
      </c>
      <c r="H996" s="115"/>
      <c r="I996" s="115"/>
      <c r="J996" s="115"/>
      <c r="K996" s="115">
        <v>0</v>
      </c>
      <c r="L996" s="12">
        <f t="shared" si="68"/>
        <v>0</v>
      </c>
      <c r="M996" s="4">
        <f t="shared" si="69"/>
        <v>0</v>
      </c>
      <c r="N996" s="4">
        <f t="shared" si="70"/>
        <v>0</v>
      </c>
      <c r="O996" s="13">
        <f t="shared" si="71"/>
        <v>0</v>
      </c>
    </row>
    <row r="997" spans="2:15">
      <c r="B997" s="12">
        <v>9</v>
      </c>
      <c r="C997" s="4" t="s">
        <v>151</v>
      </c>
      <c r="D997" s="4" t="s">
        <v>149</v>
      </c>
      <c r="E997" s="4">
        <v>4</v>
      </c>
      <c r="F997" s="4">
        <v>1</v>
      </c>
      <c r="G997" s="4">
        <v>6</v>
      </c>
      <c r="H997" s="115"/>
      <c r="I997" s="115"/>
      <c r="J997" s="115"/>
      <c r="K997" s="115">
        <v>0</v>
      </c>
      <c r="L997" s="12">
        <f t="shared" si="68"/>
        <v>0</v>
      </c>
      <c r="M997" s="4">
        <f t="shared" si="69"/>
        <v>0</v>
      </c>
      <c r="N997" s="4">
        <f t="shared" si="70"/>
        <v>0</v>
      </c>
      <c r="O997" s="13">
        <f t="shared" si="71"/>
        <v>0</v>
      </c>
    </row>
    <row r="998" spans="2:15">
      <c r="B998" s="12">
        <v>9</v>
      </c>
      <c r="C998" s="4" t="s">
        <v>151</v>
      </c>
      <c r="D998" s="4" t="s">
        <v>149</v>
      </c>
      <c r="E998" s="4">
        <v>4</v>
      </c>
      <c r="F998" s="4">
        <v>1</v>
      </c>
      <c r="G998" s="4">
        <v>7</v>
      </c>
      <c r="H998" s="115"/>
      <c r="I998" s="115"/>
      <c r="J998" s="115"/>
      <c r="K998" s="115">
        <v>0</v>
      </c>
      <c r="L998" s="12">
        <f t="shared" si="68"/>
        <v>0</v>
      </c>
      <c r="M998" s="4">
        <f t="shared" si="69"/>
        <v>0</v>
      </c>
      <c r="N998" s="4">
        <f t="shared" si="70"/>
        <v>0</v>
      </c>
      <c r="O998" s="13">
        <f t="shared" si="71"/>
        <v>0</v>
      </c>
    </row>
    <row r="999" spans="2:15">
      <c r="B999" s="12">
        <v>9</v>
      </c>
      <c r="C999" s="4" t="s">
        <v>151</v>
      </c>
      <c r="D999" s="4" t="s">
        <v>149</v>
      </c>
      <c r="E999" s="4">
        <v>4</v>
      </c>
      <c r="F999" s="4">
        <v>1</v>
      </c>
      <c r="G999" s="4">
        <v>8</v>
      </c>
      <c r="H999" s="115"/>
      <c r="I999" s="115"/>
      <c r="J999" s="115"/>
      <c r="K999" s="115">
        <v>0</v>
      </c>
      <c r="L999" s="12">
        <f t="shared" ref="L999:L1062" si="72">LOG10(H999+1)</f>
        <v>0</v>
      </c>
      <c r="M999" s="4">
        <f t="shared" ref="M999:M1062" si="73">LOG10(I999+1)</f>
        <v>0</v>
      </c>
      <c r="N999" s="4">
        <f t="shared" ref="N999:N1062" si="74">LOG10(J999+1)</f>
        <v>0</v>
      </c>
      <c r="O999" s="13">
        <f t="shared" ref="O999:O1062" si="75">LOG10(K999+1)</f>
        <v>0</v>
      </c>
    </row>
    <row r="1000" spans="2:15">
      <c r="B1000" s="12">
        <v>9</v>
      </c>
      <c r="C1000" s="4" t="s">
        <v>151</v>
      </c>
      <c r="D1000" s="4" t="s">
        <v>149</v>
      </c>
      <c r="E1000" s="4">
        <v>4</v>
      </c>
      <c r="F1000" s="4">
        <v>1</v>
      </c>
      <c r="G1000" s="4">
        <v>9</v>
      </c>
      <c r="H1000" s="115"/>
      <c r="I1000" s="115"/>
      <c r="J1000" s="115"/>
      <c r="K1000" s="115">
        <v>0</v>
      </c>
      <c r="L1000" s="12">
        <f t="shared" si="72"/>
        <v>0</v>
      </c>
      <c r="M1000" s="4">
        <f t="shared" si="73"/>
        <v>0</v>
      </c>
      <c r="N1000" s="4">
        <f t="shared" si="74"/>
        <v>0</v>
      </c>
      <c r="O1000" s="13">
        <f t="shared" si="75"/>
        <v>0</v>
      </c>
    </row>
    <row r="1001" spans="2:15" ht="13.8" thickBot="1">
      <c r="B1001" s="14">
        <v>9</v>
      </c>
      <c r="C1001" s="15" t="s">
        <v>151</v>
      </c>
      <c r="D1001" s="15" t="s">
        <v>149</v>
      </c>
      <c r="E1001" s="15">
        <v>4</v>
      </c>
      <c r="F1001" s="15">
        <v>1</v>
      </c>
      <c r="G1001" s="15">
        <v>10</v>
      </c>
      <c r="H1001" s="121"/>
      <c r="I1001" s="121"/>
      <c r="J1001" s="121"/>
      <c r="K1001" s="121">
        <v>0</v>
      </c>
      <c r="L1001" s="14">
        <f t="shared" si="72"/>
        <v>0</v>
      </c>
      <c r="M1001" s="15">
        <f t="shared" si="73"/>
        <v>0</v>
      </c>
      <c r="N1001" s="15">
        <f t="shared" si="74"/>
        <v>0</v>
      </c>
      <c r="O1001" s="16">
        <f t="shared" si="75"/>
        <v>0</v>
      </c>
    </row>
    <row r="1002" spans="2:15">
      <c r="B1002" s="9">
        <v>9</v>
      </c>
      <c r="C1002" s="10" t="s">
        <v>151</v>
      </c>
      <c r="D1002" s="10" t="s">
        <v>150</v>
      </c>
      <c r="E1002" s="93">
        <v>5</v>
      </c>
      <c r="F1002" s="93">
        <v>9</v>
      </c>
      <c r="G1002" s="10">
        <v>1</v>
      </c>
      <c r="H1002" s="120">
        <v>3.053000000000111</v>
      </c>
      <c r="I1002" s="120">
        <v>1.41599999999994</v>
      </c>
      <c r="J1002" s="120">
        <v>6.6340000000000146</v>
      </c>
      <c r="K1002" s="120">
        <v>11.103000000000065</v>
      </c>
      <c r="L1002" s="9">
        <f t="shared" si="72"/>
        <v>0.60777660374170495</v>
      </c>
      <c r="M1002" s="10">
        <f t="shared" si="73"/>
        <v>0.38309692994908345</v>
      </c>
      <c r="N1002" s="10">
        <f t="shared" si="74"/>
        <v>0.88275215561308074</v>
      </c>
      <c r="O1002" s="11">
        <f t="shared" si="75"/>
        <v>1.0828930332881817</v>
      </c>
    </row>
    <row r="1003" spans="2:15">
      <c r="B1003" s="12">
        <v>9</v>
      </c>
      <c r="C1003" s="4" t="s">
        <v>151</v>
      </c>
      <c r="D1003" s="4" t="s">
        <v>150</v>
      </c>
      <c r="E1003" s="4">
        <v>5</v>
      </c>
      <c r="F1003" s="4">
        <v>9</v>
      </c>
      <c r="G1003" s="4">
        <v>2</v>
      </c>
      <c r="H1003" s="115">
        <v>3.2990000000000919</v>
      </c>
      <c r="I1003" s="115">
        <v>0.41700000000003001</v>
      </c>
      <c r="J1003" s="115">
        <v>4.6209999999999809</v>
      </c>
      <c r="K1003" s="115">
        <v>8.3370000000001028</v>
      </c>
      <c r="L1003" s="12">
        <f t="shared" si="72"/>
        <v>0.63336744511701615</v>
      </c>
      <c r="M1003" s="4">
        <f t="shared" si="73"/>
        <v>0.1513698502474696</v>
      </c>
      <c r="N1003" s="4">
        <f t="shared" si="74"/>
        <v>0.74981358529293629</v>
      </c>
      <c r="O1003" s="13">
        <f t="shared" si="75"/>
        <v>0.97020735880685938</v>
      </c>
    </row>
    <row r="1004" spans="2:15">
      <c r="B1004" s="12">
        <v>9</v>
      </c>
      <c r="C1004" s="4" t="s">
        <v>151</v>
      </c>
      <c r="D1004" s="4" t="s">
        <v>150</v>
      </c>
      <c r="E1004" s="4">
        <v>5</v>
      </c>
      <c r="F1004" s="4">
        <v>9</v>
      </c>
      <c r="G1004" s="4">
        <v>3</v>
      </c>
      <c r="H1004" s="115">
        <v>1.0990000000000464</v>
      </c>
      <c r="I1004" s="115">
        <v>0.35000000000002274</v>
      </c>
      <c r="J1004" s="115">
        <v>2.9680000000001883</v>
      </c>
      <c r="K1004" s="115">
        <v>4.4170000000002574</v>
      </c>
      <c r="L1004" s="12">
        <f t="shared" si="72"/>
        <v>0.32201243858241002</v>
      </c>
      <c r="M1004" s="4">
        <f t="shared" si="73"/>
        <v>0.13033376849501344</v>
      </c>
      <c r="N1004" s="4">
        <f t="shared" si="74"/>
        <v>0.59857166348216162</v>
      </c>
      <c r="O1004" s="13">
        <f t="shared" si="75"/>
        <v>0.73375883558722332</v>
      </c>
    </row>
    <row r="1005" spans="2:15">
      <c r="B1005" s="12">
        <v>9</v>
      </c>
      <c r="C1005" s="4" t="s">
        <v>151</v>
      </c>
      <c r="D1005" s="4" t="s">
        <v>150</v>
      </c>
      <c r="E1005" s="4">
        <v>5</v>
      </c>
      <c r="F1005" s="4">
        <v>9</v>
      </c>
      <c r="G1005" s="4">
        <v>4</v>
      </c>
      <c r="H1005" s="115">
        <v>0.45000000000004547</v>
      </c>
      <c r="I1005" s="115">
        <v>0.20000000000004547</v>
      </c>
      <c r="J1005" s="115">
        <v>2.2499999999998863</v>
      </c>
      <c r="K1005" s="115">
        <v>2.8999999999999773</v>
      </c>
      <c r="L1005" s="12">
        <f t="shared" si="72"/>
        <v>0.16136800223498851</v>
      </c>
      <c r="M1005" s="4">
        <f t="shared" si="73"/>
        <v>7.918124604764129E-2</v>
      </c>
      <c r="N1005" s="4">
        <f t="shared" si="74"/>
        <v>0.51188336097885923</v>
      </c>
      <c r="O1005" s="13">
        <f t="shared" si="75"/>
        <v>0.59106460702649666</v>
      </c>
    </row>
    <row r="1006" spans="2:15">
      <c r="B1006" s="12">
        <v>9</v>
      </c>
      <c r="C1006" s="4" t="s">
        <v>151</v>
      </c>
      <c r="D1006" s="4" t="s">
        <v>150</v>
      </c>
      <c r="E1006" s="4">
        <v>5</v>
      </c>
      <c r="F1006" s="4">
        <v>9</v>
      </c>
      <c r="G1006" s="4">
        <v>5</v>
      </c>
      <c r="H1006" s="115">
        <v>0.45000000000004547</v>
      </c>
      <c r="I1006" s="115">
        <v>0.43299999999999272</v>
      </c>
      <c r="J1006" s="115">
        <v>2.25</v>
      </c>
      <c r="K1006" s="115">
        <v>3.1330000000000382</v>
      </c>
      <c r="L1006" s="12">
        <f t="shared" si="72"/>
        <v>0.16136800223498851</v>
      </c>
      <c r="M1006" s="4">
        <f t="shared" si="73"/>
        <v>0.15624619039734228</v>
      </c>
      <c r="N1006" s="4">
        <f t="shared" si="74"/>
        <v>0.51188336097887432</v>
      </c>
      <c r="O1006" s="13">
        <f t="shared" si="75"/>
        <v>0.61626540528171225</v>
      </c>
    </row>
    <row r="1007" spans="2:15">
      <c r="B1007" s="12">
        <v>9</v>
      </c>
      <c r="C1007" s="4" t="s">
        <v>151</v>
      </c>
      <c r="D1007" s="4" t="s">
        <v>150</v>
      </c>
      <c r="E1007" s="4">
        <v>5</v>
      </c>
      <c r="F1007" s="4">
        <v>9</v>
      </c>
      <c r="G1007" s="4">
        <v>6</v>
      </c>
      <c r="H1007" s="115"/>
      <c r="I1007" s="115">
        <v>0.53399999999999181</v>
      </c>
      <c r="J1007" s="115">
        <v>0.21699999999998454</v>
      </c>
      <c r="K1007" s="115">
        <v>0.75099999999997635</v>
      </c>
      <c r="L1007" s="12">
        <f t="shared" si="72"/>
        <v>0</v>
      </c>
      <c r="M1007" s="4">
        <f t="shared" si="73"/>
        <v>0.18582535961295985</v>
      </c>
      <c r="N1007" s="4">
        <f t="shared" si="74"/>
        <v>8.5290578230059477E-2</v>
      </c>
      <c r="O1007" s="13">
        <f t="shared" si="75"/>
        <v>0.24328614608344026</v>
      </c>
    </row>
    <row r="1008" spans="2:15">
      <c r="B1008" s="12">
        <v>9</v>
      </c>
      <c r="C1008" s="4" t="s">
        <v>151</v>
      </c>
      <c r="D1008" s="4" t="s">
        <v>150</v>
      </c>
      <c r="E1008" s="4">
        <v>5</v>
      </c>
      <c r="F1008" s="4">
        <v>9</v>
      </c>
      <c r="G1008" s="4">
        <v>7</v>
      </c>
      <c r="H1008" s="115"/>
      <c r="I1008" s="115"/>
      <c r="J1008" s="115"/>
      <c r="K1008" s="115">
        <v>0</v>
      </c>
      <c r="L1008" s="12">
        <f t="shared" si="72"/>
        <v>0</v>
      </c>
      <c r="M1008" s="4">
        <f t="shared" si="73"/>
        <v>0</v>
      </c>
      <c r="N1008" s="4">
        <f t="shared" si="74"/>
        <v>0</v>
      </c>
      <c r="O1008" s="13">
        <f t="shared" si="75"/>
        <v>0</v>
      </c>
    </row>
    <row r="1009" spans="2:15">
      <c r="B1009" s="12">
        <v>9</v>
      </c>
      <c r="C1009" s="4" t="s">
        <v>151</v>
      </c>
      <c r="D1009" s="4" t="s">
        <v>150</v>
      </c>
      <c r="E1009" s="4">
        <v>5</v>
      </c>
      <c r="F1009" s="4">
        <v>9</v>
      </c>
      <c r="G1009" s="4">
        <v>8</v>
      </c>
      <c r="H1009" s="115"/>
      <c r="I1009" s="115"/>
      <c r="J1009" s="115"/>
      <c r="K1009" s="115">
        <v>0</v>
      </c>
      <c r="L1009" s="12">
        <f t="shared" si="72"/>
        <v>0</v>
      </c>
      <c r="M1009" s="4">
        <f t="shared" si="73"/>
        <v>0</v>
      </c>
      <c r="N1009" s="4">
        <f t="shared" si="74"/>
        <v>0</v>
      </c>
      <c r="O1009" s="13">
        <f t="shared" si="75"/>
        <v>0</v>
      </c>
    </row>
    <row r="1010" spans="2:15">
      <c r="B1010" s="12">
        <v>9</v>
      </c>
      <c r="C1010" s="4" t="s">
        <v>151</v>
      </c>
      <c r="D1010" s="4" t="s">
        <v>150</v>
      </c>
      <c r="E1010" s="4">
        <v>5</v>
      </c>
      <c r="F1010" s="4">
        <v>9</v>
      </c>
      <c r="G1010" s="4">
        <v>9</v>
      </c>
      <c r="H1010" s="115"/>
      <c r="I1010" s="115"/>
      <c r="J1010" s="115"/>
      <c r="K1010" s="115">
        <v>0</v>
      </c>
      <c r="L1010" s="12">
        <f t="shared" si="72"/>
        <v>0</v>
      </c>
      <c r="M1010" s="4">
        <f t="shared" si="73"/>
        <v>0</v>
      </c>
      <c r="N1010" s="4">
        <f t="shared" si="74"/>
        <v>0</v>
      </c>
      <c r="O1010" s="13">
        <f t="shared" si="75"/>
        <v>0</v>
      </c>
    </row>
    <row r="1011" spans="2:15" ht="13.8" thickBot="1">
      <c r="B1011" s="14">
        <v>9</v>
      </c>
      <c r="C1011" s="15" t="s">
        <v>151</v>
      </c>
      <c r="D1011" s="15" t="s">
        <v>150</v>
      </c>
      <c r="E1011" s="15">
        <v>5</v>
      </c>
      <c r="F1011" s="15">
        <v>9</v>
      </c>
      <c r="G1011" s="15">
        <v>10</v>
      </c>
      <c r="H1011" s="121"/>
      <c r="I1011" s="121"/>
      <c r="J1011" s="121"/>
      <c r="K1011" s="121">
        <v>0</v>
      </c>
      <c r="L1011" s="14">
        <f t="shared" si="72"/>
        <v>0</v>
      </c>
      <c r="M1011" s="15">
        <f t="shared" si="73"/>
        <v>0</v>
      </c>
      <c r="N1011" s="15">
        <f t="shared" si="74"/>
        <v>0</v>
      </c>
      <c r="O1011" s="16">
        <f t="shared" si="75"/>
        <v>0</v>
      </c>
    </row>
    <row r="1012" spans="2:15">
      <c r="B1012" s="9">
        <v>9</v>
      </c>
      <c r="C1012" s="10" t="s">
        <v>151</v>
      </c>
      <c r="D1012" s="10" t="s">
        <v>154</v>
      </c>
      <c r="E1012" s="93">
        <v>6</v>
      </c>
      <c r="F1012" s="93">
        <v>7</v>
      </c>
      <c r="G1012" s="10">
        <v>1</v>
      </c>
      <c r="H1012" s="120">
        <v>3.0990000000001601</v>
      </c>
      <c r="I1012" s="120">
        <v>1.66700000000003</v>
      </c>
      <c r="J1012" s="120">
        <v>0.50099999999997635</v>
      </c>
      <c r="K1012" s="120">
        <v>5.2670000000001664</v>
      </c>
      <c r="L1012" s="9">
        <f t="shared" si="72"/>
        <v>0.61267791831651874</v>
      </c>
      <c r="M1012" s="10">
        <f t="shared" si="73"/>
        <v>0.42602301568988105</v>
      </c>
      <c r="N1012" s="10">
        <f t="shared" si="74"/>
        <v>0.17638069224326355</v>
      </c>
      <c r="O1012" s="11">
        <f t="shared" si="75"/>
        <v>0.7970596946999825</v>
      </c>
    </row>
    <row r="1013" spans="2:15">
      <c r="B1013" s="12">
        <v>9</v>
      </c>
      <c r="C1013" s="4" t="s">
        <v>151</v>
      </c>
      <c r="D1013" s="4" t="s">
        <v>154</v>
      </c>
      <c r="E1013" s="4">
        <v>6</v>
      </c>
      <c r="F1013" s="4">
        <v>7</v>
      </c>
      <c r="G1013" s="4">
        <v>2</v>
      </c>
      <c r="H1013" s="115">
        <v>1.2340000000000373</v>
      </c>
      <c r="I1013" s="115"/>
      <c r="J1013" s="115">
        <v>0.71900000000005093</v>
      </c>
      <c r="K1013" s="115">
        <v>1.9530000000000882</v>
      </c>
      <c r="L1013" s="12">
        <f t="shared" si="72"/>
        <v>0.3490831687795975</v>
      </c>
      <c r="M1013" s="4">
        <f t="shared" si="73"/>
        <v>0</v>
      </c>
      <c r="N1013" s="4">
        <f t="shared" si="74"/>
        <v>0.23527587668706529</v>
      </c>
      <c r="O1013" s="13">
        <f t="shared" si="75"/>
        <v>0.47026344696509143</v>
      </c>
    </row>
    <row r="1014" spans="2:15">
      <c r="B1014" s="12">
        <v>9</v>
      </c>
      <c r="C1014" s="4" t="s">
        <v>151</v>
      </c>
      <c r="D1014" s="4" t="s">
        <v>154</v>
      </c>
      <c r="E1014" s="4">
        <v>6</v>
      </c>
      <c r="F1014" s="4">
        <v>7</v>
      </c>
      <c r="G1014" s="4">
        <v>3</v>
      </c>
      <c r="H1014" s="115">
        <v>0.88100000000002865</v>
      </c>
      <c r="I1014" s="115"/>
      <c r="J1014" s="115"/>
      <c r="K1014" s="115">
        <v>0.88100000000002865</v>
      </c>
      <c r="L1014" s="12">
        <f t="shared" si="72"/>
        <v>0.27438879555038548</v>
      </c>
      <c r="M1014" s="4">
        <f t="shared" si="73"/>
        <v>0</v>
      </c>
      <c r="N1014" s="4">
        <f t="shared" si="74"/>
        <v>0</v>
      </c>
      <c r="O1014" s="13">
        <f t="shared" si="75"/>
        <v>0.27438879555038548</v>
      </c>
    </row>
    <row r="1015" spans="2:15">
      <c r="B1015" s="12">
        <v>9</v>
      </c>
      <c r="C1015" s="4" t="s">
        <v>151</v>
      </c>
      <c r="D1015" s="4" t="s">
        <v>154</v>
      </c>
      <c r="E1015" s="4">
        <v>6</v>
      </c>
      <c r="F1015" s="4">
        <v>7</v>
      </c>
      <c r="G1015" s="4">
        <v>4</v>
      </c>
      <c r="H1015" s="115"/>
      <c r="I1015" s="115"/>
      <c r="J1015" s="115">
        <v>0.26699999999999591</v>
      </c>
      <c r="K1015" s="115">
        <v>0.26699999999999591</v>
      </c>
      <c r="L1015" s="12">
        <f t="shared" si="72"/>
        <v>0</v>
      </c>
      <c r="M1015" s="4">
        <f t="shared" si="73"/>
        <v>0</v>
      </c>
      <c r="N1015" s="4">
        <f t="shared" si="74"/>
        <v>0.10277661488343993</v>
      </c>
      <c r="O1015" s="13">
        <f t="shared" si="75"/>
        <v>0.10277661488343993</v>
      </c>
    </row>
    <row r="1016" spans="2:15">
      <c r="B1016" s="12">
        <v>9</v>
      </c>
      <c r="C1016" s="4" t="s">
        <v>151</v>
      </c>
      <c r="D1016" s="4" t="s">
        <v>154</v>
      </c>
      <c r="E1016" s="4">
        <v>6</v>
      </c>
      <c r="F1016" s="4">
        <v>7</v>
      </c>
      <c r="G1016" s="4">
        <v>5</v>
      </c>
      <c r="H1016" s="115"/>
      <c r="I1016" s="115"/>
      <c r="J1016" s="115"/>
      <c r="K1016" s="115">
        <v>0</v>
      </c>
      <c r="L1016" s="12">
        <f t="shared" si="72"/>
        <v>0</v>
      </c>
      <c r="M1016" s="4">
        <f t="shared" si="73"/>
        <v>0</v>
      </c>
      <c r="N1016" s="4">
        <f t="shared" si="74"/>
        <v>0</v>
      </c>
      <c r="O1016" s="13">
        <f t="shared" si="75"/>
        <v>0</v>
      </c>
    </row>
    <row r="1017" spans="2:15">
      <c r="B1017" s="12">
        <v>9</v>
      </c>
      <c r="C1017" s="4" t="s">
        <v>151</v>
      </c>
      <c r="D1017" s="4" t="s">
        <v>154</v>
      </c>
      <c r="E1017" s="4">
        <v>6</v>
      </c>
      <c r="F1017" s="4">
        <v>7</v>
      </c>
      <c r="G1017" s="4">
        <v>6</v>
      </c>
      <c r="H1017" s="115"/>
      <c r="I1017" s="115"/>
      <c r="J1017" s="115"/>
      <c r="K1017" s="115">
        <v>0</v>
      </c>
      <c r="L1017" s="12">
        <f t="shared" si="72"/>
        <v>0</v>
      </c>
      <c r="M1017" s="4">
        <f t="shared" si="73"/>
        <v>0</v>
      </c>
      <c r="N1017" s="4">
        <f t="shared" si="74"/>
        <v>0</v>
      </c>
      <c r="O1017" s="13">
        <f t="shared" si="75"/>
        <v>0</v>
      </c>
    </row>
    <row r="1018" spans="2:15">
      <c r="B1018" s="12">
        <v>9</v>
      </c>
      <c r="C1018" s="4" t="s">
        <v>151</v>
      </c>
      <c r="D1018" s="4" t="s">
        <v>154</v>
      </c>
      <c r="E1018" s="4">
        <v>6</v>
      </c>
      <c r="F1018" s="4">
        <v>7</v>
      </c>
      <c r="G1018" s="4">
        <v>7</v>
      </c>
      <c r="H1018" s="115"/>
      <c r="I1018" s="115"/>
      <c r="J1018" s="115"/>
      <c r="K1018" s="115">
        <v>0</v>
      </c>
      <c r="L1018" s="12">
        <f t="shared" si="72"/>
        <v>0</v>
      </c>
      <c r="M1018" s="4">
        <f t="shared" si="73"/>
        <v>0</v>
      </c>
      <c r="N1018" s="4">
        <f t="shared" si="74"/>
        <v>0</v>
      </c>
      <c r="O1018" s="13">
        <f t="shared" si="75"/>
        <v>0</v>
      </c>
    </row>
    <row r="1019" spans="2:15">
      <c r="B1019" s="12">
        <v>9</v>
      </c>
      <c r="C1019" s="4" t="s">
        <v>151</v>
      </c>
      <c r="D1019" s="4" t="s">
        <v>154</v>
      </c>
      <c r="E1019" s="4">
        <v>6</v>
      </c>
      <c r="F1019" s="4">
        <v>7</v>
      </c>
      <c r="G1019" s="4">
        <v>8</v>
      </c>
      <c r="H1019" s="115"/>
      <c r="I1019" s="115"/>
      <c r="J1019" s="115"/>
      <c r="K1019" s="115">
        <v>0</v>
      </c>
      <c r="L1019" s="12">
        <f t="shared" si="72"/>
        <v>0</v>
      </c>
      <c r="M1019" s="4">
        <f t="shared" si="73"/>
        <v>0</v>
      </c>
      <c r="N1019" s="4">
        <f t="shared" si="74"/>
        <v>0</v>
      </c>
      <c r="O1019" s="13">
        <f t="shared" si="75"/>
        <v>0</v>
      </c>
    </row>
    <row r="1020" spans="2:15">
      <c r="B1020" s="12">
        <v>9</v>
      </c>
      <c r="C1020" s="4" t="s">
        <v>151</v>
      </c>
      <c r="D1020" s="4" t="s">
        <v>154</v>
      </c>
      <c r="E1020" s="4">
        <v>6</v>
      </c>
      <c r="F1020" s="4">
        <v>7</v>
      </c>
      <c r="G1020" s="4">
        <v>9</v>
      </c>
      <c r="H1020" s="115"/>
      <c r="I1020" s="115"/>
      <c r="J1020" s="115"/>
      <c r="K1020" s="115">
        <v>0</v>
      </c>
      <c r="L1020" s="12">
        <f t="shared" si="72"/>
        <v>0</v>
      </c>
      <c r="M1020" s="4">
        <f t="shared" si="73"/>
        <v>0</v>
      </c>
      <c r="N1020" s="4">
        <f t="shared" si="74"/>
        <v>0</v>
      </c>
      <c r="O1020" s="13">
        <f t="shared" si="75"/>
        <v>0</v>
      </c>
    </row>
    <row r="1021" spans="2:15" ht="13.8" thickBot="1">
      <c r="B1021" s="14">
        <v>9</v>
      </c>
      <c r="C1021" s="15" t="s">
        <v>151</v>
      </c>
      <c r="D1021" s="15" t="s">
        <v>154</v>
      </c>
      <c r="E1021" s="15">
        <v>6</v>
      </c>
      <c r="F1021" s="15">
        <v>7</v>
      </c>
      <c r="G1021" s="15">
        <v>10</v>
      </c>
      <c r="H1021" s="121"/>
      <c r="I1021" s="121"/>
      <c r="J1021" s="121"/>
      <c r="K1021" s="121">
        <v>0</v>
      </c>
      <c r="L1021" s="14">
        <f t="shared" si="72"/>
        <v>0</v>
      </c>
      <c r="M1021" s="15">
        <f t="shared" si="73"/>
        <v>0</v>
      </c>
      <c r="N1021" s="15">
        <f t="shared" si="74"/>
        <v>0</v>
      </c>
      <c r="O1021" s="16">
        <f t="shared" si="75"/>
        <v>0</v>
      </c>
    </row>
    <row r="1022" spans="2:15">
      <c r="B1022" s="9">
        <v>9</v>
      </c>
      <c r="C1022" s="10" t="s">
        <v>152</v>
      </c>
      <c r="D1022" s="10" t="s">
        <v>150</v>
      </c>
      <c r="E1022" s="93">
        <v>7</v>
      </c>
      <c r="F1022" s="93">
        <v>10</v>
      </c>
      <c r="G1022" s="10">
        <v>1</v>
      </c>
      <c r="H1022" s="120">
        <v>4.6670000000003711</v>
      </c>
      <c r="I1022" s="120">
        <v>3.8800000000001091</v>
      </c>
      <c r="J1022" s="120">
        <v>2.5180000000000291</v>
      </c>
      <c r="K1022" s="120">
        <v>11.065000000000509</v>
      </c>
      <c r="L1022" s="9">
        <f t="shared" si="72"/>
        <v>0.75335321264152444</v>
      </c>
      <c r="M1022" s="10">
        <f t="shared" si="73"/>
        <v>0.68841982200272034</v>
      </c>
      <c r="N1022" s="10">
        <f t="shared" si="74"/>
        <v>0.54629583512144608</v>
      </c>
      <c r="O1022" s="11">
        <f t="shared" si="75"/>
        <v>1.0815273262448231</v>
      </c>
    </row>
    <row r="1023" spans="2:15">
      <c r="B1023" s="12">
        <v>9</v>
      </c>
      <c r="C1023" s="4" t="s">
        <v>152</v>
      </c>
      <c r="D1023" s="4" t="s">
        <v>150</v>
      </c>
      <c r="E1023" s="4">
        <v>7</v>
      </c>
      <c r="F1023" s="4">
        <v>10</v>
      </c>
      <c r="G1023" s="4">
        <v>2</v>
      </c>
      <c r="H1023" s="115">
        <v>1.2830000000000155</v>
      </c>
      <c r="I1023" s="115">
        <v>1.4490000000001828</v>
      </c>
      <c r="J1023" s="115">
        <v>0.18300000000010641</v>
      </c>
      <c r="K1023" s="115">
        <v>2.9150000000003047</v>
      </c>
      <c r="L1023" s="12">
        <f t="shared" si="72"/>
        <v>0.35850591149023819</v>
      </c>
      <c r="M1023" s="4">
        <f t="shared" si="73"/>
        <v>0.38898878512474655</v>
      </c>
      <c r="N1023" s="4">
        <f t="shared" si="74"/>
        <v>7.2984744627969431E-2</v>
      </c>
      <c r="O1023" s="13">
        <f t="shared" si="75"/>
        <v>0.59273176639399605</v>
      </c>
    </row>
    <row r="1024" spans="2:15">
      <c r="B1024" s="12">
        <v>9</v>
      </c>
      <c r="C1024" s="4" t="s">
        <v>152</v>
      </c>
      <c r="D1024" s="4" t="s">
        <v>150</v>
      </c>
      <c r="E1024" s="4">
        <v>7</v>
      </c>
      <c r="F1024" s="4">
        <v>10</v>
      </c>
      <c r="G1024" s="4">
        <v>3</v>
      </c>
      <c r="H1024" s="115">
        <v>0.31700000000000728</v>
      </c>
      <c r="I1024" s="115">
        <v>0.2660000000000764</v>
      </c>
      <c r="J1024" s="115">
        <v>1.2660000000000764</v>
      </c>
      <c r="K1024" s="115">
        <v>1.8490000000001601</v>
      </c>
      <c r="L1024" s="12">
        <f t="shared" si="72"/>
        <v>0.11958577496178621</v>
      </c>
      <c r="M1024" s="4">
        <f t="shared" si="73"/>
        <v>0.10243370568136251</v>
      </c>
      <c r="N1024" s="4">
        <f t="shared" si="74"/>
        <v>0.35525990552739306</v>
      </c>
      <c r="O1024" s="13">
        <f t="shared" si="75"/>
        <v>0.45469244923950125</v>
      </c>
    </row>
    <row r="1025" spans="2:15">
      <c r="B1025" s="12">
        <v>9</v>
      </c>
      <c r="C1025" s="4" t="s">
        <v>152</v>
      </c>
      <c r="D1025" s="4" t="s">
        <v>150</v>
      </c>
      <c r="E1025" s="4">
        <v>7</v>
      </c>
      <c r="F1025" s="4">
        <v>10</v>
      </c>
      <c r="G1025" s="4">
        <v>4</v>
      </c>
      <c r="H1025" s="115"/>
      <c r="I1025" s="115">
        <v>0.10000000000002274</v>
      </c>
      <c r="J1025" s="115">
        <v>0.95100000000013551</v>
      </c>
      <c r="K1025" s="115">
        <v>1.0510000000001583</v>
      </c>
      <c r="L1025" s="12">
        <f t="shared" si="72"/>
        <v>0</v>
      </c>
      <c r="M1025" s="4">
        <f t="shared" si="73"/>
        <v>4.1392685158234015E-2</v>
      </c>
      <c r="N1025" s="4">
        <f t="shared" si="74"/>
        <v>0.29025726939454821</v>
      </c>
      <c r="O1025" s="13">
        <f t="shared" si="75"/>
        <v>0.31196566036839979</v>
      </c>
    </row>
    <row r="1026" spans="2:15">
      <c r="B1026" s="12">
        <v>9</v>
      </c>
      <c r="C1026" s="4" t="s">
        <v>152</v>
      </c>
      <c r="D1026" s="4" t="s">
        <v>150</v>
      </c>
      <c r="E1026" s="4">
        <v>7</v>
      </c>
      <c r="F1026" s="4">
        <v>10</v>
      </c>
      <c r="G1026" s="4">
        <v>5</v>
      </c>
      <c r="H1026" s="115"/>
      <c r="I1026" s="115"/>
      <c r="J1026" s="115">
        <v>1.4319999999999027</v>
      </c>
      <c r="K1026" s="115">
        <v>1.4319999999999027</v>
      </c>
      <c r="L1026" s="12">
        <f t="shared" si="72"/>
        <v>0</v>
      </c>
      <c r="M1026" s="4">
        <f t="shared" si="73"/>
        <v>0</v>
      </c>
      <c r="N1026" s="4">
        <f t="shared" si="74"/>
        <v>0.38596357060067993</v>
      </c>
      <c r="O1026" s="13">
        <f t="shared" si="75"/>
        <v>0.38596357060067993</v>
      </c>
    </row>
    <row r="1027" spans="2:15">
      <c r="B1027" s="12">
        <v>9</v>
      </c>
      <c r="C1027" s="4" t="s">
        <v>152</v>
      </c>
      <c r="D1027" s="4" t="s">
        <v>150</v>
      </c>
      <c r="E1027" s="4">
        <v>7</v>
      </c>
      <c r="F1027" s="4">
        <v>10</v>
      </c>
      <c r="G1027" s="4">
        <v>6</v>
      </c>
      <c r="H1027" s="115"/>
      <c r="I1027" s="115"/>
      <c r="J1027" s="115"/>
      <c r="K1027" s="115">
        <v>0</v>
      </c>
      <c r="L1027" s="12">
        <f t="shared" si="72"/>
        <v>0</v>
      </c>
      <c r="M1027" s="4">
        <f t="shared" si="73"/>
        <v>0</v>
      </c>
      <c r="N1027" s="4">
        <f t="shared" si="74"/>
        <v>0</v>
      </c>
      <c r="O1027" s="13">
        <f t="shared" si="75"/>
        <v>0</v>
      </c>
    </row>
    <row r="1028" spans="2:15">
      <c r="B1028" s="12">
        <v>9</v>
      </c>
      <c r="C1028" s="4" t="s">
        <v>152</v>
      </c>
      <c r="D1028" s="4" t="s">
        <v>150</v>
      </c>
      <c r="E1028" s="4">
        <v>7</v>
      </c>
      <c r="F1028" s="4">
        <v>10</v>
      </c>
      <c r="G1028" s="4">
        <v>7</v>
      </c>
      <c r="H1028" s="115"/>
      <c r="I1028" s="115"/>
      <c r="J1028" s="115"/>
      <c r="K1028" s="115">
        <v>0</v>
      </c>
      <c r="L1028" s="12">
        <f t="shared" si="72"/>
        <v>0</v>
      </c>
      <c r="M1028" s="4">
        <f t="shared" si="73"/>
        <v>0</v>
      </c>
      <c r="N1028" s="4">
        <f t="shared" si="74"/>
        <v>0</v>
      </c>
      <c r="O1028" s="13">
        <f t="shared" si="75"/>
        <v>0</v>
      </c>
    </row>
    <row r="1029" spans="2:15">
      <c r="B1029" s="12">
        <v>9</v>
      </c>
      <c r="C1029" s="4" t="s">
        <v>152</v>
      </c>
      <c r="D1029" s="4" t="s">
        <v>150</v>
      </c>
      <c r="E1029" s="4">
        <v>7</v>
      </c>
      <c r="F1029" s="4">
        <v>10</v>
      </c>
      <c r="G1029" s="4">
        <v>8</v>
      </c>
      <c r="H1029" s="115"/>
      <c r="I1029" s="115"/>
      <c r="J1029" s="115"/>
      <c r="K1029" s="115">
        <v>0</v>
      </c>
      <c r="L1029" s="12">
        <f t="shared" si="72"/>
        <v>0</v>
      </c>
      <c r="M1029" s="4">
        <f t="shared" si="73"/>
        <v>0</v>
      </c>
      <c r="N1029" s="4">
        <f t="shared" si="74"/>
        <v>0</v>
      </c>
      <c r="O1029" s="13">
        <f t="shared" si="75"/>
        <v>0</v>
      </c>
    </row>
    <row r="1030" spans="2:15">
      <c r="B1030" s="12">
        <v>9</v>
      </c>
      <c r="C1030" s="4" t="s">
        <v>152</v>
      </c>
      <c r="D1030" s="4" t="s">
        <v>150</v>
      </c>
      <c r="E1030" s="4">
        <v>7</v>
      </c>
      <c r="F1030" s="4">
        <v>10</v>
      </c>
      <c r="G1030" s="4">
        <v>9</v>
      </c>
      <c r="H1030" s="115"/>
      <c r="I1030" s="115"/>
      <c r="J1030" s="115"/>
      <c r="K1030" s="115">
        <v>0</v>
      </c>
      <c r="L1030" s="12">
        <f t="shared" si="72"/>
        <v>0</v>
      </c>
      <c r="M1030" s="4">
        <f t="shared" si="73"/>
        <v>0</v>
      </c>
      <c r="N1030" s="4">
        <f t="shared" si="74"/>
        <v>0</v>
      </c>
      <c r="O1030" s="13">
        <f t="shared" si="75"/>
        <v>0</v>
      </c>
    </row>
    <row r="1031" spans="2:15" ht="13.8" thickBot="1">
      <c r="B1031" s="14">
        <v>9</v>
      </c>
      <c r="C1031" s="15" t="s">
        <v>152</v>
      </c>
      <c r="D1031" s="15" t="s">
        <v>150</v>
      </c>
      <c r="E1031" s="15">
        <v>7</v>
      </c>
      <c r="F1031" s="15">
        <v>10</v>
      </c>
      <c r="G1031" s="15">
        <v>10</v>
      </c>
      <c r="H1031" s="121"/>
      <c r="I1031" s="121"/>
      <c r="J1031" s="121"/>
      <c r="K1031" s="121">
        <v>0</v>
      </c>
      <c r="L1031" s="14">
        <f t="shared" si="72"/>
        <v>0</v>
      </c>
      <c r="M1031" s="15">
        <f t="shared" si="73"/>
        <v>0</v>
      </c>
      <c r="N1031" s="15">
        <f t="shared" si="74"/>
        <v>0</v>
      </c>
      <c r="O1031" s="16">
        <f t="shared" si="75"/>
        <v>0</v>
      </c>
    </row>
    <row r="1032" spans="2:15">
      <c r="B1032" s="9">
        <v>9</v>
      </c>
      <c r="C1032" s="10" t="s">
        <v>152</v>
      </c>
      <c r="D1032" s="10" t="s">
        <v>154</v>
      </c>
      <c r="E1032" s="93">
        <v>8</v>
      </c>
      <c r="F1032" s="93">
        <v>6</v>
      </c>
      <c r="G1032" s="10">
        <v>1</v>
      </c>
      <c r="H1032" s="120">
        <v>4.5809999999999036</v>
      </c>
      <c r="I1032" s="120">
        <v>0.21600000000000819</v>
      </c>
      <c r="J1032" s="120">
        <v>1.049000000000035</v>
      </c>
      <c r="K1032" s="120">
        <v>5.8459999999999468</v>
      </c>
      <c r="L1032" s="9">
        <f t="shared" si="72"/>
        <v>0.74671202251665292</v>
      </c>
      <c r="M1032" s="10">
        <f t="shared" si="73"/>
        <v>8.4933574936719061E-2</v>
      </c>
      <c r="N1032" s="10">
        <f t="shared" si="74"/>
        <v>0.31154195840120241</v>
      </c>
      <c r="O1032" s="11">
        <f t="shared" si="75"/>
        <v>0.8354368948018549</v>
      </c>
    </row>
    <row r="1033" spans="2:15">
      <c r="B1033" s="12">
        <v>9</v>
      </c>
      <c r="C1033" s="4" t="s">
        <v>152</v>
      </c>
      <c r="D1033" s="4" t="s">
        <v>154</v>
      </c>
      <c r="E1033" s="4">
        <v>8</v>
      </c>
      <c r="F1033" s="4">
        <v>6</v>
      </c>
      <c r="G1033" s="4">
        <v>2</v>
      </c>
      <c r="H1033" s="115">
        <v>0.71499999999997499</v>
      </c>
      <c r="I1033" s="115">
        <v>1.132000000000005</v>
      </c>
      <c r="J1033" s="115">
        <v>1.8009999999999309</v>
      </c>
      <c r="K1033" s="115">
        <v>3.6479999999999109</v>
      </c>
      <c r="L1033" s="12">
        <f t="shared" si="72"/>
        <v>0.23426412437878297</v>
      </c>
      <c r="M1033" s="4">
        <f t="shared" si="73"/>
        <v>0.32878720035453568</v>
      </c>
      <c r="N1033" s="4">
        <f t="shared" si="74"/>
        <v>0.44731310882355751</v>
      </c>
      <c r="O1033" s="13">
        <f t="shared" si="75"/>
        <v>0.66726611938226599</v>
      </c>
    </row>
    <row r="1034" spans="2:15">
      <c r="B1034" s="12">
        <v>9</v>
      </c>
      <c r="C1034" s="4" t="s">
        <v>152</v>
      </c>
      <c r="D1034" s="4" t="s">
        <v>154</v>
      </c>
      <c r="E1034" s="4">
        <v>8</v>
      </c>
      <c r="F1034" s="4">
        <v>6</v>
      </c>
      <c r="G1034" s="4">
        <v>3</v>
      </c>
      <c r="H1034" s="115"/>
      <c r="I1034" s="115"/>
      <c r="J1034" s="115">
        <v>0.4989999999999668</v>
      </c>
      <c r="K1034" s="115">
        <v>0.4989999999999668</v>
      </c>
      <c r="L1034" s="12">
        <f t="shared" si="72"/>
        <v>0</v>
      </c>
      <c r="M1034" s="4">
        <f t="shared" si="73"/>
        <v>0</v>
      </c>
      <c r="N1034" s="4">
        <f t="shared" si="74"/>
        <v>0.17580163284826986</v>
      </c>
      <c r="O1034" s="13">
        <f t="shared" si="75"/>
        <v>0.17580163284826986</v>
      </c>
    </row>
    <row r="1035" spans="2:15">
      <c r="B1035" s="12">
        <v>9</v>
      </c>
      <c r="C1035" s="4" t="s">
        <v>152</v>
      </c>
      <c r="D1035" s="4" t="s">
        <v>154</v>
      </c>
      <c r="E1035" s="4">
        <v>8</v>
      </c>
      <c r="F1035" s="4">
        <v>6</v>
      </c>
      <c r="G1035" s="4">
        <v>4</v>
      </c>
      <c r="H1035" s="115"/>
      <c r="I1035" s="115"/>
      <c r="J1035" s="115">
        <v>0.10000000000002274</v>
      </c>
      <c r="K1035" s="115">
        <v>0.10000000000002274</v>
      </c>
      <c r="L1035" s="12">
        <f t="shared" si="72"/>
        <v>0</v>
      </c>
      <c r="M1035" s="4">
        <f t="shared" si="73"/>
        <v>0</v>
      </c>
      <c r="N1035" s="4">
        <f t="shared" si="74"/>
        <v>4.1392685158234015E-2</v>
      </c>
      <c r="O1035" s="13">
        <f t="shared" si="75"/>
        <v>4.1392685158234015E-2</v>
      </c>
    </row>
    <row r="1036" spans="2:15">
      <c r="B1036" s="12">
        <v>9</v>
      </c>
      <c r="C1036" s="4" t="s">
        <v>152</v>
      </c>
      <c r="D1036" s="4" t="s">
        <v>154</v>
      </c>
      <c r="E1036" s="4">
        <v>8</v>
      </c>
      <c r="F1036" s="4">
        <v>6</v>
      </c>
      <c r="G1036" s="4">
        <v>5</v>
      </c>
      <c r="H1036" s="115">
        <v>0.41699999999997317</v>
      </c>
      <c r="I1036" s="115"/>
      <c r="J1036" s="115"/>
      <c r="K1036" s="115">
        <v>0.41699999999997317</v>
      </c>
      <c r="L1036" s="12">
        <f t="shared" si="72"/>
        <v>0.15136985024745217</v>
      </c>
      <c r="M1036" s="4">
        <f t="shared" si="73"/>
        <v>0</v>
      </c>
      <c r="N1036" s="4">
        <f t="shared" si="74"/>
        <v>0</v>
      </c>
      <c r="O1036" s="13">
        <f t="shared" si="75"/>
        <v>0.15136985024745217</v>
      </c>
    </row>
    <row r="1037" spans="2:15">
      <c r="B1037" s="12">
        <v>9</v>
      </c>
      <c r="C1037" s="4" t="s">
        <v>152</v>
      </c>
      <c r="D1037" s="4" t="s">
        <v>154</v>
      </c>
      <c r="E1037" s="4">
        <v>8</v>
      </c>
      <c r="F1037" s="4">
        <v>6</v>
      </c>
      <c r="G1037" s="4">
        <v>6</v>
      </c>
      <c r="H1037" s="115"/>
      <c r="I1037" s="115"/>
      <c r="J1037" s="115"/>
      <c r="K1037" s="115">
        <v>0</v>
      </c>
      <c r="L1037" s="12">
        <f t="shared" si="72"/>
        <v>0</v>
      </c>
      <c r="M1037" s="4">
        <f t="shared" si="73"/>
        <v>0</v>
      </c>
      <c r="N1037" s="4">
        <f t="shared" si="74"/>
        <v>0</v>
      </c>
      <c r="O1037" s="13">
        <f t="shared" si="75"/>
        <v>0</v>
      </c>
    </row>
    <row r="1038" spans="2:15">
      <c r="B1038" s="12">
        <v>9</v>
      </c>
      <c r="C1038" s="4" t="s">
        <v>152</v>
      </c>
      <c r="D1038" s="4" t="s">
        <v>154</v>
      </c>
      <c r="E1038" s="4">
        <v>8</v>
      </c>
      <c r="F1038" s="4">
        <v>6</v>
      </c>
      <c r="G1038" s="4">
        <v>7</v>
      </c>
      <c r="H1038" s="115"/>
      <c r="I1038" s="115"/>
      <c r="J1038" s="115"/>
      <c r="K1038" s="115">
        <v>0</v>
      </c>
      <c r="L1038" s="12">
        <f t="shared" si="72"/>
        <v>0</v>
      </c>
      <c r="M1038" s="4">
        <f t="shared" si="73"/>
        <v>0</v>
      </c>
      <c r="N1038" s="4">
        <f t="shared" si="74"/>
        <v>0</v>
      </c>
      <c r="O1038" s="13">
        <f t="shared" si="75"/>
        <v>0</v>
      </c>
    </row>
    <row r="1039" spans="2:15">
      <c r="B1039" s="12">
        <v>9</v>
      </c>
      <c r="C1039" s="4" t="s">
        <v>152</v>
      </c>
      <c r="D1039" s="4" t="s">
        <v>154</v>
      </c>
      <c r="E1039" s="4">
        <v>8</v>
      </c>
      <c r="F1039" s="4">
        <v>6</v>
      </c>
      <c r="G1039" s="4">
        <v>8</v>
      </c>
      <c r="H1039" s="115"/>
      <c r="I1039" s="115"/>
      <c r="J1039" s="115"/>
      <c r="K1039" s="115">
        <v>0</v>
      </c>
      <c r="L1039" s="12">
        <f t="shared" si="72"/>
        <v>0</v>
      </c>
      <c r="M1039" s="4">
        <f t="shared" si="73"/>
        <v>0</v>
      </c>
      <c r="N1039" s="4">
        <f t="shared" si="74"/>
        <v>0</v>
      </c>
      <c r="O1039" s="13">
        <f t="shared" si="75"/>
        <v>0</v>
      </c>
    </row>
    <row r="1040" spans="2:15">
      <c r="B1040" s="12">
        <v>9</v>
      </c>
      <c r="C1040" s="4" t="s">
        <v>152</v>
      </c>
      <c r="D1040" s="4" t="s">
        <v>154</v>
      </c>
      <c r="E1040" s="4">
        <v>8</v>
      </c>
      <c r="F1040" s="4">
        <v>6</v>
      </c>
      <c r="G1040" s="4">
        <v>9</v>
      </c>
      <c r="H1040" s="115"/>
      <c r="I1040" s="115"/>
      <c r="J1040" s="115"/>
      <c r="K1040" s="115">
        <v>0</v>
      </c>
      <c r="L1040" s="12">
        <f t="shared" si="72"/>
        <v>0</v>
      </c>
      <c r="M1040" s="4">
        <f t="shared" si="73"/>
        <v>0</v>
      </c>
      <c r="N1040" s="4">
        <f t="shared" si="74"/>
        <v>0</v>
      </c>
      <c r="O1040" s="13">
        <f t="shared" si="75"/>
        <v>0</v>
      </c>
    </row>
    <row r="1041" spans="2:15" ht="13.8" thickBot="1">
      <c r="B1041" s="14">
        <v>9</v>
      </c>
      <c r="C1041" s="15" t="s">
        <v>152</v>
      </c>
      <c r="D1041" s="15" t="s">
        <v>154</v>
      </c>
      <c r="E1041" s="15">
        <v>8</v>
      </c>
      <c r="F1041" s="15">
        <v>6</v>
      </c>
      <c r="G1041" s="15">
        <v>10</v>
      </c>
      <c r="H1041" s="121"/>
      <c r="I1041" s="121"/>
      <c r="J1041" s="121"/>
      <c r="K1041" s="121">
        <v>0</v>
      </c>
      <c r="L1041" s="14">
        <f t="shared" si="72"/>
        <v>0</v>
      </c>
      <c r="M1041" s="15">
        <f t="shared" si="73"/>
        <v>0</v>
      </c>
      <c r="N1041" s="15">
        <f t="shared" si="74"/>
        <v>0</v>
      </c>
      <c r="O1041" s="16">
        <f t="shared" si="75"/>
        <v>0</v>
      </c>
    </row>
    <row r="1042" spans="2:15">
      <c r="B1042" s="9">
        <v>9</v>
      </c>
      <c r="C1042" s="10" t="s">
        <v>152</v>
      </c>
      <c r="D1042" s="10" t="s">
        <v>154</v>
      </c>
      <c r="E1042" s="93">
        <v>9</v>
      </c>
      <c r="F1042" s="93">
        <v>8</v>
      </c>
      <c r="G1042" s="10">
        <v>1</v>
      </c>
      <c r="H1042" s="120">
        <v>3.2299999999999045</v>
      </c>
      <c r="I1042" s="120">
        <v>1.1340000000000714</v>
      </c>
      <c r="J1042" s="120">
        <v>2.8969999999999345</v>
      </c>
      <c r="K1042" s="120">
        <v>7.2609999999999104</v>
      </c>
      <c r="L1042" s="9">
        <f t="shared" si="72"/>
        <v>0.62634036737503251</v>
      </c>
      <c r="M1042" s="10">
        <f t="shared" si="73"/>
        <v>0.32919441508846564</v>
      </c>
      <c r="N1042" s="10">
        <f t="shared" si="74"/>
        <v>0.59073040579268299</v>
      </c>
      <c r="O1042" s="11">
        <f t="shared" si="75"/>
        <v>0.91703262216238868</v>
      </c>
    </row>
    <row r="1043" spans="2:15">
      <c r="B1043" s="12">
        <v>9</v>
      </c>
      <c r="C1043" s="4" t="s">
        <v>152</v>
      </c>
      <c r="D1043" s="4" t="s">
        <v>154</v>
      </c>
      <c r="E1043" s="4">
        <v>9</v>
      </c>
      <c r="F1043" s="4">
        <v>8</v>
      </c>
      <c r="G1043" s="4">
        <v>2</v>
      </c>
      <c r="H1043" s="115">
        <v>1.5159999999999627</v>
      </c>
      <c r="I1043" s="115"/>
      <c r="J1043" s="115"/>
      <c r="K1043" s="115">
        <v>1.5159999999999627</v>
      </c>
      <c r="L1043" s="12">
        <f t="shared" si="72"/>
        <v>0.40071063677322488</v>
      </c>
      <c r="M1043" s="4">
        <f t="shared" si="73"/>
        <v>0</v>
      </c>
      <c r="N1043" s="4">
        <f t="shared" si="74"/>
        <v>0</v>
      </c>
      <c r="O1043" s="13">
        <f t="shared" si="75"/>
        <v>0.40071063677322488</v>
      </c>
    </row>
    <row r="1044" spans="2:15">
      <c r="B1044" s="12">
        <v>9</v>
      </c>
      <c r="C1044" s="4" t="s">
        <v>152</v>
      </c>
      <c r="D1044" s="4" t="s">
        <v>154</v>
      </c>
      <c r="E1044" s="4">
        <v>9</v>
      </c>
      <c r="F1044" s="4">
        <v>8</v>
      </c>
      <c r="G1044" s="4">
        <v>3</v>
      </c>
      <c r="H1044" s="115">
        <v>0.11700000000001864</v>
      </c>
      <c r="I1044" s="115"/>
      <c r="J1044" s="115"/>
      <c r="K1044" s="115">
        <v>0.11700000000001864</v>
      </c>
      <c r="L1044" s="12">
        <f t="shared" si="72"/>
        <v>4.8053173115616306E-2</v>
      </c>
      <c r="M1044" s="4">
        <f t="shared" si="73"/>
        <v>0</v>
      </c>
      <c r="N1044" s="4">
        <f t="shared" si="74"/>
        <v>0</v>
      </c>
      <c r="O1044" s="13">
        <f t="shared" si="75"/>
        <v>4.8053173115616306E-2</v>
      </c>
    </row>
    <row r="1045" spans="2:15">
      <c r="B1045" s="12">
        <v>9</v>
      </c>
      <c r="C1045" s="4" t="s">
        <v>152</v>
      </c>
      <c r="D1045" s="4" t="s">
        <v>154</v>
      </c>
      <c r="E1045" s="4">
        <v>9</v>
      </c>
      <c r="F1045" s="4">
        <v>8</v>
      </c>
      <c r="G1045" s="4">
        <v>4</v>
      </c>
      <c r="H1045" s="115">
        <v>2.9470000000001164</v>
      </c>
      <c r="I1045" s="115">
        <v>2.3500000000000796</v>
      </c>
      <c r="J1045" s="115">
        <v>1.7490000000000805</v>
      </c>
      <c r="K1045" s="115">
        <v>7.0460000000002765</v>
      </c>
      <c r="L1045" s="12">
        <f t="shared" si="72"/>
        <v>0.59626712639552815</v>
      </c>
      <c r="M1045" s="4">
        <f t="shared" si="73"/>
        <v>0.52504480703685552</v>
      </c>
      <c r="N1045" s="4">
        <f t="shared" si="74"/>
        <v>0.43917473984348121</v>
      </c>
      <c r="O1045" s="13">
        <f t="shared" si="75"/>
        <v>0.90558002823525752</v>
      </c>
    </row>
    <row r="1046" spans="2:15">
      <c r="B1046" s="12">
        <v>9</v>
      </c>
      <c r="C1046" s="4" t="s">
        <v>152</v>
      </c>
      <c r="D1046" s="4" t="s">
        <v>154</v>
      </c>
      <c r="E1046" s="4">
        <v>9</v>
      </c>
      <c r="F1046" s="4">
        <v>8</v>
      </c>
      <c r="G1046" s="4">
        <v>5</v>
      </c>
      <c r="H1046" s="115"/>
      <c r="I1046" s="115"/>
      <c r="J1046" s="115"/>
      <c r="K1046" s="115">
        <v>0</v>
      </c>
      <c r="L1046" s="12">
        <f t="shared" si="72"/>
        <v>0</v>
      </c>
      <c r="M1046" s="4">
        <f t="shared" si="73"/>
        <v>0</v>
      </c>
      <c r="N1046" s="4">
        <f t="shared" si="74"/>
        <v>0</v>
      </c>
      <c r="O1046" s="13">
        <f t="shared" si="75"/>
        <v>0</v>
      </c>
    </row>
    <row r="1047" spans="2:15">
      <c r="B1047" s="12">
        <v>9</v>
      </c>
      <c r="C1047" s="4" t="s">
        <v>152</v>
      </c>
      <c r="D1047" s="4" t="s">
        <v>154</v>
      </c>
      <c r="E1047" s="4">
        <v>9</v>
      </c>
      <c r="F1047" s="4">
        <v>8</v>
      </c>
      <c r="G1047" s="4">
        <v>6</v>
      </c>
      <c r="H1047" s="115"/>
      <c r="I1047" s="115"/>
      <c r="J1047" s="115"/>
      <c r="K1047" s="115">
        <v>0</v>
      </c>
      <c r="L1047" s="12">
        <f t="shared" si="72"/>
        <v>0</v>
      </c>
      <c r="M1047" s="4">
        <f t="shared" si="73"/>
        <v>0</v>
      </c>
      <c r="N1047" s="4">
        <f t="shared" si="74"/>
        <v>0</v>
      </c>
      <c r="O1047" s="13">
        <f t="shared" si="75"/>
        <v>0</v>
      </c>
    </row>
    <row r="1048" spans="2:15">
      <c r="B1048" s="12">
        <v>9</v>
      </c>
      <c r="C1048" s="4" t="s">
        <v>152</v>
      </c>
      <c r="D1048" s="4" t="s">
        <v>154</v>
      </c>
      <c r="E1048" s="4">
        <v>9</v>
      </c>
      <c r="F1048" s="4">
        <v>8</v>
      </c>
      <c r="G1048" s="4">
        <v>7</v>
      </c>
      <c r="H1048" s="115"/>
      <c r="I1048" s="115"/>
      <c r="J1048" s="115"/>
      <c r="K1048" s="115">
        <v>0</v>
      </c>
      <c r="L1048" s="12">
        <f t="shared" si="72"/>
        <v>0</v>
      </c>
      <c r="M1048" s="4">
        <f t="shared" si="73"/>
        <v>0</v>
      </c>
      <c r="N1048" s="4">
        <f t="shared" si="74"/>
        <v>0</v>
      </c>
      <c r="O1048" s="13">
        <f t="shared" si="75"/>
        <v>0</v>
      </c>
    </row>
    <row r="1049" spans="2:15">
      <c r="B1049" s="12">
        <v>9</v>
      </c>
      <c r="C1049" s="4" t="s">
        <v>152</v>
      </c>
      <c r="D1049" s="4" t="s">
        <v>154</v>
      </c>
      <c r="E1049" s="4">
        <v>9</v>
      </c>
      <c r="F1049" s="4">
        <v>8</v>
      </c>
      <c r="G1049" s="4">
        <v>8</v>
      </c>
      <c r="H1049" s="115"/>
      <c r="I1049" s="115"/>
      <c r="J1049" s="115"/>
      <c r="K1049" s="115">
        <v>0</v>
      </c>
      <c r="L1049" s="12">
        <f t="shared" si="72"/>
        <v>0</v>
      </c>
      <c r="M1049" s="4">
        <f t="shared" si="73"/>
        <v>0</v>
      </c>
      <c r="N1049" s="4">
        <f t="shared" si="74"/>
        <v>0</v>
      </c>
      <c r="O1049" s="13">
        <f t="shared" si="75"/>
        <v>0</v>
      </c>
    </row>
    <row r="1050" spans="2:15">
      <c r="B1050" s="12">
        <v>9</v>
      </c>
      <c r="C1050" s="4" t="s">
        <v>152</v>
      </c>
      <c r="D1050" s="4" t="s">
        <v>154</v>
      </c>
      <c r="E1050" s="4">
        <v>9</v>
      </c>
      <c r="F1050" s="4">
        <v>8</v>
      </c>
      <c r="G1050" s="4">
        <v>9</v>
      </c>
      <c r="H1050" s="115"/>
      <c r="I1050" s="115"/>
      <c r="J1050" s="115"/>
      <c r="K1050" s="115">
        <v>0</v>
      </c>
      <c r="L1050" s="12">
        <f t="shared" si="72"/>
        <v>0</v>
      </c>
      <c r="M1050" s="4">
        <f t="shared" si="73"/>
        <v>0</v>
      </c>
      <c r="N1050" s="4">
        <f t="shared" si="74"/>
        <v>0</v>
      </c>
      <c r="O1050" s="13">
        <f t="shared" si="75"/>
        <v>0</v>
      </c>
    </row>
    <row r="1051" spans="2:15" ht="13.8" thickBot="1">
      <c r="B1051" s="14">
        <v>9</v>
      </c>
      <c r="C1051" s="15" t="s">
        <v>152</v>
      </c>
      <c r="D1051" s="15" t="s">
        <v>154</v>
      </c>
      <c r="E1051" s="15">
        <v>9</v>
      </c>
      <c r="F1051" s="15">
        <v>8</v>
      </c>
      <c r="G1051" s="15">
        <v>10</v>
      </c>
      <c r="H1051" s="121"/>
      <c r="I1051" s="121"/>
      <c r="J1051" s="121"/>
      <c r="K1051" s="121">
        <v>0</v>
      </c>
      <c r="L1051" s="14">
        <f t="shared" si="72"/>
        <v>0</v>
      </c>
      <c r="M1051" s="15">
        <f t="shared" si="73"/>
        <v>0</v>
      </c>
      <c r="N1051" s="15">
        <f t="shared" si="74"/>
        <v>0</v>
      </c>
      <c r="O1051" s="16">
        <f t="shared" si="75"/>
        <v>0</v>
      </c>
    </row>
    <row r="1052" spans="2:15">
      <c r="B1052" s="9">
        <v>9</v>
      </c>
      <c r="C1052" s="10" t="s">
        <v>152</v>
      </c>
      <c r="D1052" s="10" t="s">
        <v>149</v>
      </c>
      <c r="E1052" s="93">
        <v>10</v>
      </c>
      <c r="F1052" s="93">
        <v>4</v>
      </c>
      <c r="G1052" s="10">
        <v>1</v>
      </c>
      <c r="H1052" s="120">
        <v>2.981000000000023</v>
      </c>
      <c r="I1052" s="120">
        <v>1.3990000000000293</v>
      </c>
      <c r="J1052" s="120">
        <v>1.0330000000000439</v>
      </c>
      <c r="K1052" s="120">
        <v>5.4130000000000962</v>
      </c>
      <c r="L1052" s="9">
        <f t="shared" si="72"/>
        <v>0.59999217758410051</v>
      </c>
      <c r="M1052" s="10">
        <f t="shared" si="73"/>
        <v>0.38003024796783591</v>
      </c>
      <c r="N1052" s="10">
        <f t="shared" si="74"/>
        <v>0.30813737863804797</v>
      </c>
      <c r="O1052" s="11">
        <f t="shared" si="75"/>
        <v>0.80706123991724565</v>
      </c>
    </row>
    <row r="1053" spans="2:15">
      <c r="B1053" s="12">
        <v>9</v>
      </c>
      <c r="C1053" s="4" t="s">
        <v>152</v>
      </c>
      <c r="D1053" s="4" t="s">
        <v>149</v>
      </c>
      <c r="E1053" s="4">
        <v>10</v>
      </c>
      <c r="F1053" s="4">
        <v>4</v>
      </c>
      <c r="G1053" s="4">
        <v>2</v>
      </c>
      <c r="H1053" s="115">
        <v>0.73300000000000409</v>
      </c>
      <c r="I1053" s="115"/>
      <c r="J1053" s="115"/>
      <c r="K1053" s="115">
        <v>0.73300000000000409</v>
      </c>
      <c r="L1053" s="12">
        <f t="shared" si="72"/>
        <v>0.23879856271391803</v>
      </c>
      <c r="M1053" s="4">
        <f t="shared" si="73"/>
        <v>0</v>
      </c>
      <c r="N1053" s="4">
        <f t="shared" si="74"/>
        <v>0</v>
      </c>
      <c r="O1053" s="13">
        <f t="shared" si="75"/>
        <v>0.23879856271391803</v>
      </c>
    </row>
    <row r="1054" spans="2:15">
      <c r="B1054" s="12">
        <v>9</v>
      </c>
      <c r="C1054" s="4" t="s">
        <v>152</v>
      </c>
      <c r="D1054" s="4" t="s">
        <v>149</v>
      </c>
      <c r="E1054" s="4">
        <v>10</v>
      </c>
      <c r="F1054" s="4">
        <v>4</v>
      </c>
      <c r="G1054" s="4">
        <v>3</v>
      </c>
      <c r="H1054" s="115">
        <v>0.28299999999998704</v>
      </c>
      <c r="I1054" s="115">
        <v>0.40200000000001523</v>
      </c>
      <c r="J1054" s="115"/>
      <c r="K1054" s="115">
        <v>0.68500000000000227</v>
      </c>
      <c r="L1054" s="12">
        <f t="shared" si="72"/>
        <v>0.10822665637492411</v>
      </c>
      <c r="M1054" s="4">
        <f t="shared" si="73"/>
        <v>0.14674801363064457</v>
      </c>
      <c r="N1054" s="4">
        <f t="shared" si="74"/>
        <v>0</v>
      </c>
      <c r="O1054" s="13">
        <f t="shared" si="75"/>
        <v>0.22659990520735801</v>
      </c>
    </row>
    <row r="1055" spans="2:15">
      <c r="B1055" s="12">
        <v>9</v>
      </c>
      <c r="C1055" s="4" t="s">
        <v>152</v>
      </c>
      <c r="D1055" s="4" t="s">
        <v>149</v>
      </c>
      <c r="E1055" s="4">
        <v>10</v>
      </c>
      <c r="F1055" s="4">
        <v>4</v>
      </c>
      <c r="G1055" s="4">
        <v>4</v>
      </c>
      <c r="H1055" s="115">
        <v>0.33200000000002206</v>
      </c>
      <c r="I1055" s="115">
        <v>0.19999999999998863</v>
      </c>
      <c r="J1055" s="115">
        <v>0.23400000000000887</v>
      </c>
      <c r="K1055" s="115">
        <v>0.76600000000001955</v>
      </c>
      <c r="L1055" s="12">
        <f t="shared" si="72"/>
        <v>0.12450422483428945</v>
      </c>
      <c r="M1055" s="4">
        <f t="shared" si="73"/>
        <v>7.918124604762071E-2</v>
      </c>
      <c r="N1055" s="4">
        <f t="shared" si="74"/>
        <v>9.1315159697225992E-2</v>
      </c>
      <c r="O1055" s="13">
        <f t="shared" si="75"/>
        <v>0.24699069924155459</v>
      </c>
    </row>
    <row r="1056" spans="2:15">
      <c r="B1056" s="12">
        <v>9</v>
      </c>
      <c r="C1056" s="4" t="s">
        <v>152</v>
      </c>
      <c r="D1056" s="4" t="s">
        <v>149</v>
      </c>
      <c r="E1056" s="4">
        <v>10</v>
      </c>
      <c r="F1056" s="4">
        <v>4</v>
      </c>
      <c r="G1056" s="4">
        <v>5</v>
      </c>
      <c r="H1056" s="115"/>
      <c r="I1056" s="115"/>
      <c r="J1056" s="115"/>
      <c r="K1056" s="115">
        <v>0</v>
      </c>
      <c r="L1056" s="12">
        <f t="shared" si="72"/>
        <v>0</v>
      </c>
      <c r="M1056" s="4">
        <f t="shared" si="73"/>
        <v>0</v>
      </c>
      <c r="N1056" s="4">
        <f t="shared" si="74"/>
        <v>0</v>
      </c>
      <c r="O1056" s="13">
        <f t="shared" si="75"/>
        <v>0</v>
      </c>
    </row>
    <row r="1057" spans="2:15">
      <c r="B1057" s="12">
        <v>9</v>
      </c>
      <c r="C1057" s="4" t="s">
        <v>152</v>
      </c>
      <c r="D1057" s="4" t="s">
        <v>149</v>
      </c>
      <c r="E1057" s="4">
        <v>10</v>
      </c>
      <c r="F1057" s="4">
        <v>4</v>
      </c>
      <c r="G1057" s="4">
        <v>6</v>
      </c>
      <c r="H1057" s="115"/>
      <c r="I1057" s="115"/>
      <c r="J1057" s="115"/>
      <c r="K1057" s="115">
        <v>0</v>
      </c>
      <c r="L1057" s="12">
        <f t="shared" si="72"/>
        <v>0</v>
      </c>
      <c r="M1057" s="4">
        <f t="shared" si="73"/>
        <v>0</v>
      </c>
      <c r="N1057" s="4">
        <f t="shared" si="74"/>
        <v>0</v>
      </c>
      <c r="O1057" s="13">
        <f t="shared" si="75"/>
        <v>0</v>
      </c>
    </row>
    <row r="1058" spans="2:15">
      <c r="B1058" s="12">
        <v>9</v>
      </c>
      <c r="C1058" s="4" t="s">
        <v>152</v>
      </c>
      <c r="D1058" s="4" t="s">
        <v>149</v>
      </c>
      <c r="E1058" s="4">
        <v>10</v>
      </c>
      <c r="F1058" s="4">
        <v>4</v>
      </c>
      <c r="G1058" s="4">
        <v>7</v>
      </c>
      <c r="H1058" s="115"/>
      <c r="I1058" s="115"/>
      <c r="J1058" s="115"/>
      <c r="K1058" s="115">
        <v>0</v>
      </c>
      <c r="L1058" s="12">
        <f t="shared" si="72"/>
        <v>0</v>
      </c>
      <c r="M1058" s="4">
        <f t="shared" si="73"/>
        <v>0</v>
      </c>
      <c r="N1058" s="4">
        <f t="shared" si="74"/>
        <v>0</v>
      </c>
      <c r="O1058" s="13">
        <f t="shared" si="75"/>
        <v>0</v>
      </c>
    </row>
    <row r="1059" spans="2:15">
      <c r="B1059" s="12">
        <v>9</v>
      </c>
      <c r="C1059" s="4" t="s">
        <v>152</v>
      </c>
      <c r="D1059" s="4" t="s">
        <v>149</v>
      </c>
      <c r="E1059" s="4">
        <v>10</v>
      </c>
      <c r="F1059" s="4">
        <v>4</v>
      </c>
      <c r="G1059" s="4">
        <v>8</v>
      </c>
      <c r="H1059" s="115"/>
      <c r="I1059" s="115"/>
      <c r="J1059" s="115"/>
      <c r="K1059" s="115">
        <v>0</v>
      </c>
      <c r="L1059" s="12">
        <f t="shared" si="72"/>
        <v>0</v>
      </c>
      <c r="M1059" s="4">
        <f t="shared" si="73"/>
        <v>0</v>
      </c>
      <c r="N1059" s="4">
        <f t="shared" si="74"/>
        <v>0</v>
      </c>
      <c r="O1059" s="13">
        <f t="shared" si="75"/>
        <v>0</v>
      </c>
    </row>
    <row r="1060" spans="2:15">
      <c r="B1060" s="12">
        <v>9</v>
      </c>
      <c r="C1060" s="4" t="s">
        <v>152</v>
      </c>
      <c r="D1060" s="4" t="s">
        <v>149</v>
      </c>
      <c r="E1060" s="4">
        <v>10</v>
      </c>
      <c r="F1060" s="4">
        <v>4</v>
      </c>
      <c r="G1060" s="4">
        <v>9</v>
      </c>
      <c r="H1060" s="115"/>
      <c r="I1060" s="115"/>
      <c r="J1060" s="115"/>
      <c r="K1060" s="115">
        <v>0</v>
      </c>
      <c r="L1060" s="12">
        <f t="shared" si="72"/>
        <v>0</v>
      </c>
      <c r="M1060" s="4">
        <f t="shared" si="73"/>
        <v>0</v>
      </c>
      <c r="N1060" s="4">
        <f t="shared" si="74"/>
        <v>0</v>
      </c>
      <c r="O1060" s="13">
        <f t="shared" si="75"/>
        <v>0</v>
      </c>
    </row>
    <row r="1061" spans="2:15" ht="13.8" thickBot="1">
      <c r="B1061" s="14">
        <v>9</v>
      </c>
      <c r="C1061" s="15" t="s">
        <v>152</v>
      </c>
      <c r="D1061" s="15" t="s">
        <v>149</v>
      </c>
      <c r="E1061" s="15">
        <v>10</v>
      </c>
      <c r="F1061" s="15">
        <v>4</v>
      </c>
      <c r="G1061" s="15">
        <v>10</v>
      </c>
      <c r="H1061" s="121"/>
      <c r="I1061" s="121"/>
      <c r="J1061" s="121"/>
      <c r="K1061" s="121">
        <v>0</v>
      </c>
      <c r="L1061" s="14">
        <f t="shared" si="72"/>
        <v>0</v>
      </c>
      <c r="M1061" s="15">
        <f t="shared" si="73"/>
        <v>0</v>
      </c>
      <c r="N1061" s="15">
        <f t="shared" si="74"/>
        <v>0</v>
      </c>
      <c r="O1061" s="16">
        <f t="shared" si="75"/>
        <v>0</v>
      </c>
    </row>
    <row r="1062" spans="2:15">
      <c r="B1062" s="9">
        <v>9</v>
      </c>
      <c r="C1062" s="10" t="s">
        <v>152</v>
      </c>
      <c r="D1062" s="10" t="s">
        <v>149</v>
      </c>
      <c r="E1062" s="93">
        <v>11</v>
      </c>
      <c r="F1062" s="93">
        <v>2</v>
      </c>
      <c r="G1062" s="10">
        <v>1</v>
      </c>
      <c r="H1062" s="120">
        <v>4.0490000000000066</v>
      </c>
      <c r="I1062" s="120">
        <v>2.0169999999999959</v>
      </c>
      <c r="J1062" s="120">
        <v>2.0829999999999984</v>
      </c>
      <c r="K1062" s="120">
        <v>8.1490000000000009</v>
      </c>
      <c r="L1062" s="9">
        <f t="shared" si="72"/>
        <v>0.70320537069548683</v>
      </c>
      <c r="M1062" s="10">
        <f t="shared" si="73"/>
        <v>0.47957531017498783</v>
      </c>
      <c r="N1062" s="10">
        <f t="shared" si="74"/>
        <v>0.48897352472650801</v>
      </c>
      <c r="O1062" s="11">
        <f t="shared" si="75"/>
        <v>0.96137362759480116</v>
      </c>
    </row>
    <row r="1063" spans="2:15">
      <c r="B1063" s="12">
        <v>9</v>
      </c>
      <c r="C1063" s="4" t="s">
        <v>152</v>
      </c>
      <c r="D1063" s="4" t="s">
        <v>149</v>
      </c>
      <c r="E1063" s="4">
        <v>11</v>
      </c>
      <c r="F1063" s="4">
        <v>2</v>
      </c>
      <c r="G1063" s="4">
        <v>2</v>
      </c>
      <c r="H1063" s="115">
        <v>0.84999999999996589</v>
      </c>
      <c r="I1063" s="115">
        <v>9.9999999999994316E-2</v>
      </c>
      <c r="J1063" s="115">
        <v>0.88299999999998136</v>
      </c>
      <c r="K1063" s="115">
        <v>1.8329999999999416</v>
      </c>
      <c r="L1063" s="12">
        <f t="shared" ref="L1063:L1126" si="76">LOG10(H1063+1)</f>
        <v>0.26717172840300579</v>
      </c>
      <c r="M1063" s="4">
        <f t="shared" ref="M1063:M1126" si="77">LOG10(I1063+1)</f>
        <v>4.1392685158222794E-2</v>
      </c>
      <c r="N1063" s="4">
        <f t="shared" ref="N1063:N1126" si="78">LOG10(J1063+1)</f>
        <v>0.27485032001666049</v>
      </c>
      <c r="O1063" s="13">
        <f t="shared" ref="O1063:O1126" si="79">LOG10(K1063+1)</f>
        <v>0.45224657452042827</v>
      </c>
    </row>
    <row r="1064" spans="2:15">
      <c r="B1064" s="12">
        <v>9</v>
      </c>
      <c r="C1064" s="4" t="s">
        <v>152</v>
      </c>
      <c r="D1064" s="4" t="s">
        <v>149</v>
      </c>
      <c r="E1064" s="4">
        <v>11</v>
      </c>
      <c r="F1064" s="4">
        <v>2</v>
      </c>
      <c r="G1064" s="4">
        <v>3</v>
      </c>
      <c r="H1064" s="115">
        <v>1.7010000000000787</v>
      </c>
      <c r="I1064" s="115">
        <v>0.36600000000001387</v>
      </c>
      <c r="J1064" s="115">
        <v>1.0830000000000268</v>
      </c>
      <c r="K1064" s="115">
        <v>3.1500000000001194</v>
      </c>
      <c r="L1064" s="12">
        <f t="shared" si="76"/>
        <v>0.43152458418746353</v>
      </c>
      <c r="M1064" s="4">
        <f t="shared" si="77"/>
        <v>0.13545069934551818</v>
      </c>
      <c r="N1064" s="4">
        <f t="shared" si="78"/>
        <v>0.31868926994775149</v>
      </c>
      <c r="O1064" s="13">
        <f t="shared" si="79"/>
        <v>0.61804809671210525</v>
      </c>
    </row>
    <row r="1065" spans="2:15">
      <c r="B1065" s="12">
        <v>9</v>
      </c>
      <c r="C1065" s="4" t="s">
        <v>152</v>
      </c>
      <c r="D1065" s="4" t="s">
        <v>149</v>
      </c>
      <c r="E1065" s="4">
        <v>11</v>
      </c>
      <c r="F1065" s="4">
        <v>2</v>
      </c>
      <c r="G1065" s="4">
        <v>4</v>
      </c>
      <c r="H1065" s="115"/>
      <c r="I1065" s="115"/>
      <c r="J1065" s="115"/>
      <c r="K1065" s="115">
        <v>0</v>
      </c>
      <c r="L1065" s="12">
        <f t="shared" si="76"/>
        <v>0</v>
      </c>
      <c r="M1065" s="4">
        <f t="shared" si="77"/>
        <v>0</v>
      </c>
      <c r="N1065" s="4">
        <f t="shared" si="78"/>
        <v>0</v>
      </c>
      <c r="O1065" s="13">
        <f t="shared" si="79"/>
        <v>0</v>
      </c>
    </row>
    <row r="1066" spans="2:15">
      <c r="B1066" s="12">
        <v>9</v>
      </c>
      <c r="C1066" s="4" t="s">
        <v>152</v>
      </c>
      <c r="D1066" s="4" t="s">
        <v>149</v>
      </c>
      <c r="E1066" s="4">
        <v>11</v>
      </c>
      <c r="F1066" s="4">
        <v>2</v>
      </c>
      <c r="G1066" s="4">
        <v>5</v>
      </c>
      <c r="H1066" s="115"/>
      <c r="I1066" s="115"/>
      <c r="J1066" s="115"/>
      <c r="K1066" s="115">
        <v>0</v>
      </c>
      <c r="L1066" s="12">
        <f t="shared" si="76"/>
        <v>0</v>
      </c>
      <c r="M1066" s="4">
        <f t="shared" si="77"/>
        <v>0</v>
      </c>
      <c r="N1066" s="4">
        <f t="shared" si="78"/>
        <v>0</v>
      </c>
      <c r="O1066" s="13">
        <f t="shared" si="79"/>
        <v>0</v>
      </c>
    </row>
    <row r="1067" spans="2:15">
      <c r="B1067" s="12">
        <v>9</v>
      </c>
      <c r="C1067" s="4" t="s">
        <v>152</v>
      </c>
      <c r="D1067" s="4" t="s">
        <v>149</v>
      </c>
      <c r="E1067" s="4">
        <v>11</v>
      </c>
      <c r="F1067" s="4">
        <v>2</v>
      </c>
      <c r="G1067" s="4">
        <v>6</v>
      </c>
      <c r="H1067" s="115"/>
      <c r="I1067" s="115"/>
      <c r="J1067" s="115"/>
      <c r="K1067" s="115">
        <v>0</v>
      </c>
      <c r="L1067" s="12">
        <f t="shared" si="76"/>
        <v>0</v>
      </c>
      <c r="M1067" s="4">
        <f t="shared" si="77"/>
        <v>0</v>
      </c>
      <c r="N1067" s="4">
        <f t="shared" si="78"/>
        <v>0</v>
      </c>
      <c r="O1067" s="13">
        <f t="shared" si="79"/>
        <v>0</v>
      </c>
    </row>
    <row r="1068" spans="2:15">
      <c r="B1068" s="12">
        <v>9</v>
      </c>
      <c r="C1068" s="4" t="s">
        <v>152</v>
      </c>
      <c r="D1068" s="4" t="s">
        <v>149</v>
      </c>
      <c r="E1068" s="4">
        <v>11</v>
      </c>
      <c r="F1068" s="4">
        <v>2</v>
      </c>
      <c r="G1068" s="4">
        <v>7</v>
      </c>
      <c r="H1068" s="115"/>
      <c r="I1068" s="115"/>
      <c r="J1068" s="115"/>
      <c r="K1068" s="115">
        <v>0</v>
      </c>
      <c r="L1068" s="12">
        <f t="shared" si="76"/>
        <v>0</v>
      </c>
      <c r="M1068" s="4">
        <f t="shared" si="77"/>
        <v>0</v>
      </c>
      <c r="N1068" s="4">
        <f t="shared" si="78"/>
        <v>0</v>
      </c>
      <c r="O1068" s="13">
        <f t="shared" si="79"/>
        <v>0</v>
      </c>
    </row>
    <row r="1069" spans="2:15">
      <c r="B1069" s="12">
        <v>9</v>
      </c>
      <c r="C1069" s="4" t="s">
        <v>152</v>
      </c>
      <c r="D1069" s="4" t="s">
        <v>149</v>
      </c>
      <c r="E1069" s="4">
        <v>11</v>
      </c>
      <c r="F1069" s="4">
        <v>2</v>
      </c>
      <c r="G1069" s="4">
        <v>8</v>
      </c>
      <c r="H1069" s="115"/>
      <c r="I1069" s="115"/>
      <c r="J1069" s="115"/>
      <c r="K1069" s="115">
        <v>0</v>
      </c>
      <c r="L1069" s="12">
        <f t="shared" si="76"/>
        <v>0</v>
      </c>
      <c r="M1069" s="4">
        <f t="shared" si="77"/>
        <v>0</v>
      </c>
      <c r="N1069" s="4">
        <f t="shared" si="78"/>
        <v>0</v>
      </c>
      <c r="O1069" s="13">
        <f t="shared" si="79"/>
        <v>0</v>
      </c>
    </row>
    <row r="1070" spans="2:15">
      <c r="B1070" s="12">
        <v>9</v>
      </c>
      <c r="C1070" s="4" t="s">
        <v>152</v>
      </c>
      <c r="D1070" s="4" t="s">
        <v>149</v>
      </c>
      <c r="E1070" s="4">
        <v>11</v>
      </c>
      <c r="F1070" s="4">
        <v>2</v>
      </c>
      <c r="G1070" s="4">
        <v>9</v>
      </c>
      <c r="H1070" s="115"/>
      <c r="I1070" s="115"/>
      <c r="J1070" s="115"/>
      <c r="K1070" s="115">
        <v>0</v>
      </c>
      <c r="L1070" s="12">
        <f t="shared" si="76"/>
        <v>0</v>
      </c>
      <c r="M1070" s="4">
        <f t="shared" si="77"/>
        <v>0</v>
      </c>
      <c r="N1070" s="4">
        <f t="shared" si="78"/>
        <v>0</v>
      </c>
      <c r="O1070" s="13">
        <f t="shared" si="79"/>
        <v>0</v>
      </c>
    </row>
    <row r="1071" spans="2:15" ht="13.8" thickBot="1">
      <c r="B1071" s="14">
        <v>9</v>
      </c>
      <c r="C1071" s="15" t="s">
        <v>152</v>
      </c>
      <c r="D1071" s="15" t="s">
        <v>149</v>
      </c>
      <c r="E1071" s="15">
        <v>11</v>
      </c>
      <c r="F1071" s="15">
        <v>2</v>
      </c>
      <c r="G1071" s="15">
        <v>10</v>
      </c>
      <c r="H1071" s="121"/>
      <c r="I1071" s="121"/>
      <c r="J1071" s="121"/>
      <c r="K1071" s="121">
        <v>0</v>
      </c>
      <c r="L1071" s="14">
        <f t="shared" si="76"/>
        <v>0</v>
      </c>
      <c r="M1071" s="15">
        <f t="shared" si="77"/>
        <v>0</v>
      </c>
      <c r="N1071" s="15">
        <f t="shared" si="78"/>
        <v>0</v>
      </c>
      <c r="O1071" s="16">
        <f t="shared" si="79"/>
        <v>0</v>
      </c>
    </row>
    <row r="1072" spans="2:15">
      <c r="B1072" s="9">
        <v>9</v>
      </c>
      <c r="C1072" s="10" t="s">
        <v>152</v>
      </c>
      <c r="D1072" s="10" t="s">
        <v>150</v>
      </c>
      <c r="E1072" s="93">
        <v>12</v>
      </c>
      <c r="F1072" s="93">
        <v>12</v>
      </c>
      <c r="G1072" s="10">
        <v>1</v>
      </c>
      <c r="H1072" s="120">
        <v>2.6839999999999691</v>
      </c>
      <c r="I1072" s="120">
        <v>1.0839999999999463</v>
      </c>
      <c r="J1072" s="120">
        <v>1.9360000000001492</v>
      </c>
      <c r="K1072" s="120">
        <v>5.7040000000000646</v>
      </c>
      <c r="L1072" s="9">
        <f t="shared" si="76"/>
        <v>0.56631962152480764</v>
      </c>
      <c r="M1072" s="10">
        <f t="shared" si="77"/>
        <v>0.31889771462747568</v>
      </c>
      <c r="N1072" s="10">
        <f t="shared" si="78"/>
        <v>0.467756051244055</v>
      </c>
      <c r="O1072" s="11">
        <f t="shared" si="79"/>
        <v>0.82633400562222425</v>
      </c>
    </row>
    <row r="1073" spans="2:15">
      <c r="B1073" s="12">
        <v>9</v>
      </c>
      <c r="C1073" s="4" t="s">
        <v>152</v>
      </c>
      <c r="D1073" s="4" t="s">
        <v>150</v>
      </c>
      <c r="E1073" s="4">
        <v>12</v>
      </c>
      <c r="F1073" s="4">
        <v>12</v>
      </c>
      <c r="G1073" s="4">
        <v>2</v>
      </c>
      <c r="H1073" s="115">
        <v>0.35000000000002274</v>
      </c>
      <c r="I1073" s="115">
        <v>0.11599999999998545</v>
      </c>
      <c r="J1073" s="115">
        <v>0.5</v>
      </c>
      <c r="K1073" s="115">
        <v>0.96600000000000819</v>
      </c>
      <c r="L1073" s="12">
        <f t="shared" si="76"/>
        <v>0.13033376849501344</v>
      </c>
      <c r="M1073" s="4">
        <f t="shared" si="77"/>
        <v>4.7664194601554279E-2</v>
      </c>
      <c r="N1073" s="4">
        <f t="shared" si="78"/>
        <v>0.17609125905568124</v>
      </c>
      <c r="O1073" s="13">
        <f t="shared" si="79"/>
        <v>0.29358351349611861</v>
      </c>
    </row>
    <row r="1074" spans="2:15">
      <c r="B1074" s="12">
        <v>9</v>
      </c>
      <c r="C1074" s="4" t="s">
        <v>152</v>
      </c>
      <c r="D1074" s="4" t="s">
        <v>150</v>
      </c>
      <c r="E1074" s="4">
        <v>12</v>
      </c>
      <c r="F1074" s="4">
        <v>12</v>
      </c>
      <c r="G1074" s="4">
        <v>3</v>
      </c>
      <c r="H1074" s="115"/>
      <c r="I1074" s="115">
        <v>1.2010000000000218</v>
      </c>
      <c r="J1074" s="115">
        <v>1.9150000000000773</v>
      </c>
      <c r="K1074" s="115">
        <v>3.1160000000000991</v>
      </c>
      <c r="L1074" s="12">
        <f t="shared" si="76"/>
        <v>0</v>
      </c>
      <c r="M1074" s="4">
        <f t="shared" si="77"/>
        <v>0.34262004255335227</v>
      </c>
      <c r="N1074" s="4">
        <f t="shared" si="78"/>
        <v>0.46463855909504442</v>
      </c>
      <c r="O1074" s="13">
        <f t="shared" si="79"/>
        <v>0.61447536609040576</v>
      </c>
    </row>
    <row r="1075" spans="2:15">
      <c r="B1075" s="12">
        <v>9</v>
      </c>
      <c r="C1075" s="4" t="s">
        <v>152</v>
      </c>
      <c r="D1075" s="4" t="s">
        <v>150</v>
      </c>
      <c r="E1075" s="4">
        <v>12</v>
      </c>
      <c r="F1075" s="4">
        <v>12</v>
      </c>
      <c r="G1075" s="4">
        <v>4</v>
      </c>
      <c r="H1075" s="115"/>
      <c r="I1075" s="115"/>
      <c r="J1075" s="115"/>
      <c r="K1075" s="115">
        <v>0</v>
      </c>
      <c r="L1075" s="12">
        <f t="shared" si="76"/>
        <v>0</v>
      </c>
      <c r="M1075" s="4">
        <f t="shared" si="77"/>
        <v>0</v>
      </c>
      <c r="N1075" s="4">
        <f t="shared" si="78"/>
        <v>0</v>
      </c>
      <c r="O1075" s="13">
        <f t="shared" si="79"/>
        <v>0</v>
      </c>
    </row>
    <row r="1076" spans="2:15">
      <c r="B1076" s="12">
        <v>9</v>
      </c>
      <c r="C1076" s="4" t="s">
        <v>152</v>
      </c>
      <c r="D1076" s="4" t="s">
        <v>150</v>
      </c>
      <c r="E1076" s="4">
        <v>12</v>
      </c>
      <c r="F1076" s="4">
        <v>12</v>
      </c>
      <c r="G1076" s="4">
        <v>5</v>
      </c>
      <c r="H1076" s="115"/>
      <c r="I1076" s="115"/>
      <c r="J1076" s="115"/>
      <c r="K1076" s="115">
        <v>0</v>
      </c>
      <c r="L1076" s="12">
        <f t="shared" si="76"/>
        <v>0</v>
      </c>
      <c r="M1076" s="4">
        <f t="shared" si="77"/>
        <v>0</v>
      </c>
      <c r="N1076" s="4">
        <f t="shared" si="78"/>
        <v>0</v>
      </c>
      <c r="O1076" s="13">
        <f t="shared" si="79"/>
        <v>0</v>
      </c>
    </row>
    <row r="1077" spans="2:15">
      <c r="B1077" s="12">
        <v>9</v>
      </c>
      <c r="C1077" s="4" t="s">
        <v>152</v>
      </c>
      <c r="D1077" s="4" t="s">
        <v>150</v>
      </c>
      <c r="E1077" s="4">
        <v>12</v>
      </c>
      <c r="F1077" s="4">
        <v>12</v>
      </c>
      <c r="G1077" s="4">
        <v>6</v>
      </c>
      <c r="H1077" s="115"/>
      <c r="I1077" s="115"/>
      <c r="J1077" s="115"/>
      <c r="K1077" s="115">
        <v>0</v>
      </c>
      <c r="L1077" s="12">
        <f t="shared" si="76"/>
        <v>0</v>
      </c>
      <c r="M1077" s="4">
        <f t="shared" si="77"/>
        <v>0</v>
      </c>
      <c r="N1077" s="4">
        <f t="shared" si="78"/>
        <v>0</v>
      </c>
      <c r="O1077" s="13">
        <f t="shared" si="79"/>
        <v>0</v>
      </c>
    </row>
    <row r="1078" spans="2:15">
      <c r="B1078" s="12">
        <v>9</v>
      </c>
      <c r="C1078" s="4" t="s">
        <v>152</v>
      </c>
      <c r="D1078" s="4" t="s">
        <v>150</v>
      </c>
      <c r="E1078" s="4">
        <v>12</v>
      </c>
      <c r="F1078" s="4">
        <v>12</v>
      </c>
      <c r="G1078" s="4">
        <v>7</v>
      </c>
      <c r="H1078" s="115"/>
      <c r="I1078" s="115"/>
      <c r="J1078" s="115"/>
      <c r="K1078" s="115">
        <v>0</v>
      </c>
      <c r="L1078" s="12">
        <f t="shared" si="76"/>
        <v>0</v>
      </c>
      <c r="M1078" s="4">
        <f t="shared" si="77"/>
        <v>0</v>
      </c>
      <c r="N1078" s="4">
        <f t="shared" si="78"/>
        <v>0</v>
      </c>
      <c r="O1078" s="13">
        <f t="shared" si="79"/>
        <v>0</v>
      </c>
    </row>
    <row r="1079" spans="2:15">
      <c r="B1079" s="12">
        <v>9</v>
      </c>
      <c r="C1079" s="4" t="s">
        <v>152</v>
      </c>
      <c r="D1079" s="4" t="s">
        <v>150</v>
      </c>
      <c r="E1079" s="4">
        <v>12</v>
      </c>
      <c r="F1079" s="4">
        <v>12</v>
      </c>
      <c r="G1079" s="4">
        <v>8</v>
      </c>
      <c r="H1079" s="115"/>
      <c r="I1079" s="115"/>
      <c r="J1079" s="115"/>
      <c r="K1079" s="115">
        <v>0</v>
      </c>
      <c r="L1079" s="12">
        <f t="shared" si="76"/>
        <v>0</v>
      </c>
      <c r="M1079" s="4">
        <f t="shared" si="77"/>
        <v>0</v>
      </c>
      <c r="N1079" s="4">
        <f t="shared" si="78"/>
        <v>0</v>
      </c>
      <c r="O1079" s="13">
        <f t="shared" si="79"/>
        <v>0</v>
      </c>
    </row>
    <row r="1080" spans="2:15">
      <c r="B1080" s="12">
        <v>9</v>
      </c>
      <c r="C1080" s="4" t="s">
        <v>152</v>
      </c>
      <c r="D1080" s="4" t="s">
        <v>150</v>
      </c>
      <c r="E1080" s="4">
        <v>12</v>
      </c>
      <c r="F1080" s="4">
        <v>12</v>
      </c>
      <c r="G1080" s="4">
        <v>9</v>
      </c>
      <c r="H1080" s="115"/>
      <c r="I1080" s="115"/>
      <c r="J1080" s="115"/>
      <c r="K1080" s="115">
        <v>0</v>
      </c>
      <c r="L1080" s="12">
        <f t="shared" si="76"/>
        <v>0</v>
      </c>
      <c r="M1080" s="4">
        <f t="shared" si="77"/>
        <v>0</v>
      </c>
      <c r="N1080" s="4">
        <f t="shared" si="78"/>
        <v>0</v>
      </c>
      <c r="O1080" s="13">
        <f t="shared" si="79"/>
        <v>0</v>
      </c>
    </row>
    <row r="1081" spans="2:15" ht="13.8" thickBot="1">
      <c r="B1081" s="14">
        <v>9</v>
      </c>
      <c r="C1081" s="15" t="s">
        <v>152</v>
      </c>
      <c r="D1081" s="15" t="s">
        <v>150</v>
      </c>
      <c r="E1081" s="15">
        <v>12</v>
      </c>
      <c r="F1081" s="15">
        <v>12</v>
      </c>
      <c r="G1081" s="15">
        <v>10</v>
      </c>
      <c r="H1081" s="121"/>
      <c r="I1081" s="121"/>
      <c r="J1081" s="121"/>
      <c r="K1081" s="121">
        <v>0</v>
      </c>
      <c r="L1081" s="14">
        <f t="shared" si="76"/>
        <v>0</v>
      </c>
      <c r="M1081" s="15">
        <f t="shared" si="77"/>
        <v>0</v>
      </c>
      <c r="N1081" s="15">
        <f t="shared" si="78"/>
        <v>0</v>
      </c>
      <c r="O1081" s="16">
        <f t="shared" si="79"/>
        <v>0</v>
      </c>
    </row>
    <row r="1082" spans="2:15">
      <c r="B1082" s="9">
        <v>10</v>
      </c>
      <c r="C1082" s="10" t="s">
        <v>151</v>
      </c>
      <c r="D1082" s="10" t="s">
        <v>154</v>
      </c>
      <c r="E1082" s="93">
        <v>1</v>
      </c>
      <c r="F1082" s="93">
        <v>11</v>
      </c>
      <c r="G1082" s="10">
        <v>1</v>
      </c>
      <c r="H1082" s="120">
        <v>1.4659999999998945</v>
      </c>
      <c r="I1082" s="120">
        <v>3.3659999999999854</v>
      </c>
      <c r="J1082" s="120">
        <v>0.5</v>
      </c>
      <c r="K1082" s="120">
        <v>5.3319999999998799</v>
      </c>
      <c r="L1082" s="9">
        <f t="shared" si="76"/>
        <v>0.39199307225969426</v>
      </c>
      <c r="M1082" s="10">
        <f t="shared" si="77"/>
        <v>0.64008373137311891</v>
      </c>
      <c r="N1082" s="10">
        <f t="shared" si="78"/>
        <v>0.17609125905568124</v>
      </c>
      <c r="O1082" s="11">
        <f t="shared" si="79"/>
        <v>0.80154090619031004</v>
      </c>
    </row>
    <row r="1083" spans="2:15">
      <c r="B1083" s="12">
        <v>10</v>
      </c>
      <c r="C1083" s="4" t="s">
        <v>151</v>
      </c>
      <c r="D1083" s="4" t="s">
        <v>154</v>
      </c>
      <c r="E1083" s="4">
        <v>1</v>
      </c>
      <c r="F1083" s="4">
        <v>11</v>
      </c>
      <c r="G1083" s="4">
        <v>2</v>
      </c>
      <c r="H1083" s="115">
        <v>0.83300000000008367</v>
      </c>
      <c r="I1083" s="115">
        <v>0.31600000000003092</v>
      </c>
      <c r="J1083" s="115"/>
      <c r="K1083" s="115">
        <v>1.1490000000001146</v>
      </c>
      <c r="L1083" s="12">
        <f t="shared" si="76"/>
        <v>0.2631624649622365</v>
      </c>
      <c r="M1083" s="4">
        <f t="shared" si="77"/>
        <v>0.11925588927794689</v>
      </c>
      <c r="N1083" s="4">
        <f t="shared" si="78"/>
        <v>0</v>
      </c>
      <c r="O1083" s="13">
        <f t="shared" si="79"/>
        <v>0.33223641549146649</v>
      </c>
    </row>
    <row r="1084" spans="2:15">
      <c r="B1084" s="12">
        <v>10</v>
      </c>
      <c r="C1084" s="4" t="s">
        <v>151</v>
      </c>
      <c r="D1084" s="4" t="s">
        <v>154</v>
      </c>
      <c r="E1084" s="4">
        <v>1</v>
      </c>
      <c r="F1084" s="4">
        <v>11</v>
      </c>
      <c r="G1084" s="4">
        <v>3</v>
      </c>
      <c r="H1084" s="115">
        <v>0.28299999999990177</v>
      </c>
      <c r="I1084" s="115"/>
      <c r="J1084" s="115">
        <v>0.11700000000007549</v>
      </c>
      <c r="K1084" s="115">
        <v>0.39999999999997726</v>
      </c>
      <c r="L1084" s="12">
        <f t="shared" si="76"/>
        <v>0.10822665637489526</v>
      </c>
      <c r="M1084" s="4">
        <f t="shared" si="77"/>
        <v>0</v>
      </c>
      <c r="N1084" s="4">
        <f t="shared" si="78"/>
        <v>4.8053173115638406E-2</v>
      </c>
      <c r="O1084" s="13">
        <f t="shared" si="79"/>
        <v>0.14612803567823096</v>
      </c>
    </row>
    <row r="1085" spans="2:15">
      <c r="B1085" s="12">
        <v>10</v>
      </c>
      <c r="C1085" s="4" t="s">
        <v>151</v>
      </c>
      <c r="D1085" s="4" t="s">
        <v>154</v>
      </c>
      <c r="E1085" s="4">
        <v>1</v>
      </c>
      <c r="F1085" s="4">
        <v>11</v>
      </c>
      <c r="G1085" s="4">
        <v>4</v>
      </c>
      <c r="H1085" s="115">
        <v>0.11599999999998545</v>
      </c>
      <c r="I1085" s="115">
        <v>0.1330000000000382</v>
      </c>
      <c r="J1085" s="115">
        <v>0.1510000000000673</v>
      </c>
      <c r="K1085" s="115">
        <v>0.40000000000009095</v>
      </c>
      <c r="L1085" s="12">
        <f t="shared" si="76"/>
        <v>4.7664194601554279E-2</v>
      </c>
      <c r="M1085" s="4">
        <f t="shared" si="77"/>
        <v>5.422990986341189E-2</v>
      </c>
      <c r="N1085" s="4">
        <f t="shared" si="78"/>
        <v>6.1075323629817199E-2</v>
      </c>
      <c r="O1085" s="13">
        <f t="shared" si="79"/>
        <v>0.14612803567826624</v>
      </c>
    </row>
    <row r="1086" spans="2:15">
      <c r="B1086" s="12">
        <v>10</v>
      </c>
      <c r="C1086" s="4" t="s">
        <v>151</v>
      </c>
      <c r="D1086" s="4" t="s">
        <v>154</v>
      </c>
      <c r="E1086" s="4">
        <v>1</v>
      </c>
      <c r="F1086" s="4">
        <v>11</v>
      </c>
      <c r="G1086" s="4">
        <v>5</v>
      </c>
      <c r="H1086" s="115">
        <v>0.10100000000011278</v>
      </c>
      <c r="I1086" s="115">
        <v>0.10000000000002274</v>
      </c>
      <c r="J1086" s="115"/>
      <c r="K1086" s="115">
        <v>0.20100000000013551</v>
      </c>
      <c r="L1086" s="12">
        <f t="shared" si="76"/>
        <v>4.1787318971796258E-2</v>
      </c>
      <c r="M1086" s="4">
        <f t="shared" si="77"/>
        <v>4.1392685158234015E-2</v>
      </c>
      <c r="N1086" s="4">
        <f t="shared" si="78"/>
        <v>0</v>
      </c>
      <c r="O1086" s="13">
        <f t="shared" si="79"/>
        <v>7.9543007402955057E-2</v>
      </c>
    </row>
    <row r="1087" spans="2:15">
      <c r="B1087" s="12">
        <v>10</v>
      </c>
      <c r="C1087" s="4" t="s">
        <v>151</v>
      </c>
      <c r="D1087" s="4" t="s">
        <v>154</v>
      </c>
      <c r="E1087" s="4">
        <v>1</v>
      </c>
      <c r="F1087" s="4">
        <v>11</v>
      </c>
      <c r="G1087" s="4">
        <v>6</v>
      </c>
      <c r="H1087" s="115"/>
      <c r="I1087" s="115"/>
      <c r="J1087" s="115"/>
      <c r="K1087" s="115">
        <v>0</v>
      </c>
      <c r="L1087" s="12">
        <f t="shared" si="76"/>
        <v>0</v>
      </c>
      <c r="M1087" s="4">
        <f t="shared" si="77"/>
        <v>0</v>
      </c>
      <c r="N1087" s="4">
        <f t="shared" si="78"/>
        <v>0</v>
      </c>
      <c r="O1087" s="13">
        <f t="shared" si="79"/>
        <v>0</v>
      </c>
    </row>
    <row r="1088" spans="2:15">
      <c r="B1088" s="12">
        <v>10</v>
      </c>
      <c r="C1088" s="4" t="s">
        <v>151</v>
      </c>
      <c r="D1088" s="4" t="s">
        <v>154</v>
      </c>
      <c r="E1088" s="4">
        <v>1</v>
      </c>
      <c r="F1088" s="4">
        <v>11</v>
      </c>
      <c r="G1088" s="4">
        <v>7</v>
      </c>
      <c r="H1088" s="115"/>
      <c r="I1088" s="115"/>
      <c r="J1088" s="115"/>
      <c r="K1088" s="115">
        <v>0</v>
      </c>
      <c r="L1088" s="12">
        <f t="shared" si="76"/>
        <v>0</v>
      </c>
      <c r="M1088" s="4">
        <f t="shared" si="77"/>
        <v>0</v>
      </c>
      <c r="N1088" s="4">
        <f t="shared" si="78"/>
        <v>0</v>
      </c>
      <c r="O1088" s="13">
        <f t="shared" si="79"/>
        <v>0</v>
      </c>
    </row>
    <row r="1089" spans="2:15">
      <c r="B1089" s="12">
        <v>10</v>
      </c>
      <c r="C1089" s="4" t="s">
        <v>151</v>
      </c>
      <c r="D1089" s="4" t="s">
        <v>154</v>
      </c>
      <c r="E1089" s="4">
        <v>1</v>
      </c>
      <c r="F1089" s="4">
        <v>11</v>
      </c>
      <c r="G1089" s="4">
        <v>8</v>
      </c>
      <c r="H1089" s="115"/>
      <c r="I1089" s="115"/>
      <c r="J1089" s="115"/>
      <c r="K1089" s="115">
        <v>0</v>
      </c>
      <c r="L1089" s="12">
        <f t="shared" si="76"/>
        <v>0</v>
      </c>
      <c r="M1089" s="4">
        <f t="shared" si="77"/>
        <v>0</v>
      </c>
      <c r="N1089" s="4">
        <f t="shared" si="78"/>
        <v>0</v>
      </c>
      <c r="O1089" s="13">
        <f t="shared" si="79"/>
        <v>0</v>
      </c>
    </row>
    <row r="1090" spans="2:15">
      <c r="B1090" s="12">
        <v>10</v>
      </c>
      <c r="C1090" s="4" t="s">
        <v>151</v>
      </c>
      <c r="D1090" s="4" t="s">
        <v>154</v>
      </c>
      <c r="E1090" s="4">
        <v>1</v>
      </c>
      <c r="F1090" s="4">
        <v>11</v>
      </c>
      <c r="G1090" s="4">
        <v>9</v>
      </c>
      <c r="H1090" s="115"/>
      <c r="I1090" s="115"/>
      <c r="J1090" s="115"/>
      <c r="K1090" s="115">
        <v>0</v>
      </c>
      <c r="L1090" s="12">
        <f t="shared" si="76"/>
        <v>0</v>
      </c>
      <c r="M1090" s="4">
        <f t="shared" si="77"/>
        <v>0</v>
      </c>
      <c r="N1090" s="4">
        <f t="shared" si="78"/>
        <v>0</v>
      </c>
      <c r="O1090" s="13">
        <f t="shared" si="79"/>
        <v>0</v>
      </c>
    </row>
    <row r="1091" spans="2:15" ht="13.8" thickBot="1">
      <c r="B1091" s="14">
        <v>10</v>
      </c>
      <c r="C1091" s="15" t="s">
        <v>151</v>
      </c>
      <c r="D1091" s="15" t="s">
        <v>154</v>
      </c>
      <c r="E1091" s="15">
        <v>1</v>
      </c>
      <c r="F1091" s="15">
        <v>11</v>
      </c>
      <c r="G1091" s="15">
        <v>10</v>
      </c>
      <c r="H1091" s="121"/>
      <c r="I1091" s="121"/>
      <c r="J1091" s="121"/>
      <c r="K1091" s="121">
        <v>0</v>
      </c>
      <c r="L1091" s="14">
        <f t="shared" si="76"/>
        <v>0</v>
      </c>
      <c r="M1091" s="15">
        <f t="shared" si="77"/>
        <v>0</v>
      </c>
      <c r="N1091" s="15">
        <f t="shared" si="78"/>
        <v>0</v>
      </c>
      <c r="O1091" s="16">
        <f t="shared" si="79"/>
        <v>0</v>
      </c>
    </row>
    <row r="1092" spans="2:15">
      <c r="B1092" s="9">
        <v>10</v>
      </c>
      <c r="C1092" s="10" t="s">
        <v>151</v>
      </c>
      <c r="D1092" s="10" t="s">
        <v>150</v>
      </c>
      <c r="E1092" s="93">
        <v>2</v>
      </c>
      <c r="F1092" s="93">
        <v>7</v>
      </c>
      <c r="G1092" s="10">
        <v>1</v>
      </c>
      <c r="H1092" s="120">
        <v>2.3990000000000009</v>
      </c>
      <c r="I1092" s="120">
        <v>0.1169999999999618</v>
      </c>
      <c r="J1092" s="120">
        <v>1.5540000000000873</v>
      </c>
      <c r="K1092" s="120">
        <v>4.07000000000005</v>
      </c>
      <c r="L1092" s="9">
        <f t="shared" si="76"/>
        <v>0.53135116458305975</v>
      </c>
      <c r="M1092" s="10">
        <f t="shared" si="77"/>
        <v>4.8053173115594205E-2</v>
      </c>
      <c r="N1092" s="10">
        <f t="shared" si="78"/>
        <v>0.40722089292741132</v>
      </c>
      <c r="O1092" s="11">
        <f t="shared" si="79"/>
        <v>0.70500795933334026</v>
      </c>
    </row>
    <row r="1093" spans="2:15">
      <c r="B1093" s="12">
        <v>10</v>
      </c>
      <c r="C1093" s="4" t="s">
        <v>151</v>
      </c>
      <c r="D1093" s="4" t="s">
        <v>150</v>
      </c>
      <c r="E1093" s="4">
        <v>2</v>
      </c>
      <c r="F1093" s="4">
        <v>7</v>
      </c>
      <c r="G1093" s="4">
        <v>2</v>
      </c>
      <c r="H1093" s="115">
        <v>0.20000000000004547</v>
      </c>
      <c r="I1093" s="115">
        <v>0.41600000000005366</v>
      </c>
      <c r="J1093" s="115">
        <v>2.1159999999998718</v>
      </c>
      <c r="K1093" s="115">
        <v>2.7319999999999709</v>
      </c>
      <c r="L1093" s="12">
        <f t="shared" si="76"/>
        <v>7.918124604764129E-2</v>
      </c>
      <c r="M1093" s="4">
        <f t="shared" si="77"/>
        <v>0.15106325335376666</v>
      </c>
      <c r="N1093" s="4">
        <f t="shared" si="78"/>
        <v>0.49359744900050895</v>
      </c>
      <c r="O1093" s="13">
        <f t="shared" si="79"/>
        <v>0.57194163507445894</v>
      </c>
    </row>
    <row r="1094" spans="2:15">
      <c r="B1094" s="12">
        <v>10</v>
      </c>
      <c r="C1094" s="4" t="s">
        <v>151</v>
      </c>
      <c r="D1094" s="4" t="s">
        <v>150</v>
      </c>
      <c r="E1094" s="4">
        <v>2</v>
      </c>
      <c r="F1094" s="4">
        <v>7</v>
      </c>
      <c r="G1094" s="4">
        <v>3</v>
      </c>
      <c r="H1094" s="115">
        <v>0.58399999999983265</v>
      </c>
      <c r="I1094" s="115">
        <v>0.20000000000004547</v>
      </c>
      <c r="J1094" s="115">
        <v>1.1509999999999536</v>
      </c>
      <c r="K1094" s="115">
        <v>1.9349999999998317</v>
      </c>
      <c r="L1094" s="12">
        <f t="shared" si="76"/>
        <v>0.19975517725342881</v>
      </c>
      <c r="M1094" s="4">
        <f t="shared" si="77"/>
        <v>7.918124604764129E-2</v>
      </c>
      <c r="N1094" s="4">
        <f t="shared" si="78"/>
        <v>0.33264041038745318</v>
      </c>
      <c r="O1094" s="13">
        <f t="shared" si="79"/>
        <v>0.46760810558360838</v>
      </c>
    </row>
    <row r="1095" spans="2:15">
      <c r="B1095" s="12">
        <v>10</v>
      </c>
      <c r="C1095" s="4" t="s">
        <v>151</v>
      </c>
      <c r="D1095" s="4" t="s">
        <v>150</v>
      </c>
      <c r="E1095" s="4">
        <v>2</v>
      </c>
      <c r="F1095" s="4">
        <v>7</v>
      </c>
      <c r="G1095" s="4">
        <v>4</v>
      </c>
      <c r="H1095" s="115">
        <v>0.63299999999992451</v>
      </c>
      <c r="I1095" s="115"/>
      <c r="J1095" s="115">
        <v>1.1829999999999927</v>
      </c>
      <c r="K1095" s="115">
        <v>1.8159999999999172</v>
      </c>
      <c r="L1095" s="12">
        <f t="shared" si="76"/>
        <v>0.2129861847366481</v>
      </c>
      <c r="M1095" s="4">
        <f t="shared" si="77"/>
        <v>0</v>
      </c>
      <c r="N1095" s="4">
        <f t="shared" si="78"/>
        <v>0.33905373570913772</v>
      </c>
      <c r="O1095" s="13">
        <f t="shared" si="79"/>
        <v>0.44963265047006185</v>
      </c>
    </row>
    <row r="1096" spans="2:15">
      <c r="B1096" s="12">
        <v>10</v>
      </c>
      <c r="C1096" s="4" t="s">
        <v>151</v>
      </c>
      <c r="D1096" s="4" t="s">
        <v>150</v>
      </c>
      <c r="E1096" s="4">
        <v>2</v>
      </c>
      <c r="F1096" s="4">
        <v>7</v>
      </c>
      <c r="G1096" s="4">
        <v>5</v>
      </c>
      <c r="H1096" s="115"/>
      <c r="I1096" s="115"/>
      <c r="J1096" s="115">
        <v>1.1510000000000673</v>
      </c>
      <c r="K1096" s="115">
        <v>1.1510000000000673</v>
      </c>
      <c r="L1096" s="12">
        <f t="shared" si="76"/>
        <v>0</v>
      </c>
      <c r="M1096" s="4">
        <f t="shared" si="77"/>
        <v>0</v>
      </c>
      <c r="N1096" s="4">
        <f t="shared" si="78"/>
        <v>0.33264041038747616</v>
      </c>
      <c r="O1096" s="13">
        <f t="shared" si="79"/>
        <v>0.33264041038747616</v>
      </c>
    </row>
    <row r="1097" spans="2:15">
      <c r="B1097" s="12">
        <v>10</v>
      </c>
      <c r="C1097" s="4" t="s">
        <v>151</v>
      </c>
      <c r="D1097" s="4" t="s">
        <v>150</v>
      </c>
      <c r="E1097" s="4">
        <v>2</v>
      </c>
      <c r="F1097" s="4">
        <v>7</v>
      </c>
      <c r="G1097" s="4">
        <v>6</v>
      </c>
      <c r="H1097" s="115"/>
      <c r="I1097" s="115"/>
      <c r="J1097" s="115">
        <v>0.10000000000002274</v>
      </c>
      <c r="K1097" s="115">
        <v>0.10000000000002274</v>
      </c>
      <c r="L1097" s="12">
        <f t="shared" si="76"/>
        <v>0</v>
      </c>
      <c r="M1097" s="4">
        <f t="shared" si="77"/>
        <v>0</v>
      </c>
      <c r="N1097" s="4">
        <f t="shared" si="78"/>
        <v>4.1392685158234015E-2</v>
      </c>
      <c r="O1097" s="13">
        <f t="shared" si="79"/>
        <v>4.1392685158234015E-2</v>
      </c>
    </row>
    <row r="1098" spans="2:15">
      <c r="B1098" s="12">
        <v>10</v>
      </c>
      <c r="C1098" s="4" t="s">
        <v>151</v>
      </c>
      <c r="D1098" s="4" t="s">
        <v>150</v>
      </c>
      <c r="E1098" s="4">
        <v>2</v>
      </c>
      <c r="F1098" s="4">
        <v>7</v>
      </c>
      <c r="G1098" s="4">
        <v>7</v>
      </c>
      <c r="H1098" s="115"/>
      <c r="I1098" s="115"/>
      <c r="J1098" s="115"/>
      <c r="K1098" s="115">
        <v>0</v>
      </c>
      <c r="L1098" s="12">
        <f t="shared" si="76"/>
        <v>0</v>
      </c>
      <c r="M1098" s="4">
        <f t="shared" si="77"/>
        <v>0</v>
      </c>
      <c r="N1098" s="4">
        <f t="shared" si="78"/>
        <v>0</v>
      </c>
      <c r="O1098" s="13">
        <f t="shared" si="79"/>
        <v>0</v>
      </c>
    </row>
    <row r="1099" spans="2:15">
      <c r="B1099" s="12">
        <v>10</v>
      </c>
      <c r="C1099" s="4" t="s">
        <v>151</v>
      </c>
      <c r="D1099" s="4" t="s">
        <v>150</v>
      </c>
      <c r="E1099" s="4">
        <v>2</v>
      </c>
      <c r="F1099" s="4">
        <v>7</v>
      </c>
      <c r="G1099" s="4">
        <v>8</v>
      </c>
      <c r="H1099" s="115"/>
      <c r="I1099" s="115"/>
      <c r="J1099" s="115"/>
      <c r="K1099" s="115">
        <v>0</v>
      </c>
      <c r="L1099" s="12">
        <f t="shared" si="76"/>
        <v>0</v>
      </c>
      <c r="M1099" s="4">
        <f t="shared" si="77"/>
        <v>0</v>
      </c>
      <c r="N1099" s="4">
        <f t="shared" si="78"/>
        <v>0</v>
      </c>
      <c r="O1099" s="13">
        <f t="shared" si="79"/>
        <v>0</v>
      </c>
    </row>
    <row r="1100" spans="2:15">
      <c r="B1100" s="12">
        <v>10</v>
      </c>
      <c r="C1100" s="4" t="s">
        <v>151</v>
      </c>
      <c r="D1100" s="4" t="s">
        <v>150</v>
      </c>
      <c r="E1100" s="4">
        <v>2</v>
      </c>
      <c r="F1100" s="4">
        <v>7</v>
      </c>
      <c r="G1100" s="4">
        <v>9</v>
      </c>
      <c r="H1100" s="115"/>
      <c r="I1100" s="115"/>
      <c r="J1100" s="115"/>
      <c r="K1100" s="115">
        <v>0</v>
      </c>
      <c r="L1100" s="12">
        <f t="shared" si="76"/>
        <v>0</v>
      </c>
      <c r="M1100" s="4">
        <f t="shared" si="77"/>
        <v>0</v>
      </c>
      <c r="N1100" s="4">
        <f t="shared" si="78"/>
        <v>0</v>
      </c>
      <c r="O1100" s="13">
        <f t="shared" si="79"/>
        <v>0</v>
      </c>
    </row>
    <row r="1101" spans="2:15" ht="13.8" thickBot="1">
      <c r="B1101" s="14">
        <v>10</v>
      </c>
      <c r="C1101" s="15" t="s">
        <v>151</v>
      </c>
      <c r="D1101" s="15" t="s">
        <v>150</v>
      </c>
      <c r="E1101" s="15">
        <v>2</v>
      </c>
      <c r="F1101" s="15">
        <v>7</v>
      </c>
      <c r="G1101" s="15">
        <v>10</v>
      </c>
      <c r="H1101" s="121"/>
      <c r="I1101" s="121"/>
      <c r="J1101" s="121"/>
      <c r="K1101" s="121">
        <v>0</v>
      </c>
      <c r="L1101" s="14">
        <f t="shared" si="76"/>
        <v>0</v>
      </c>
      <c r="M1101" s="15">
        <f t="shared" si="77"/>
        <v>0</v>
      </c>
      <c r="N1101" s="15">
        <f t="shared" si="78"/>
        <v>0</v>
      </c>
      <c r="O1101" s="16">
        <f t="shared" si="79"/>
        <v>0</v>
      </c>
    </row>
    <row r="1102" spans="2:15">
      <c r="B1102" s="9">
        <v>10</v>
      </c>
      <c r="C1102" s="10" t="s">
        <v>151</v>
      </c>
      <c r="D1102" s="10" t="s">
        <v>149</v>
      </c>
      <c r="E1102" s="93">
        <v>3</v>
      </c>
      <c r="F1102" s="93">
        <v>3</v>
      </c>
      <c r="G1102" s="10">
        <v>1</v>
      </c>
      <c r="H1102" s="120"/>
      <c r="I1102" s="120"/>
      <c r="J1102" s="120">
        <v>0.23300000000000409</v>
      </c>
      <c r="K1102" s="120">
        <v>0.23300000000000409</v>
      </c>
      <c r="L1102" s="9">
        <f t="shared" si="76"/>
        <v>0</v>
      </c>
      <c r="M1102" s="10">
        <f t="shared" si="77"/>
        <v>0</v>
      </c>
      <c r="N1102" s="10">
        <f t="shared" si="78"/>
        <v>9.0963076595733078E-2</v>
      </c>
      <c r="O1102" s="11">
        <f t="shared" si="79"/>
        <v>9.0963076595733078E-2</v>
      </c>
    </row>
    <row r="1103" spans="2:15">
      <c r="B1103" s="12">
        <v>10</v>
      </c>
      <c r="C1103" s="4" t="s">
        <v>151</v>
      </c>
      <c r="D1103" s="4" t="s">
        <v>149</v>
      </c>
      <c r="E1103" s="4">
        <v>3</v>
      </c>
      <c r="F1103" s="4">
        <v>3</v>
      </c>
      <c r="G1103" s="4">
        <v>2</v>
      </c>
      <c r="H1103" s="115">
        <v>0.38400000000001455</v>
      </c>
      <c r="I1103" s="115">
        <v>0.29999999999995453</v>
      </c>
      <c r="J1103" s="115">
        <v>1.0500000000000114</v>
      </c>
      <c r="K1103" s="115">
        <v>1.7339999999999804</v>
      </c>
      <c r="L1103" s="12">
        <f t="shared" si="76"/>
        <v>0.14113609012074357</v>
      </c>
      <c r="M1103" s="4">
        <f t="shared" si="77"/>
        <v>0.11394335230682158</v>
      </c>
      <c r="N1103" s="4">
        <f t="shared" si="78"/>
        <v>0.3117538610557567</v>
      </c>
      <c r="O1103" s="13">
        <f t="shared" si="79"/>
        <v>0.43679851023180039</v>
      </c>
    </row>
    <row r="1104" spans="2:15">
      <c r="B1104" s="12">
        <v>10</v>
      </c>
      <c r="C1104" s="4" t="s">
        <v>151</v>
      </c>
      <c r="D1104" s="4" t="s">
        <v>149</v>
      </c>
      <c r="E1104" s="4">
        <v>3</v>
      </c>
      <c r="F1104" s="4">
        <v>3</v>
      </c>
      <c r="G1104" s="4">
        <v>3</v>
      </c>
      <c r="H1104" s="115">
        <v>0.10000000000002274</v>
      </c>
      <c r="I1104" s="115">
        <v>0.28300000000001546</v>
      </c>
      <c r="J1104" s="115">
        <v>2.0629999999999882</v>
      </c>
      <c r="K1104" s="115">
        <v>2.4460000000000264</v>
      </c>
      <c r="L1104" s="12">
        <f t="shared" si="76"/>
        <v>4.1392685158234015E-2</v>
      </c>
      <c r="M1104" s="4">
        <f t="shared" si="77"/>
        <v>0.10822665637493374</v>
      </c>
      <c r="N1104" s="4">
        <f t="shared" si="78"/>
        <v>0.48614699680657103</v>
      </c>
      <c r="O1104" s="13">
        <f t="shared" si="79"/>
        <v>0.53731527311201299</v>
      </c>
    </row>
    <row r="1105" spans="2:15">
      <c r="B1105" s="12">
        <v>10</v>
      </c>
      <c r="C1105" s="4" t="s">
        <v>151</v>
      </c>
      <c r="D1105" s="4" t="s">
        <v>149</v>
      </c>
      <c r="E1105" s="4">
        <v>3</v>
      </c>
      <c r="F1105" s="4">
        <v>3</v>
      </c>
      <c r="G1105" s="4">
        <v>4</v>
      </c>
      <c r="H1105" s="115">
        <v>0.19999999999998863</v>
      </c>
      <c r="I1105" s="115">
        <v>0.51699999999993906</v>
      </c>
      <c r="J1105" s="115">
        <v>0.26600000000001955</v>
      </c>
      <c r="K1105" s="115">
        <v>0.98299999999994725</v>
      </c>
      <c r="L1105" s="12">
        <f t="shared" si="76"/>
        <v>7.918124604762071E-2</v>
      </c>
      <c r="M1105" s="4">
        <f t="shared" si="77"/>
        <v>0.18098558078671304</v>
      </c>
      <c r="N1105" s="4">
        <f t="shared" si="78"/>
        <v>0.10243370568134301</v>
      </c>
      <c r="O1105" s="13">
        <f t="shared" si="79"/>
        <v>0.29732271420529111</v>
      </c>
    </row>
    <row r="1106" spans="2:15">
      <c r="B1106" s="12">
        <v>10</v>
      </c>
      <c r="C1106" s="4" t="s">
        <v>151</v>
      </c>
      <c r="D1106" s="4" t="s">
        <v>149</v>
      </c>
      <c r="E1106" s="4">
        <v>3</v>
      </c>
      <c r="F1106" s="4">
        <v>3</v>
      </c>
      <c r="G1106" s="4">
        <v>5</v>
      </c>
      <c r="H1106" s="115">
        <v>9.9999999999965894E-2</v>
      </c>
      <c r="I1106" s="115"/>
      <c r="J1106" s="115"/>
      <c r="K1106" s="115">
        <v>9.9999999999965894E-2</v>
      </c>
      <c r="L1106" s="12">
        <f t="shared" si="76"/>
        <v>4.1392685158211574E-2</v>
      </c>
      <c r="M1106" s="4">
        <f t="shared" si="77"/>
        <v>0</v>
      </c>
      <c r="N1106" s="4">
        <f t="shared" si="78"/>
        <v>0</v>
      </c>
      <c r="O1106" s="13">
        <f t="shared" si="79"/>
        <v>4.1392685158211574E-2</v>
      </c>
    </row>
    <row r="1107" spans="2:15">
      <c r="B1107" s="12">
        <v>10</v>
      </c>
      <c r="C1107" s="4" t="s">
        <v>151</v>
      </c>
      <c r="D1107" s="4" t="s">
        <v>149</v>
      </c>
      <c r="E1107" s="4">
        <v>3</v>
      </c>
      <c r="F1107" s="4">
        <v>3</v>
      </c>
      <c r="G1107" s="4">
        <v>6</v>
      </c>
      <c r="H1107" s="115"/>
      <c r="I1107" s="115"/>
      <c r="J1107" s="115"/>
      <c r="K1107" s="115">
        <v>0</v>
      </c>
      <c r="L1107" s="12">
        <f t="shared" si="76"/>
        <v>0</v>
      </c>
      <c r="M1107" s="4">
        <f t="shared" si="77"/>
        <v>0</v>
      </c>
      <c r="N1107" s="4">
        <f t="shared" si="78"/>
        <v>0</v>
      </c>
      <c r="O1107" s="13">
        <f t="shared" si="79"/>
        <v>0</v>
      </c>
    </row>
    <row r="1108" spans="2:15">
      <c r="B1108" s="12">
        <v>10</v>
      </c>
      <c r="C1108" s="4" t="s">
        <v>151</v>
      </c>
      <c r="D1108" s="4" t="s">
        <v>149</v>
      </c>
      <c r="E1108" s="4">
        <v>3</v>
      </c>
      <c r="F1108" s="4">
        <v>3</v>
      </c>
      <c r="G1108" s="4">
        <v>7</v>
      </c>
      <c r="H1108" s="115"/>
      <c r="I1108" s="115"/>
      <c r="J1108" s="115"/>
      <c r="K1108" s="115">
        <v>0</v>
      </c>
      <c r="L1108" s="12">
        <f t="shared" si="76"/>
        <v>0</v>
      </c>
      <c r="M1108" s="4">
        <f t="shared" si="77"/>
        <v>0</v>
      </c>
      <c r="N1108" s="4">
        <f t="shared" si="78"/>
        <v>0</v>
      </c>
      <c r="O1108" s="13">
        <f t="shared" si="79"/>
        <v>0</v>
      </c>
    </row>
    <row r="1109" spans="2:15">
      <c r="B1109" s="12">
        <v>10</v>
      </c>
      <c r="C1109" s="4" t="s">
        <v>151</v>
      </c>
      <c r="D1109" s="4" t="s">
        <v>149</v>
      </c>
      <c r="E1109" s="4">
        <v>3</v>
      </c>
      <c r="F1109" s="4">
        <v>3</v>
      </c>
      <c r="G1109" s="4">
        <v>8</v>
      </c>
      <c r="H1109" s="115"/>
      <c r="I1109" s="115"/>
      <c r="J1109" s="115"/>
      <c r="K1109" s="115">
        <v>0</v>
      </c>
      <c r="L1109" s="12">
        <f t="shared" si="76"/>
        <v>0</v>
      </c>
      <c r="M1109" s="4">
        <f t="shared" si="77"/>
        <v>0</v>
      </c>
      <c r="N1109" s="4">
        <f t="shared" si="78"/>
        <v>0</v>
      </c>
      <c r="O1109" s="13">
        <f t="shared" si="79"/>
        <v>0</v>
      </c>
    </row>
    <row r="1110" spans="2:15">
      <c r="B1110" s="12">
        <v>10</v>
      </c>
      <c r="C1110" s="4" t="s">
        <v>151</v>
      </c>
      <c r="D1110" s="4" t="s">
        <v>149</v>
      </c>
      <c r="E1110" s="4">
        <v>3</v>
      </c>
      <c r="F1110" s="4">
        <v>3</v>
      </c>
      <c r="G1110" s="4">
        <v>9</v>
      </c>
      <c r="H1110" s="115"/>
      <c r="I1110" s="115"/>
      <c r="J1110" s="115"/>
      <c r="K1110" s="115">
        <v>0</v>
      </c>
      <c r="L1110" s="12">
        <f t="shared" si="76"/>
        <v>0</v>
      </c>
      <c r="M1110" s="4">
        <f t="shared" si="77"/>
        <v>0</v>
      </c>
      <c r="N1110" s="4">
        <f t="shared" si="78"/>
        <v>0</v>
      </c>
      <c r="O1110" s="13">
        <f t="shared" si="79"/>
        <v>0</v>
      </c>
    </row>
    <row r="1111" spans="2:15" ht="13.8" thickBot="1">
      <c r="B1111" s="14">
        <v>10</v>
      </c>
      <c r="C1111" s="15" t="s">
        <v>151</v>
      </c>
      <c r="D1111" s="15" t="s">
        <v>149</v>
      </c>
      <c r="E1111" s="15">
        <v>3</v>
      </c>
      <c r="F1111" s="15">
        <v>3</v>
      </c>
      <c r="G1111" s="15">
        <v>10</v>
      </c>
      <c r="H1111" s="121"/>
      <c r="I1111" s="121"/>
      <c r="J1111" s="121"/>
      <c r="K1111" s="121">
        <v>0</v>
      </c>
      <c r="L1111" s="14">
        <f t="shared" si="76"/>
        <v>0</v>
      </c>
      <c r="M1111" s="15">
        <f t="shared" si="77"/>
        <v>0</v>
      </c>
      <c r="N1111" s="15">
        <f t="shared" si="78"/>
        <v>0</v>
      </c>
      <c r="O1111" s="16">
        <f t="shared" si="79"/>
        <v>0</v>
      </c>
    </row>
    <row r="1112" spans="2:15">
      <c r="B1112" s="9">
        <v>10</v>
      </c>
      <c r="C1112" s="10" t="s">
        <v>151</v>
      </c>
      <c r="D1112" s="10" t="s">
        <v>154</v>
      </c>
      <c r="E1112" s="93">
        <v>4</v>
      </c>
      <c r="F1112" s="93">
        <v>9</v>
      </c>
      <c r="G1112" s="10">
        <v>1</v>
      </c>
      <c r="H1112" s="120">
        <v>2.1330000000000382</v>
      </c>
      <c r="I1112" s="120">
        <v>0.56699999999989359</v>
      </c>
      <c r="J1112" s="120">
        <v>0.73300000000006094</v>
      </c>
      <c r="K1112" s="120">
        <v>3.4329999999999927</v>
      </c>
      <c r="L1112" s="9">
        <f t="shared" si="76"/>
        <v>0.49596039488171045</v>
      </c>
      <c r="M1112" s="10">
        <f t="shared" si="77"/>
        <v>0.19506899646856063</v>
      </c>
      <c r="N1112" s="10">
        <f t="shared" si="78"/>
        <v>0.23879856271393227</v>
      </c>
      <c r="O1112" s="11">
        <f t="shared" si="79"/>
        <v>0.64669773129933372</v>
      </c>
    </row>
    <row r="1113" spans="2:15">
      <c r="B1113" s="12">
        <v>10</v>
      </c>
      <c r="C1113" s="4" t="s">
        <v>151</v>
      </c>
      <c r="D1113" s="4" t="s">
        <v>154</v>
      </c>
      <c r="E1113" s="4">
        <v>4</v>
      </c>
      <c r="F1113" s="4">
        <v>9</v>
      </c>
      <c r="G1113" s="4">
        <v>2</v>
      </c>
      <c r="H1113" s="115">
        <v>0.3669999999999618</v>
      </c>
      <c r="I1113" s="115">
        <v>0.1169999999999618</v>
      </c>
      <c r="J1113" s="115">
        <v>0.35099999999977172</v>
      </c>
      <c r="K1113" s="115">
        <v>0.83499999999969532</v>
      </c>
      <c r="L1113" s="12">
        <f t="shared" si="76"/>
        <v>0.13576851456781014</v>
      </c>
      <c r="M1113" s="4">
        <f t="shared" si="77"/>
        <v>4.8053173115594205E-2</v>
      </c>
      <c r="N1113" s="4">
        <f t="shared" si="78"/>
        <v>0.13065534902195722</v>
      </c>
      <c r="O1113" s="13">
        <f t="shared" si="79"/>
        <v>0.26363606858803601</v>
      </c>
    </row>
    <row r="1114" spans="2:15">
      <c r="B1114" s="12">
        <v>10</v>
      </c>
      <c r="C1114" s="4" t="s">
        <v>151</v>
      </c>
      <c r="D1114" s="4" t="s">
        <v>154</v>
      </c>
      <c r="E1114" s="4">
        <v>4</v>
      </c>
      <c r="F1114" s="4">
        <v>9</v>
      </c>
      <c r="G1114" s="4">
        <v>3</v>
      </c>
      <c r="H1114" s="115">
        <v>2.4189999999999827</v>
      </c>
      <c r="I1114" s="115">
        <v>0.16600000000005366</v>
      </c>
      <c r="J1114" s="115">
        <v>0.76499999999998636</v>
      </c>
      <c r="K1114" s="115">
        <v>3.3500000000000227</v>
      </c>
      <c r="L1114" s="12">
        <f t="shared" si="76"/>
        <v>0.53389910079659242</v>
      </c>
      <c r="M1114" s="4">
        <f t="shared" si="77"/>
        <v>6.6698550423015271E-2</v>
      </c>
      <c r="N1114" s="4">
        <f t="shared" si="78"/>
        <v>0.24674470972383802</v>
      </c>
      <c r="O1114" s="13">
        <f t="shared" si="79"/>
        <v>0.63848925695463965</v>
      </c>
    </row>
    <row r="1115" spans="2:15">
      <c r="B1115" s="12">
        <v>10</v>
      </c>
      <c r="C1115" s="4" t="s">
        <v>151</v>
      </c>
      <c r="D1115" s="4" t="s">
        <v>154</v>
      </c>
      <c r="E1115" s="4">
        <v>4</v>
      </c>
      <c r="F1115" s="4">
        <v>9</v>
      </c>
      <c r="G1115" s="4">
        <v>4</v>
      </c>
      <c r="H1115" s="115"/>
      <c r="I1115" s="115"/>
      <c r="J1115" s="115"/>
      <c r="K1115" s="115">
        <v>0</v>
      </c>
      <c r="L1115" s="12">
        <f t="shared" si="76"/>
        <v>0</v>
      </c>
      <c r="M1115" s="4">
        <f t="shared" si="77"/>
        <v>0</v>
      </c>
      <c r="N1115" s="4">
        <f t="shared" si="78"/>
        <v>0</v>
      </c>
      <c r="O1115" s="13">
        <f t="shared" si="79"/>
        <v>0</v>
      </c>
    </row>
    <row r="1116" spans="2:15">
      <c r="B1116" s="12">
        <v>10</v>
      </c>
      <c r="C1116" s="4" t="s">
        <v>151</v>
      </c>
      <c r="D1116" s="4" t="s">
        <v>154</v>
      </c>
      <c r="E1116" s="4">
        <v>4</v>
      </c>
      <c r="F1116" s="4">
        <v>9</v>
      </c>
      <c r="G1116" s="4">
        <v>5</v>
      </c>
      <c r="H1116" s="115"/>
      <c r="I1116" s="115"/>
      <c r="J1116" s="115"/>
      <c r="K1116" s="115">
        <v>0</v>
      </c>
      <c r="L1116" s="12">
        <f t="shared" si="76"/>
        <v>0</v>
      </c>
      <c r="M1116" s="4">
        <f t="shared" si="77"/>
        <v>0</v>
      </c>
      <c r="N1116" s="4">
        <f t="shared" si="78"/>
        <v>0</v>
      </c>
      <c r="O1116" s="13">
        <f t="shared" si="79"/>
        <v>0</v>
      </c>
    </row>
    <row r="1117" spans="2:15">
      <c r="B1117" s="12">
        <v>10</v>
      </c>
      <c r="C1117" s="4" t="s">
        <v>151</v>
      </c>
      <c r="D1117" s="4" t="s">
        <v>154</v>
      </c>
      <c r="E1117" s="4">
        <v>4</v>
      </c>
      <c r="F1117" s="4">
        <v>9</v>
      </c>
      <c r="G1117" s="4">
        <v>6</v>
      </c>
      <c r="H1117" s="115"/>
      <c r="I1117" s="115"/>
      <c r="J1117" s="115"/>
      <c r="K1117" s="115">
        <v>0</v>
      </c>
      <c r="L1117" s="12">
        <f t="shared" si="76"/>
        <v>0</v>
      </c>
      <c r="M1117" s="4">
        <f t="shared" si="77"/>
        <v>0</v>
      </c>
      <c r="N1117" s="4">
        <f t="shared" si="78"/>
        <v>0</v>
      </c>
      <c r="O1117" s="13">
        <f t="shared" si="79"/>
        <v>0</v>
      </c>
    </row>
    <row r="1118" spans="2:15">
      <c r="B1118" s="12">
        <v>10</v>
      </c>
      <c r="C1118" s="4" t="s">
        <v>151</v>
      </c>
      <c r="D1118" s="4" t="s">
        <v>154</v>
      </c>
      <c r="E1118" s="4">
        <v>4</v>
      </c>
      <c r="F1118" s="4">
        <v>9</v>
      </c>
      <c r="G1118" s="4">
        <v>7</v>
      </c>
      <c r="H1118" s="115"/>
      <c r="I1118" s="115"/>
      <c r="J1118" s="115"/>
      <c r="K1118" s="115">
        <v>0</v>
      </c>
      <c r="L1118" s="12">
        <f t="shared" si="76"/>
        <v>0</v>
      </c>
      <c r="M1118" s="4">
        <f t="shared" si="77"/>
        <v>0</v>
      </c>
      <c r="N1118" s="4">
        <f t="shared" si="78"/>
        <v>0</v>
      </c>
      <c r="O1118" s="13">
        <f t="shared" si="79"/>
        <v>0</v>
      </c>
    </row>
    <row r="1119" spans="2:15">
      <c r="B1119" s="12">
        <v>10</v>
      </c>
      <c r="C1119" s="4" t="s">
        <v>151</v>
      </c>
      <c r="D1119" s="4" t="s">
        <v>154</v>
      </c>
      <c r="E1119" s="4">
        <v>4</v>
      </c>
      <c r="F1119" s="4">
        <v>9</v>
      </c>
      <c r="G1119" s="4">
        <v>8</v>
      </c>
      <c r="H1119" s="115"/>
      <c r="I1119" s="115"/>
      <c r="J1119" s="115"/>
      <c r="K1119" s="115">
        <v>0</v>
      </c>
      <c r="L1119" s="12">
        <f t="shared" si="76"/>
        <v>0</v>
      </c>
      <c r="M1119" s="4">
        <f t="shared" si="77"/>
        <v>0</v>
      </c>
      <c r="N1119" s="4">
        <f t="shared" si="78"/>
        <v>0</v>
      </c>
      <c r="O1119" s="13">
        <f t="shared" si="79"/>
        <v>0</v>
      </c>
    </row>
    <row r="1120" spans="2:15">
      <c r="B1120" s="12">
        <v>10</v>
      </c>
      <c r="C1120" s="4" t="s">
        <v>151</v>
      </c>
      <c r="D1120" s="4" t="s">
        <v>154</v>
      </c>
      <c r="E1120" s="4">
        <v>4</v>
      </c>
      <c r="F1120" s="4">
        <v>9</v>
      </c>
      <c r="G1120" s="4">
        <v>9</v>
      </c>
      <c r="H1120" s="115"/>
      <c r="I1120" s="115"/>
      <c r="J1120" s="115"/>
      <c r="K1120" s="115">
        <v>0</v>
      </c>
      <c r="L1120" s="12">
        <f t="shared" si="76"/>
        <v>0</v>
      </c>
      <c r="M1120" s="4">
        <f t="shared" si="77"/>
        <v>0</v>
      </c>
      <c r="N1120" s="4">
        <f t="shared" si="78"/>
        <v>0</v>
      </c>
      <c r="O1120" s="13">
        <f t="shared" si="79"/>
        <v>0</v>
      </c>
    </row>
    <row r="1121" spans="2:15" ht="13.8" thickBot="1">
      <c r="B1121" s="14">
        <v>10</v>
      </c>
      <c r="C1121" s="15" t="s">
        <v>151</v>
      </c>
      <c r="D1121" s="15" t="s">
        <v>154</v>
      </c>
      <c r="E1121" s="15">
        <v>4</v>
      </c>
      <c r="F1121" s="15">
        <v>9</v>
      </c>
      <c r="G1121" s="15">
        <v>10</v>
      </c>
      <c r="H1121" s="121"/>
      <c r="I1121" s="121"/>
      <c r="J1121" s="121"/>
      <c r="K1121" s="121">
        <v>0</v>
      </c>
      <c r="L1121" s="14">
        <f t="shared" si="76"/>
        <v>0</v>
      </c>
      <c r="M1121" s="15">
        <f t="shared" si="77"/>
        <v>0</v>
      </c>
      <c r="N1121" s="15">
        <f t="shared" si="78"/>
        <v>0</v>
      </c>
      <c r="O1121" s="16">
        <f t="shared" si="79"/>
        <v>0</v>
      </c>
    </row>
    <row r="1122" spans="2:15">
      <c r="B1122" s="9">
        <v>10</v>
      </c>
      <c r="C1122" s="10" t="s">
        <v>151</v>
      </c>
      <c r="D1122" s="10" t="s">
        <v>149</v>
      </c>
      <c r="E1122" s="93">
        <v>5</v>
      </c>
      <c r="F1122" s="93">
        <v>1</v>
      </c>
      <c r="G1122" s="10">
        <v>1</v>
      </c>
      <c r="H1122" s="120">
        <v>1.2330000000000041</v>
      </c>
      <c r="I1122" s="120">
        <v>0.24999999999998579</v>
      </c>
      <c r="J1122" s="120">
        <v>2.2639999999999674</v>
      </c>
      <c r="K1122" s="120">
        <v>3.7469999999999573</v>
      </c>
      <c r="L1122" s="9">
        <f t="shared" si="76"/>
        <v>0.34888872307143876</v>
      </c>
      <c r="M1122" s="10">
        <f t="shared" si="77"/>
        <v>9.6910013008051479E-2</v>
      </c>
      <c r="N1122" s="10">
        <f t="shared" si="78"/>
        <v>0.51375015008181923</v>
      </c>
      <c r="O1122" s="11">
        <f t="shared" si="79"/>
        <v>0.67641923171835616</v>
      </c>
    </row>
    <row r="1123" spans="2:15">
      <c r="B1123" s="12">
        <v>10</v>
      </c>
      <c r="C1123" s="4" t="s">
        <v>151</v>
      </c>
      <c r="D1123" s="4" t="s">
        <v>149</v>
      </c>
      <c r="E1123" s="4">
        <v>5</v>
      </c>
      <c r="F1123" s="4">
        <v>1</v>
      </c>
      <c r="G1123" s="4">
        <v>2</v>
      </c>
      <c r="H1123" s="115"/>
      <c r="I1123" s="115"/>
      <c r="J1123" s="115">
        <v>0.51699999999999591</v>
      </c>
      <c r="K1123" s="115">
        <v>0.51699999999999591</v>
      </c>
      <c r="L1123" s="12">
        <f t="shared" si="76"/>
        <v>0</v>
      </c>
      <c r="M1123" s="4">
        <f t="shared" si="77"/>
        <v>0</v>
      </c>
      <c r="N1123" s="4">
        <f t="shared" si="78"/>
        <v>0.18098558078672933</v>
      </c>
      <c r="O1123" s="13">
        <f t="shared" si="79"/>
        <v>0.18098558078672933</v>
      </c>
    </row>
    <row r="1124" spans="2:15">
      <c r="B1124" s="12">
        <v>10</v>
      </c>
      <c r="C1124" s="4" t="s">
        <v>151</v>
      </c>
      <c r="D1124" s="4" t="s">
        <v>149</v>
      </c>
      <c r="E1124" s="4">
        <v>5</v>
      </c>
      <c r="F1124" s="4">
        <v>1</v>
      </c>
      <c r="G1124" s="4">
        <v>3</v>
      </c>
      <c r="H1124" s="115">
        <v>0.35000000000000853</v>
      </c>
      <c r="I1124" s="115"/>
      <c r="J1124" s="115"/>
      <c r="K1124" s="115">
        <v>0.35000000000000853</v>
      </c>
      <c r="L1124" s="12">
        <f t="shared" si="76"/>
        <v>0.13033376849500886</v>
      </c>
      <c r="M1124" s="4">
        <f t="shared" si="77"/>
        <v>0</v>
      </c>
      <c r="N1124" s="4">
        <f t="shared" si="78"/>
        <v>0</v>
      </c>
      <c r="O1124" s="13">
        <f t="shared" si="79"/>
        <v>0.13033376849500886</v>
      </c>
    </row>
    <row r="1125" spans="2:15">
      <c r="B1125" s="12">
        <v>10</v>
      </c>
      <c r="C1125" s="4" t="s">
        <v>151</v>
      </c>
      <c r="D1125" s="4" t="s">
        <v>149</v>
      </c>
      <c r="E1125" s="4">
        <v>5</v>
      </c>
      <c r="F1125" s="4">
        <v>1</v>
      </c>
      <c r="G1125" s="4">
        <v>4</v>
      </c>
      <c r="H1125" s="115"/>
      <c r="I1125" s="115"/>
      <c r="J1125" s="115"/>
      <c r="K1125" s="115">
        <v>0</v>
      </c>
      <c r="L1125" s="12">
        <f t="shared" si="76"/>
        <v>0</v>
      </c>
      <c r="M1125" s="4">
        <f t="shared" si="77"/>
        <v>0</v>
      </c>
      <c r="N1125" s="4">
        <f t="shared" si="78"/>
        <v>0</v>
      </c>
      <c r="O1125" s="13">
        <f t="shared" si="79"/>
        <v>0</v>
      </c>
    </row>
    <row r="1126" spans="2:15">
      <c r="B1126" s="12">
        <v>10</v>
      </c>
      <c r="C1126" s="4" t="s">
        <v>151</v>
      </c>
      <c r="D1126" s="4" t="s">
        <v>149</v>
      </c>
      <c r="E1126" s="4">
        <v>5</v>
      </c>
      <c r="F1126" s="4">
        <v>1</v>
      </c>
      <c r="G1126" s="4">
        <v>5</v>
      </c>
      <c r="H1126" s="115"/>
      <c r="I1126" s="115"/>
      <c r="J1126" s="115"/>
      <c r="K1126" s="115">
        <v>0</v>
      </c>
      <c r="L1126" s="12">
        <f t="shared" si="76"/>
        <v>0</v>
      </c>
      <c r="M1126" s="4">
        <f t="shared" si="77"/>
        <v>0</v>
      </c>
      <c r="N1126" s="4">
        <f t="shared" si="78"/>
        <v>0</v>
      </c>
      <c r="O1126" s="13">
        <f t="shared" si="79"/>
        <v>0</v>
      </c>
    </row>
    <row r="1127" spans="2:15">
      <c r="B1127" s="12">
        <v>10</v>
      </c>
      <c r="C1127" s="4" t="s">
        <v>151</v>
      </c>
      <c r="D1127" s="4" t="s">
        <v>149</v>
      </c>
      <c r="E1127" s="4">
        <v>5</v>
      </c>
      <c r="F1127" s="4">
        <v>1</v>
      </c>
      <c r="G1127" s="4">
        <v>6</v>
      </c>
      <c r="H1127" s="115"/>
      <c r="I1127" s="115"/>
      <c r="J1127" s="115"/>
      <c r="K1127" s="115">
        <v>0</v>
      </c>
      <c r="L1127" s="12">
        <f t="shared" ref="L1127:L1190" si="80">LOG10(H1127+1)</f>
        <v>0</v>
      </c>
      <c r="M1127" s="4">
        <f t="shared" ref="M1127:M1190" si="81">LOG10(I1127+1)</f>
        <v>0</v>
      </c>
      <c r="N1127" s="4">
        <f t="shared" ref="N1127:N1190" si="82">LOG10(J1127+1)</f>
        <v>0</v>
      </c>
      <c r="O1127" s="13">
        <f t="shared" ref="O1127:O1190" si="83">LOG10(K1127+1)</f>
        <v>0</v>
      </c>
    </row>
    <row r="1128" spans="2:15">
      <c r="B1128" s="12">
        <v>10</v>
      </c>
      <c r="C1128" s="4" t="s">
        <v>151</v>
      </c>
      <c r="D1128" s="4" t="s">
        <v>149</v>
      </c>
      <c r="E1128" s="4">
        <v>5</v>
      </c>
      <c r="F1128" s="4">
        <v>1</v>
      </c>
      <c r="G1128" s="4">
        <v>7</v>
      </c>
      <c r="H1128" s="115"/>
      <c r="I1128" s="115"/>
      <c r="J1128" s="115"/>
      <c r="K1128" s="115">
        <v>0</v>
      </c>
      <c r="L1128" s="12">
        <f t="shared" si="80"/>
        <v>0</v>
      </c>
      <c r="M1128" s="4">
        <f t="shared" si="81"/>
        <v>0</v>
      </c>
      <c r="N1128" s="4">
        <f t="shared" si="82"/>
        <v>0</v>
      </c>
      <c r="O1128" s="13">
        <f t="shared" si="83"/>
        <v>0</v>
      </c>
    </row>
    <row r="1129" spans="2:15">
      <c r="B1129" s="12">
        <v>10</v>
      </c>
      <c r="C1129" s="4" t="s">
        <v>151</v>
      </c>
      <c r="D1129" s="4" t="s">
        <v>149</v>
      </c>
      <c r="E1129" s="4">
        <v>5</v>
      </c>
      <c r="F1129" s="4">
        <v>1</v>
      </c>
      <c r="G1129" s="4">
        <v>8</v>
      </c>
      <c r="H1129" s="115"/>
      <c r="I1129" s="115"/>
      <c r="J1129" s="115"/>
      <c r="K1129" s="115">
        <v>0</v>
      </c>
      <c r="L1129" s="12">
        <f t="shared" si="80"/>
        <v>0</v>
      </c>
      <c r="M1129" s="4">
        <f t="shared" si="81"/>
        <v>0</v>
      </c>
      <c r="N1129" s="4">
        <f t="shared" si="82"/>
        <v>0</v>
      </c>
      <c r="O1129" s="13">
        <f t="shared" si="83"/>
        <v>0</v>
      </c>
    </row>
    <row r="1130" spans="2:15">
      <c r="B1130" s="12">
        <v>10</v>
      </c>
      <c r="C1130" s="4" t="s">
        <v>151</v>
      </c>
      <c r="D1130" s="4" t="s">
        <v>149</v>
      </c>
      <c r="E1130" s="4">
        <v>5</v>
      </c>
      <c r="F1130" s="4">
        <v>1</v>
      </c>
      <c r="G1130" s="4">
        <v>9</v>
      </c>
      <c r="H1130" s="115"/>
      <c r="I1130" s="115"/>
      <c r="J1130" s="115"/>
      <c r="K1130" s="115">
        <v>0</v>
      </c>
      <c r="L1130" s="12">
        <f t="shared" si="80"/>
        <v>0</v>
      </c>
      <c r="M1130" s="4">
        <f t="shared" si="81"/>
        <v>0</v>
      </c>
      <c r="N1130" s="4">
        <f t="shared" si="82"/>
        <v>0</v>
      </c>
      <c r="O1130" s="13">
        <f t="shared" si="83"/>
        <v>0</v>
      </c>
    </row>
    <row r="1131" spans="2:15" ht="13.8" thickBot="1">
      <c r="B1131" s="14">
        <v>10</v>
      </c>
      <c r="C1131" s="15" t="s">
        <v>151</v>
      </c>
      <c r="D1131" s="15" t="s">
        <v>149</v>
      </c>
      <c r="E1131" s="15">
        <v>5</v>
      </c>
      <c r="F1131" s="15">
        <v>1</v>
      </c>
      <c r="G1131" s="15">
        <v>10</v>
      </c>
      <c r="H1131" s="121"/>
      <c r="I1131" s="121"/>
      <c r="J1131" s="121"/>
      <c r="K1131" s="121">
        <v>0</v>
      </c>
      <c r="L1131" s="14">
        <f t="shared" si="80"/>
        <v>0</v>
      </c>
      <c r="M1131" s="15">
        <f t="shared" si="81"/>
        <v>0</v>
      </c>
      <c r="N1131" s="15">
        <f t="shared" si="82"/>
        <v>0</v>
      </c>
      <c r="O1131" s="16">
        <f t="shared" si="83"/>
        <v>0</v>
      </c>
    </row>
    <row r="1132" spans="2:15">
      <c r="B1132" s="9">
        <v>10</v>
      </c>
      <c r="C1132" s="10" t="s">
        <v>151</v>
      </c>
      <c r="D1132" s="10" t="s">
        <v>150</v>
      </c>
      <c r="E1132" s="93">
        <v>6</v>
      </c>
      <c r="F1132" s="93">
        <v>5</v>
      </c>
      <c r="G1132" s="10">
        <v>1</v>
      </c>
      <c r="H1132" s="120"/>
      <c r="I1132" s="120">
        <v>0.44900000000001228</v>
      </c>
      <c r="J1132" s="120">
        <v>0.5330000000000723</v>
      </c>
      <c r="K1132" s="120">
        <v>0.98200000000008458</v>
      </c>
      <c r="L1132" s="9">
        <f t="shared" si="80"/>
        <v>0</v>
      </c>
      <c r="M1132" s="10">
        <f t="shared" si="81"/>
        <v>0.16106838547117827</v>
      </c>
      <c r="N1132" s="10">
        <f t="shared" si="82"/>
        <v>0.18554215485439565</v>
      </c>
      <c r="O1132" s="11">
        <f t="shared" si="83"/>
        <v>0.29710365014927503</v>
      </c>
    </row>
    <row r="1133" spans="2:15">
      <c r="B1133" s="12">
        <v>10</v>
      </c>
      <c r="C1133" s="4" t="s">
        <v>151</v>
      </c>
      <c r="D1133" s="4" t="s">
        <v>150</v>
      </c>
      <c r="E1133" s="4">
        <v>6</v>
      </c>
      <c r="F1133" s="4">
        <v>5</v>
      </c>
      <c r="G1133" s="4">
        <v>2</v>
      </c>
      <c r="H1133" s="115">
        <v>0.28399999999999181</v>
      </c>
      <c r="I1133" s="115">
        <v>0.43300000000004957</v>
      </c>
      <c r="J1133" s="115">
        <v>1.4829999999999472</v>
      </c>
      <c r="K1133" s="115">
        <v>2.1999999999999886</v>
      </c>
      <c r="L1133" s="12">
        <f t="shared" si="80"/>
        <v>0.10856502373283169</v>
      </c>
      <c r="M1133" s="4">
        <f t="shared" si="81"/>
        <v>0.15624619039735949</v>
      </c>
      <c r="N1133" s="4">
        <f t="shared" si="82"/>
        <v>0.3949767195545551</v>
      </c>
      <c r="O1133" s="13">
        <f t="shared" si="83"/>
        <v>0.50514997831990438</v>
      </c>
    </row>
    <row r="1134" spans="2:15">
      <c r="B1134" s="12">
        <v>10</v>
      </c>
      <c r="C1134" s="4" t="s">
        <v>151</v>
      </c>
      <c r="D1134" s="4" t="s">
        <v>150</v>
      </c>
      <c r="E1134" s="4">
        <v>6</v>
      </c>
      <c r="F1134" s="4">
        <v>5</v>
      </c>
      <c r="G1134" s="4">
        <v>3</v>
      </c>
      <c r="H1134" s="115"/>
      <c r="I1134" s="115"/>
      <c r="J1134" s="115">
        <v>1.0000000000001137</v>
      </c>
      <c r="K1134" s="115">
        <v>1.0000000000001137</v>
      </c>
      <c r="L1134" s="12">
        <f t="shared" si="80"/>
        <v>0</v>
      </c>
      <c r="M1134" s="4">
        <f t="shared" si="81"/>
        <v>0</v>
      </c>
      <c r="N1134" s="4">
        <f t="shared" si="82"/>
        <v>0.3010299956640059</v>
      </c>
      <c r="O1134" s="13">
        <f t="shared" si="83"/>
        <v>0.3010299956640059</v>
      </c>
    </row>
    <row r="1135" spans="2:15">
      <c r="B1135" s="12">
        <v>10</v>
      </c>
      <c r="C1135" s="4" t="s">
        <v>151</v>
      </c>
      <c r="D1135" s="4" t="s">
        <v>150</v>
      </c>
      <c r="E1135" s="4">
        <v>6</v>
      </c>
      <c r="F1135" s="4">
        <v>5</v>
      </c>
      <c r="G1135" s="4">
        <v>4</v>
      </c>
      <c r="H1135" s="115">
        <v>0.10000000000002274</v>
      </c>
      <c r="I1135" s="115">
        <v>0.73300000000000409</v>
      </c>
      <c r="J1135" s="115">
        <v>0.83400000000000318</v>
      </c>
      <c r="K1135" s="115">
        <v>1.66700000000003</v>
      </c>
      <c r="L1135" s="12">
        <f t="shared" si="80"/>
        <v>4.1392685158234015E-2</v>
      </c>
      <c r="M1135" s="4">
        <f t="shared" si="81"/>
        <v>0.23879856271391803</v>
      </c>
      <c r="N1135" s="4">
        <f t="shared" si="82"/>
        <v>0.26339933133400306</v>
      </c>
      <c r="O1135" s="13">
        <f t="shared" si="83"/>
        <v>0.42602301568988105</v>
      </c>
    </row>
    <row r="1136" spans="2:15">
      <c r="B1136" s="12">
        <v>10</v>
      </c>
      <c r="C1136" s="4" t="s">
        <v>151</v>
      </c>
      <c r="D1136" s="4" t="s">
        <v>150</v>
      </c>
      <c r="E1136" s="4">
        <v>6</v>
      </c>
      <c r="F1136" s="4">
        <v>5</v>
      </c>
      <c r="G1136" s="4">
        <v>5</v>
      </c>
      <c r="H1136" s="115"/>
      <c r="I1136" s="115"/>
      <c r="J1136" s="115">
        <v>0.51699999999999591</v>
      </c>
      <c r="K1136" s="115">
        <v>0.51699999999999591</v>
      </c>
      <c r="L1136" s="12">
        <f t="shared" si="80"/>
        <v>0</v>
      </c>
      <c r="M1136" s="4">
        <f t="shared" si="81"/>
        <v>0</v>
      </c>
      <c r="N1136" s="4">
        <f t="shared" si="82"/>
        <v>0.18098558078672933</v>
      </c>
      <c r="O1136" s="13">
        <f t="shared" si="83"/>
        <v>0.18098558078672933</v>
      </c>
    </row>
    <row r="1137" spans="2:15">
      <c r="B1137" s="12">
        <v>10</v>
      </c>
      <c r="C1137" s="4" t="s">
        <v>151</v>
      </c>
      <c r="D1137" s="4" t="s">
        <v>150</v>
      </c>
      <c r="E1137" s="4">
        <v>6</v>
      </c>
      <c r="F1137" s="4">
        <v>5</v>
      </c>
      <c r="G1137" s="4">
        <v>6</v>
      </c>
      <c r="H1137" s="115"/>
      <c r="I1137" s="115"/>
      <c r="J1137" s="115"/>
      <c r="K1137" s="115">
        <v>0</v>
      </c>
      <c r="L1137" s="12">
        <f t="shared" si="80"/>
        <v>0</v>
      </c>
      <c r="M1137" s="4">
        <f t="shared" si="81"/>
        <v>0</v>
      </c>
      <c r="N1137" s="4">
        <f t="shared" si="82"/>
        <v>0</v>
      </c>
      <c r="O1137" s="13">
        <f t="shared" si="83"/>
        <v>0</v>
      </c>
    </row>
    <row r="1138" spans="2:15">
      <c r="B1138" s="12">
        <v>10</v>
      </c>
      <c r="C1138" s="4" t="s">
        <v>151</v>
      </c>
      <c r="D1138" s="4" t="s">
        <v>150</v>
      </c>
      <c r="E1138" s="4">
        <v>6</v>
      </c>
      <c r="F1138" s="4">
        <v>5</v>
      </c>
      <c r="G1138" s="4">
        <v>7</v>
      </c>
      <c r="H1138" s="115"/>
      <c r="I1138" s="115"/>
      <c r="J1138" s="115"/>
      <c r="K1138" s="115">
        <v>0</v>
      </c>
      <c r="L1138" s="12">
        <f t="shared" si="80"/>
        <v>0</v>
      </c>
      <c r="M1138" s="4">
        <f t="shared" si="81"/>
        <v>0</v>
      </c>
      <c r="N1138" s="4">
        <f t="shared" si="82"/>
        <v>0</v>
      </c>
      <c r="O1138" s="13">
        <f t="shared" si="83"/>
        <v>0</v>
      </c>
    </row>
    <row r="1139" spans="2:15">
      <c r="B1139" s="12">
        <v>10</v>
      </c>
      <c r="C1139" s="4" t="s">
        <v>151</v>
      </c>
      <c r="D1139" s="4" t="s">
        <v>150</v>
      </c>
      <c r="E1139" s="4">
        <v>6</v>
      </c>
      <c r="F1139" s="4">
        <v>5</v>
      </c>
      <c r="G1139" s="4">
        <v>8</v>
      </c>
      <c r="H1139" s="115"/>
      <c r="I1139" s="115"/>
      <c r="J1139" s="115"/>
      <c r="K1139" s="115">
        <v>0</v>
      </c>
      <c r="L1139" s="12">
        <f t="shared" si="80"/>
        <v>0</v>
      </c>
      <c r="M1139" s="4">
        <f t="shared" si="81"/>
        <v>0</v>
      </c>
      <c r="N1139" s="4">
        <f t="shared" si="82"/>
        <v>0</v>
      </c>
      <c r="O1139" s="13">
        <f t="shared" si="83"/>
        <v>0</v>
      </c>
    </row>
    <row r="1140" spans="2:15">
      <c r="B1140" s="12">
        <v>10</v>
      </c>
      <c r="C1140" s="4" t="s">
        <v>151</v>
      </c>
      <c r="D1140" s="4" t="s">
        <v>150</v>
      </c>
      <c r="E1140" s="4">
        <v>6</v>
      </c>
      <c r="F1140" s="4">
        <v>5</v>
      </c>
      <c r="G1140" s="4">
        <v>9</v>
      </c>
      <c r="H1140" s="115"/>
      <c r="I1140" s="115"/>
      <c r="J1140" s="115"/>
      <c r="K1140" s="115">
        <v>0</v>
      </c>
      <c r="L1140" s="12">
        <f t="shared" si="80"/>
        <v>0</v>
      </c>
      <c r="M1140" s="4">
        <f t="shared" si="81"/>
        <v>0</v>
      </c>
      <c r="N1140" s="4">
        <f t="shared" si="82"/>
        <v>0</v>
      </c>
      <c r="O1140" s="13">
        <f t="shared" si="83"/>
        <v>0</v>
      </c>
    </row>
    <row r="1141" spans="2:15" ht="13.8" thickBot="1">
      <c r="B1141" s="14">
        <v>10</v>
      </c>
      <c r="C1141" s="15" t="s">
        <v>151</v>
      </c>
      <c r="D1141" s="15" t="s">
        <v>150</v>
      </c>
      <c r="E1141" s="15">
        <v>6</v>
      </c>
      <c r="F1141" s="15">
        <v>5</v>
      </c>
      <c r="G1141" s="15">
        <v>10</v>
      </c>
      <c r="H1141" s="121"/>
      <c r="I1141" s="121"/>
      <c r="J1141" s="121"/>
      <c r="K1141" s="121">
        <v>0</v>
      </c>
      <c r="L1141" s="14">
        <f t="shared" si="80"/>
        <v>0</v>
      </c>
      <c r="M1141" s="15">
        <f t="shared" si="81"/>
        <v>0</v>
      </c>
      <c r="N1141" s="15">
        <f t="shared" si="82"/>
        <v>0</v>
      </c>
      <c r="O1141" s="16">
        <f t="shared" si="83"/>
        <v>0</v>
      </c>
    </row>
    <row r="1142" spans="2:15">
      <c r="B1142" s="9">
        <v>10</v>
      </c>
      <c r="C1142" s="10" t="s">
        <v>152</v>
      </c>
      <c r="D1142" s="10" t="s">
        <v>150</v>
      </c>
      <c r="E1142" s="93">
        <v>7</v>
      </c>
      <c r="F1142" s="93">
        <v>8</v>
      </c>
      <c r="G1142" s="10">
        <v>1</v>
      </c>
      <c r="H1142" s="120">
        <v>0.53399999999999181</v>
      </c>
      <c r="I1142" s="120">
        <v>0.70100000000002183</v>
      </c>
      <c r="J1142" s="120">
        <v>0.11700000000007549</v>
      </c>
      <c r="K1142" s="120">
        <v>1.3520000000000891</v>
      </c>
      <c r="L1142" s="9">
        <f t="shared" si="80"/>
        <v>0.18582535961295985</v>
      </c>
      <c r="M1142" s="10">
        <f t="shared" si="81"/>
        <v>0.2307043136125746</v>
      </c>
      <c r="N1142" s="10">
        <f t="shared" si="82"/>
        <v>4.8053173115638406E-2</v>
      </c>
      <c r="O1142" s="11">
        <f t="shared" si="83"/>
        <v>0.37143731740411734</v>
      </c>
    </row>
    <row r="1143" spans="2:15">
      <c r="B1143" s="12">
        <v>10</v>
      </c>
      <c r="C1143" s="4" t="s">
        <v>152</v>
      </c>
      <c r="D1143" s="4" t="s">
        <v>150</v>
      </c>
      <c r="E1143" s="4">
        <v>7</v>
      </c>
      <c r="F1143" s="4">
        <v>8</v>
      </c>
      <c r="G1143" s="4">
        <v>2</v>
      </c>
      <c r="H1143" s="115">
        <v>1.8479999999999563</v>
      </c>
      <c r="I1143" s="115">
        <v>0.28300000000001546</v>
      </c>
      <c r="J1143" s="115">
        <v>0.23299999999994725</v>
      </c>
      <c r="K1143" s="115">
        <v>2.3639999999999191</v>
      </c>
      <c r="L1143" s="12">
        <f t="shared" si="80"/>
        <v>0.45453998496481213</v>
      </c>
      <c r="M1143" s="4">
        <f t="shared" si="81"/>
        <v>0.10822665637493374</v>
      </c>
      <c r="N1143" s="4">
        <f t="shared" si="82"/>
        <v>9.0963076595713066E-2</v>
      </c>
      <c r="O1143" s="13">
        <f t="shared" si="83"/>
        <v>0.52685598712586412</v>
      </c>
    </row>
    <row r="1144" spans="2:15">
      <c r="B1144" s="12">
        <v>10</v>
      </c>
      <c r="C1144" s="4" t="s">
        <v>152</v>
      </c>
      <c r="D1144" s="4" t="s">
        <v>150</v>
      </c>
      <c r="E1144" s="4">
        <v>7</v>
      </c>
      <c r="F1144" s="4">
        <v>8</v>
      </c>
      <c r="G1144" s="4">
        <v>3</v>
      </c>
      <c r="H1144" s="115"/>
      <c r="I1144" s="115">
        <v>0.25</v>
      </c>
      <c r="J1144" s="115">
        <v>0.21600000000000819</v>
      </c>
      <c r="K1144" s="115">
        <v>0.46600000000000819</v>
      </c>
      <c r="L1144" s="12">
        <f t="shared" si="80"/>
        <v>0</v>
      </c>
      <c r="M1144" s="4">
        <f t="shared" si="81"/>
        <v>9.691001300805642E-2</v>
      </c>
      <c r="N1144" s="4">
        <f t="shared" si="82"/>
        <v>8.4933574936719061E-2</v>
      </c>
      <c r="O1144" s="13">
        <f t="shared" si="83"/>
        <v>0.16613397030511157</v>
      </c>
    </row>
    <row r="1145" spans="2:15">
      <c r="B1145" s="12">
        <v>10</v>
      </c>
      <c r="C1145" s="4" t="s">
        <v>152</v>
      </c>
      <c r="D1145" s="4" t="s">
        <v>150</v>
      </c>
      <c r="E1145" s="4">
        <v>7</v>
      </c>
      <c r="F1145" s="4">
        <v>8</v>
      </c>
      <c r="G1145" s="4">
        <v>4</v>
      </c>
      <c r="H1145" s="115"/>
      <c r="I1145" s="115"/>
      <c r="J1145" s="115"/>
      <c r="K1145" s="115">
        <v>0</v>
      </c>
      <c r="L1145" s="12">
        <f t="shared" si="80"/>
        <v>0</v>
      </c>
      <c r="M1145" s="4">
        <f t="shared" si="81"/>
        <v>0</v>
      </c>
      <c r="N1145" s="4">
        <f t="shared" si="82"/>
        <v>0</v>
      </c>
      <c r="O1145" s="13">
        <f t="shared" si="83"/>
        <v>0</v>
      </c>
    </row>
    <row r="1146" spans="2:15">
      <c r="B1146" s="12">
        <v>10</v>
      </c>
      <c r="C1146" s="4" t="s">
        <v>152</v>
      </c>
      <c r="D1146" s="4" t="s">
        <v>150</v>
      </c>
      <c r="E1146" s="4">
        <v>7</v>
      </c>
      <c r="F1146" s="4">
        <v>8</v>
      </c>
      <c r="G1146" s="4">
        <v>5</v>
      </c>
      <c r="H1146" s="115"/>
      <c r="I1146" s="115"/>
      <c r="J1146" s="115"/>
      <c r="K1146" s="115">
        <v>0</v>
      </c>
      <c r="L1146" s="12">
        <f t="shared" si="80"/>
        <v>0</v>
      </c>
      <c r="M1146" s="4">
        <f t="shared" si="81"/>
        <v>0</v>
      </c>
      <c r="N1146" s="4">
        <f t="shared" si="82"/>
        <v>0</v>
      </c>
      <c r="O1146" s="13">
        <f t="shared" si="83"/>
        <v>0</v>
      </c>
    </row>
    <row r="1147" spans="2:15">
      <c r="B1147" s="12">
        <v>10</v>
      </c>
      <c r="C1147" s="4" t="s">
        <v>152</v>
      </c>
      <c r="D1147" s="4" t="s">
        <v>150</v>
      </c>
      <c r="E1147" s="4">
        <v>7</v>
      </c>
      <c r="F1147" s="4">
        <v>8</v>
      </c>
      <c r="G1147" s="4">
        <v>6</v>
      </c>
      <c r="H1147" s="115"/>
      <c r="I1147" s="115"/>
      <c r="J1147" s="115"/>
      <c r="K1147" s="115">
        <v>0</v>
      </c>
      <c r="L1147" s="12">
        <f t="shared" si="80"/>
        <v>0</v>
      </c>
      <c r="M1147" s="4">
        <f t="shared" si="81"/>
        <v>0</v>
      </c>
      <c r="N1147" s="4">
        <f t="shared" si="82"/>
        <v>0</v>
      </c>
      <c r="O1147" s="13">
        <f t="shared" si="83"/>
        <v>0</v>
      </c>
    </row>
    <row r="1148" spans="2:15">
      <c r="B1148" s="12">
        <v>10</v>
      </c>
      <c r="C1148" s="4" t="s">
        <v>152</v>
      </c>
      <c r="D1148" s="4" t="s">
        <v>150</v>
      </c>
      <c r="E1148" s="4">
        <v>7</v>
      </c>
      <c r="F1148" s="4">
        <v>8</v>
      </c>
      <c r="G1148" s="4">
        <v>7</v>
      </c>
      <c r="H1148" s="115"/>
      <c r="I1148" s="115"/>
      <c r="J1148" s="115"/>
      <c r="K1148" s="115">
        <v>0</v>
      </c>
      <c r="L1148" s="12">
        <f t="shared" si="80"/>
        <v>0</v>
      </c>
      <c r="M1148" s="4">
        <f t="shared" si="81"/>
        <v>0</v>
      </c>
      <c r="N1148" s="4">
        <f t="shared" si="82"/>
        <v>0</v>
      </c>
      <c r="O1148" s="13">
        <f t="shared" si="83"/>
        <v>0</v>
      </c>
    </row>
    <row r="1149" spans="2:15">
      <c r="B1149" s="12">
        <v>10</v>
      </c>
      <c r="C1149" s="4" t="s">
        <v>152</v>
      </c>
      <c r="D1149" s="4" t="s">
        <v>150</v>
      </c>
      <c r="E1149" s="4">
        <v>7</v>
      </c>
      <c r="F1149" s="4">
        <v>8</v>
      </c>
      <c r="G1149" s="4">
        <v>8</v>
      </c>
      <c r="H1149" s="115"/>
      <c r="I1149" s="115"/>
      <c r="J1149" s="115"/>
      <c r="K1149" s="115">
        <v>0</v>
      </c>
      <c r="L1149" s="12">
        <f t="shared" si="80"/>
        <v>0</v>
      </c>
      <c r="M1149" s="4">
        <f t="shared" si="81"/>
        <v>0</v>
      </c>
      <c r="N1149" s="4">
        <f t="shared" si="82"/>
        <v>0</v>
      </c>
      <c r="O1149" s="13">
        <f t="shared" si="83"/>
        <v>0</v>
      </c>
    </row>
    <row r="1150" spans="2:15">
      <c r="B1150" s="12">
        <v>10</v>
      </c>
      <c r="C1150" s="4" t="s">
        <v>152</v>
      </c>
      <c r="D1150" s="4" t="s">
        <v>150</v>
      </c>
      <c r="E1150" s="4">
        <v>7</v>
      </c>
      <c r="F1150" s="4">
        <v>8</v>
      </c>
      <c r="G1150" s="4">
        <v>9</v>
      </c>
      <c r="H1150" s="115"/>
      <c r="I1150" s="115"/>
      <c r="J1150" s="115"/>
      <c r="K1150" s="115">
        <v>0</v>
      </c>
      <c r="L1150" s="12">
        <f t="shared" si="80"/>
        <v>0</v>
      </c>
      <c r="M1150" s="4">
        <f t="shared" si="81"/>
        <v>0</v>
      </c>
      <c r="N1150" s="4">
        <f t="shared" si="82"/>
        <v>0</v>
      </c>
      <c r="O1150" s="13">
        <f t="shared" si="83"/>
        <v>0</v>
      </c>
    </row>
    <row r="1151" spans="2:15" ht="13.8" thickBot="1">
      <c r="B1151" s="14">
        <v>10</v>
      </c>
      <c r="C1151" s="15" t="s">
        <v>152</v>
      </c>
      <c r="D1151" s="15" t="s">
        <v>150</v>
      </c>
      <c r="E1151" s="15">
        <v>7</v>
      </c>
      <c r="F1151" s="15">
        <v>8</v>
      </c>
      <c r="G1151" s="15">
        <v>10</v>
      </c>
      <c r="H1151" s="121"/>
      <c r="I1151" s="121"/>
      <c r="J1151" s="121"/>
      <c r="K1151" s="121">
        <v>0</v>
      </c>
      <c r="L1151" s="14">
        <f t="shared" si="80"/>
        <v>0</v>
      </c>
      <c r="M1151" s="15">
        <f t="shared" si="81"/>
        <v>0</v>
      </c>
      <c r="N1151" s="15">
        <f t="shared" si="82"/>
        <v>0</v>
      </c>
      <c r="O1151" s="16">
        <f t="shared" si="83"/>
        <v>0</v>
      </c>
    </row>
    <row r="1152" spans="2:15">
      <c r="B1152" s="9">
        <v>10</v>
      </c>
      <c r="C1152" s="10" t="s">
        <v>152</v>
      </c>
      <c r="D1152" s="10" t="s">
        <v>149</v>
      </c>
      <c r="E1152" s="93">
        <v>8</v>
      </c>
      <c r="F1152" s="93">
        <v>4</v>
      </c>
      <c r="G1152" s="10">
        <v>1</v>
      </c>
      <c r="H1152" s="120">
        <v>0.73300000000000409</v>
      </c>
      <c r="I1152" s="120"/>
      <c r="J1152" s="120">
        <v>0.39900000000000091</v>
      </c>
      <c r="K1152" s="120">
        <v>1.132000000000005</v>
      </c>
      <c r="L1152" s="9">
        <f t="shared" si="80"/>
        <v>0.23879856271391803</v>
      </c>
      <c r="M1152" s="10">
        <f t="shared" si="81"/>
        <v>0</v>
      </c>
      <c r="N1152" s="10">
        <f t="shared" si="82"/>
        <v>0.1458177144918279</v>
      </c>
      <c r="O1152" s="11">
        <f t="shared" si="83"/>
        <v>0.32878720035453568</v>
      </c>
    </row>
    <row r="1153" spans="2:15">
      <c r="B1153" s="12">
        <v>10</v>
      </c>
      <c r="C1153" s="4" t="s">
        <v>152</v>
      </c>
      <c r="D1153" s="4" t="s">
        <v>149</v>
      </c>
      <c r="E1153" s="4">
        <v>8</v>
      </c>
      <c r="F1153" s="4">
        <v>4</v>
      </c>
      <c r="G1153" s="4">
        <v>2</v>
      </c>
      <c r="H1153" s="115">
        <v>1.2320000000000277</v>
      </c>
      <c r="I1153" s="115">
        <v>0.76699999999999591</v>
      </c>
      <c r="J1153" s="115">
        <v>0.56599999999991724</v>
      </c>
      <c r="K1153" s="115">
        <v>2.5649999999999409</v>
      </c>
      <c r="L1153" s="12">
        <f t="shared" si="80"/>
        <v>0.34869419026554654</v>
      </c>
      <c r="M1153" s="4">
        <f t="shared" si="81"/>
        <v>0.24723654950676308</v>
      </c>
      <c r="N1153" s="4">
        <f t="shared" si="82"/>
        <v>0.19479175772190163</v>
      </c>
      <c r="O1153" s="13">
        <f t="shared" si="83"/>
        <v>0.55205953418787712</v>
      </c>
    </row>
    <row r="1154" spans="2:15">
      <c r="B1154" s="12">
        <v>10</v>
      </c>
      <c r="C1154" s="4" t="s">
        <v>152</v>
      </c>
      <c r="D1154" s="4" t="s">
        <v>149</v>
      </c>
      <c r="E1154" s="4">
        <v>8</v>
      </c>
      <c r="F1154" s="4">
        <v>4</v>
      </c>
      <c r="G1154" s="4">
        <v>3</v>
      </c>
      <c r="H1154" s="115">
        <v>0.10000000000002274</v>
      </c>
      <c r="I1154" s="115"/>
      <c r="J1154" s="115"/>
      <c r="K1154" s="115">
        <v>0.10000000000002274</v>
      </c>
      <c r="L1154" s="12">
        <f t="shared" si="80"/>
        <v>4.1392685158234015E-2</v>
      </c>
      <c r="M1154" s="4">
        <f t="shared" si="81"/>
        <v>0</v>
      </c>
      <c r="N1154" s="4">
        <f t="shared" si="82"/>
        <v>0</v>
      </c>
      <c r="O1154" s="13">
        <f t="shared" si="83"/>
        <v>4.1392685158234015E-2</v>
      </c>
    </row>
    <row r="1155" spans="2:15">
      <c r="B1155" s="12">
        <v>10</v>
      </c>
      <c r="C1155" s="4" t="s">
        <v>152</v>
      </c>
      <c r="D1155" s="4" t="s">
        <v>149</v>
      </c>
      <c r="E1155" s="4">
        <v>8</v>
      </c>
      <c r="F1155" s="4">
        <v>4</v>
      </c>
      <c r="G1155" s="4">
        <v>4</v>
      </c>
      <c r="H1155" s="115"/>
      <c r="I1155" s="115"/>
      <c r="J1155" s="115"/>
      <c r="K1155" s="115">
        <v>0</v>
      </c>
      <c r="L1155" s="12">
        <f t="shared" si="80"/>
        <v>0</v>
      </c>
      <c r="M1155" s="4">
        <f t="shared" si="81"/>
        <v>0</v>
      </c>
      <c r="N1155" s="4">
        <f t="shared" si="82"/>
        <v>0</v>
      </c>
      <c r="O1155" s="13">
        <f t="shared" si="83"/>
        <v>0</v>
      </c>
    </row>
    <row r="1156" spans="2:15">
      <c r="B1156" s="12">
        <v>10</v>
      </c>
      <c r="C1156" s="4" t="s">
        <v>152</v>
      </c>
      <c r="D1156" s="4" t="s">
        <v>149</v>
      </c>
      <c r="E1156" s="4">
        <v>8</v>
      </c>
      <c r="F1156" s="4">
        <v>4</v>
      </c>
      <c r="G1156" s="4">
        <v>5</v>
      </c>
      <c r="H1156" s="115"/>
      <c r="I1156" s="115"/>
      <c r="J1156" s="115"/>
      <c r="K1156" s="115">
        <v>0</v>
      </c>
      <c r="L1156" s="12">
        <f t="shared" si="80"/>
        <v>0</v>
      </c>
      <c r="M1156" s="4">
        <f t="shared" si="81"/>
        <v>0</v>
      </c>
      <c r="N1156" s="4">
        <f t="shared" si="82"/>
        <v>0</v>
      </c>
      <c r="O1156" s="13">
        <f t="shared" si="83"/>
        <v>0</v>
      </c>
    </row>
    <row r="1157" spans="2:15">
      <c r="B1157" s="12">
        <v>10</v>
      </c>
      <c r="C1157" s="4" t="s">
        <v>152</v>
      </c>
      <c r="D1157" s="4" t="s">
        <v>149</v>
      </c>
      <c r="E1157" s="4">
        <v>8</v>
      </c>
      <c r="F1157" s="4">
        <v>4</v>
      </c>
      <c r="G1157" s="4">
        <v>6</v>
      </c>
      <c r="H1157" s="115"/>
      <c r="I1157" s="115"/>
      <c r="J1157" s="115"/>
      <c r="K1157" s="115">
        <v>0</v>
      </c>
      <c r="L1157" s="12">
        <f t="shared" si="80"/>
        <v>0</v>
      </c>
      <c r="M1157" s="4">
        <f t="shared" si="81"/>
        <v>0</v>
      </c>
      <c r="N1157" s="4">
        <f t="shared" si="82"/>
        <v>0</v>
      </c>
      <c r="O1157" s="13">
        <f t="shared" si="83"/>
        <v>0</v>
      </c>
    </row>
    <row r="1158" spans="2:15">
      <c r="B1158" s="12">
        <v>10</v>
      </c>
      <c r="C1158" s="4" t="s">
        <v>152</v>
      </c>
      <c r="D1158" s="4" t="s">
        <v>149</v>
      </c>
      <c r="E1158" s="4">
        <v>8</v>
      </c>
      <c r="F1158" s="4">
        <v>4</v>
      </c>
      <c r="G1158" s="4">
        <v>7</v>
      </c>
      <c r="H1158" s="115"/>
      <c r="I1158" s="115"/>
      <c r="J1158" s="115"/>
      <c r="K1158" s="115">
        <v>0</v>
      </c>
      <c r="L1158" s="12">
        <f t="shared" si="80"/>
        <v>0</v>
      </c>
      <c r="M1158" s="4">
        <f t="shared" si="81"/>
        <v>0</v>
      </c>
      <c r="N1158" s="4">
        <f t="shared" si="82"/>
        <v>0</v>
      </c>
      <c r="O1158" s="13">
        <f t="shared" si="83"/>
        <v>0</v>
      </c>
    </row>
    <row r="1159" spans="2:15">
      <c r="B1159" s="12">
        <v>10</v>
      </c>
      <c r="C1159" s="4" t="s">
        <v>152</v>
      </c>
      <c r="D1159" s="4" t="s">
        <v>149</v>
      </c>
      <c r="E1159" s="4">
        <v>8</v>
      </c>
      <c r="F1159" s="4">
        <v>4</v>
      </c>
      <c r="G1159" s="4">
        <v>8</v>
      </c>
      <c r="H1159" s="115"/>
      <c r="I1159" s="115"/>
      <c r="J1159" s="115"/>
      <c r="K1159" s="115">
        <v>0</v>
      </c>
      <c r="L1159" s="12">
        <f t="shared" si="80"/>
        <v>0</v>
      </c>
      <c r="M1159" s="4">
        <f t="shared" si="81"/>
        <v>0</v>
      </c>
      <c r="N1159" s="4">
        <f t="shared" si="82"/>
        <v>0</v>
      </c>
      <c r="O1159" s="13">
        <f t="shared" si="83"/>
        <v>0</v>
      </c>
    </row>
    <row r="1160" spans="2:15">
      <c r="B1160" s="12">
        <v>10</v>
      </c>
      <c r="C1160" s="4" t="s">
        <v>152</v>
      </c>
      <c r="D1160" s="4" t="s">
        <v>149</v>
      </c>
      <c r="E1160" s="4">
        <v>8</v>
      </c>
      <c r="F1160" s="4">
        <v>4</v>
      </c>
      <c r="G1160" s="4">
        <v>9</v>
      </c>
      <c r="H1160" s="115"/>
      <c r="I1160" s="115"/>
      <c r="J1160" s="115"/>
      <c r="K1160" s="115">
        <v>0</v>
      </c>
      <c r="L1160" s="12">
        <f t="shared" si="80"/>
        <v>0</v>
      </c>
      <c r="M1160" s="4">
        <f t="shared" si="81"/>
        <v>0</v>
      </c>
      <c r="N1160" s="4">
        <f t="shared" si="82"/>
        <v>0</v>
      </c>
      <c r="O1160" s="13">
        <f t="shared" si="83"/>
        <v>0</v>
      </c>
    </row>
    <row r="1161" spans="2:15" ht="13.8" thickBot="1">
      <c r="B1161" s="14">
        <v>10</v>
      </c>
      <c r="C1161" s="15" t="s">
        <v>152</v>
      </c>
      <c r="D1161" s="15" t="s">
        <v>149</v>
      </c>
      <c r="E1161" s="15">
        <v>8</v>
      </c>
      <c r="F1161" s="15">
        <v>4</v>
      </c>
      <c r="G1161" s="15">
        <v>10</v>
      </c>
      <c r="H1161" s="121"/>
      <c r="I1161" s="121"/>
      <c r="J1161" s="121"/>
      <c r="K1161" s="121">
        <v>0</v>
      </c>
      <c r="L1161" s="14">
        <f t="shared" si="80"/>
        <v>0</v>
      </c>
      <c r="M1161" s="15">
        <f t="shared" si="81"/>
        <v>0</v>
      </c>
      <c r="N1161" s="15">
        <f t="shared" si="82"/>
        <v>0</v>
      </c>
      <c r="O1161" s="16">
        <f t="shared" si="83"/>
        <v>0</v>
      </c>
    </row>
    <row r="1162" spans="2:15">
      <c r="B1162" s="9">
        <v>10</v>
      </c>
      <c r="C1162" s="10" t="s">
        <v>152</v>
      </c>
      <c r="D1162" s="10" t="s">
        <v>154</v>
      </c>
      <c r="E1162" s="93">
        <v>9</v>
      </c>
      <c r="F1162" s="93">
        <v>10</v>
      </c>
      <c r="G1162" s="10">
        <v>1</v>
      </c>
      <c r="H1162" s="120">
        <v>2.3669999999999618</v>
      </c>
      <c r="I1162" s="120">
        <v>0.13400000000001455</v>
      </c>
      <c r="J1162" s="120">
        <v>0.10000000000002274</v>
      </c>
      <c r="K1162" s="120">
        <v>2.6009999999999991</v>
      </c>
      <c r="L1162" s="9">
        <f t="shared" si="80"/>
        <v>0.52724311638808363</v>
      </c>
      <c r="M1162" s="10">
        <f t="shared" si="81"/>
        <v>5.4613054556893345E-2</v>
      </c>
      <c r="N1162" s="10">
        <f t="shared" si="82"/>
        <v>4.1392685158234015E-2</v>
      </c>
      <c r="O1162" s="11">
        <f t="shared" si="83"/>
        <v>0.55642312137128525</v>
      </c>
    </row>
    <row r="1163" spans="2:15">
      <c r="B1163" s="12">
        <v>10</v>
      </c>
      <c r="C1163" s="4" t="s">
        <v>152</v>
      </c>
      <c r="D1163" s="4" t="s">
        <v>154</v>
      </c>
      <c r="E1163" s="4">
        <v>9</v>
      </c>
      <c r="F1163" s="4">
        <v>10</v>
      </c>
      <c r="G1163" s="4">
        <v>2</v>
      </c>
      <c r="H1163" s="115"/>
      <c r="I1163" s="115"/>
      <c r="J1163" s="115">
        <v>0.21699999999998454</v>
      </c>
      <c r="K1163" s="115">
        <v>0.21699999999998454</v>
      </c>
      <c r="L1163" s="12">
        <f t="shared" si="80"/>
        <v>0</v>
      </c>
      <c r="M1163" s="4">
        <f t="shared" si="81"/>
        <v>0</v>
      </c>
      <c r="N1163" s="4">
        <f t="shared" si="82"/>
        <v>8.5290578230059477E-2</v>
      </c>
      <c r="O1163" s="13">
        <f t="shared" si="83"/>
        <v>8.5290578230059477E-2</v>
      </c>
    </row>
    <row r="1164" spans="2:15">
      <c r="B1164" s="12">
        <v>10</v>
      </c>
      <c r="C1164" s="4" t="s">
        <v>152</v>
      </c>
      <c r="D1164" s="4" t="s">
        <v>154</v>
      </c>
      <c r="E1164" s="4">
        <v>9</v>
      </c>
      <c r="F1164" s="4">
        <v>10</v>
      </c>
      <c r="G1164" s="4">
        <v>3</v>
      </c>
      <c r="H1164" s="115">
        <v>0.21600000000000819</v>
      </c>
      <c r="I1164" s="115"/>
      <c r="J1164" s="115"/>
      <c r="K1164" s="115">
        <v>0.21600000000000819</v>
      </c>
      <c r="L1164" s="12">
        <f t="shared" si="80"/>
        <v>8.4933574936719061E-2</v>
      </c>
      <c r="M1164" s="4">
        <f t="shared" si="81"/>
        <v>0</v>
      </c>
      <c r="N1164" s="4">
        <f t="shared" si="82"/>
        <v>0</v>
      </c>
      <c r="O1164" s="13">
        <f t="shared" si="83"/>
        <v>8.4933574936719061E-2</v>
      </c>
    </row>
    <row r="1165" spans="2:15">
      <c r="B1165" s="12">
        <v>10</v>
      </c>
      <c r="C1165" s="4" t="s">
        <v>152</v>
      </c>
      <c r="D1165" s="4" t="s">
        <v>154</v>
      </c>
      <c r="E1165" s="4">
        <v>9</v>
      </c>
      <c r="F1165" s="4">
        <v>10</v>
      </c>
      <c r="G1165" s="4">
        <v>4</v>
      </c>
      <c r="H1165" s="115"/>
      <c r="I1165" s="115"/>
      <c r="J1165" s="115"/>
      <c r="K1165" s="115">
        <v>0</v>
      </c>
      <c r="L1165" s="12">
        <f t="shared" si="80"/>
        <v>0</v>
      </c>
      <c r="M1165" s="4">
        <f t="shared" si="81"/>
        <v>0</v>
      </c>
      <c r="N1165" s="4">
        <f t="shared" si="82"/>
        <v>0</v>
      </c>
      <c r="O1165" s="13">
        <f t="shared" si="83"/>
        <v>0</v>
      </c>
    </row>
    <row r="1166" spans="2:15">
      <c r="B1166" s="12">
        <v>10</v>
      </c>
      <c r="C1166" s="4" t="s">
        <v>152</v>
      </c>
      <c r="D1166" s="4" t="s">
        <v>154</v>
      </c>
      <c r="E1166" s="4">
        <v>9</v>
      </c>
      <c r="F1166" s="4">
        <v>10</v>
      </c>
      <c r="G1166" s="4">
        <v>5</v>
      </c>
      <c r="H1166" s="115"/>
      <c r="I1166" s="115"/>
      <c r="J1166" s="115"/>
      <c r="K1166" s="115">
        <v>0</v>
      </c>
      <c r="L1166" s="12">
        <f t="shared" si="80"/>
        <v>0</v>
      </c>
      <c r="M1166" s="4">
        <f t="shared" si="81"/>
        <v>0</v>
      </c>
      <c r="N1166" s="4">
        <f t="shared" si="82"/>
        <v>0</v>
      </c>
      <c r="O1166" s="13">
        <f t="shared" si="83"/>
        <v>0</v>
      </c>
    </row>
    <row r="1167" spans="2:15">
      <c r="B1167" s="12">
        <v>10</v>
      </c>
      <c r="C1167" s="4" t="s">
        <v>152</v>
      </c>
      <c r="D1167" s="4" t="s">
        <v>154</v>
      </c>
      <c r="E1167" s="4">
        <v>9</v>
      </c>
      <c r="F1167" s="4">
        <v>10</v>
      </c>
      <c r="G1167" s="4">
        <v>6</v>
      </c>
      <c r="H1167" s="115"/>
      <c r="I1167" s="115"/>
      <c r="J1167" s="115"/>
      <c r="K1167" s="115">
        <v>0</v>
      </c>
      <c r="L1167" s="12">
        <f t="shared" si="80"/>
        <v>0</v>
      </c>
      <c r="M1167" s="4">
        <f t="shared" si="81"/>
        <v>0</v>
      </c>
      <c r="N1167" s="4">
        <f t="shared" si="82"/>
        <v>0</v>
      </c>
      <c r="O1167" s="13">
        <f t="shared" si="83"/>
        <v>0</v>
      </c>
    </row>
    <row r="1168" spans="2:15">
      <c r="B1168" s="12">
        <v>10</v>
      </c>
      <c r="C1168" s="4" t="s">
        <v>152</v>
      </c>
      <c r="D1168" s="4" t="s">
        <v>154</v>
      </c>
      <c r="E1168" s="4">
        <v>9</v>
      </c>
      <c r="F1168" s="4">
        <v>10</v>
      </c>
      <c r="G1168" s="4">
        <v>7</v>
      </c>
      <c r="H1168" s="115"/>
      <c r="I1168" s="115"/>
      <c r="J1168" s="115"/>
      <c r="K1168" s="115">
        <v>0</v>
      </c>
      <c r="L1168" s="12">
        <f t="shared" si="80"/>
        <v>0</v>
      </c>
      <c r="M1168" s="4">
        <f t="shared" si="81"/>
        <v>0</v>
      </c>
      <c r="N1168" s="4">
        <f t="shared" si="82"/>
        <v>0</v>
      </c>
      <c r="O1168" s="13">
        <f t="shared" si="83"/>
        <v>0</v>
      </c>
    </row>
    <row r="1169" spans="2:15">
      <c r="B1169" s="12">
        <v>10</v>
      </c>
      <c r="C1169" s="4" t="s">
        <v>152</v>
      </c>
      <c r="D1169" s="4" t="s">
        <v>154</v>
      </c>
      <c r="E1169" s="4">
        <v>9</v>
      </c>
      <c r="F1169" s="4">
        <v>10</v>
      </c>
      <c r="G1169" s="4">
        <v>8</v>
      </c>
      <c r="H1169" s="115"/>
      <c r="I1169" s="115"/>
      <c r="J1169" s="115"/>
      <c r="K1169" s="115">
        <v>0</v>
      </c>
      <c r="L1169" s="12">
        <f t="shared" si="80"/>
        <v>0</v>
      </c>
      <c r="M1169" s="4">
        <f t="shared" si="81"/>
        <v>0</v>
      </c>
      <c r="N1169" s="4">
        <f t="shared" si="82"/>
        <v>0</v>
      </c>
      <c r="O1169" s="13">
        <f t="shared" si="83"/>
        <v>0</v>
      </c>
    </row>
    <row r="1170" spans="2:15">
      <c r="B1170" s="12">
        <v>10</v>
      </c>
      <c r="C1170" s="4" t="s">
        <v>152</v>
      </c>
      <c r="D1170" s="4" t="s">
        <v>154</v>
      </c>
      <c r="E1170" s="4">
        <v>9</v>
      </c>
      <c r="F1170" s="4">
        <v>10</v>
      </c>
      <c r="G1170" s="4">
        <v>9</v>
      </c>
      <c r="H1170" s="115"/>
      <c r="I1170" s="115"/>
      <c r="J1170" s="115"/>
      <c r="K1170" s="115">
        <v>0</v>
      </c>
      <c r="L1170" s="12">
        <f t="shared" si="80"/>
        <v>0</v>
      </c>
      <c r="M1170" s="4">
        <f t="shared" si="81"/>
        <v>0</v>
      </c>
      <c r="N1170" s="4">
        <f t="shared" si="82"/>
        <v>0</v>
      </c>
      <c r="O1170" s="13">
        <f t="shared" si="83"/>
        <v>0</v>
      </c>
    </row>
    <row r="1171" spans="2:15" ht="13.8" thickBot="1">
      <c r="B1171" s="14">
        <v>10</v>
      </c>
      <c r="C1171" s="15" t="s">
        <v>152</v>
      </c>
      <c r="D1171" s="15" t="s">
        <v>154</v>
      </c>
      <c r="E1171" s="15">
        <v>9</v>
      </c>
      <c r="F1171" s="15">
        <v>10</v>
      </c>
      <c r="G1171" s="15">
        <v>10</v>
      </c>
      <c r="H1171" s="121"/>
      <c r="I1171" s="121"/>
      <c r="J1171" s="121"/>
      <c r="K1171" s="121">
        <v>0</v>
      </c>
      <c r="L1171" s="14">
        <f t="shared" si="80"/>
        <v>0</v>
      </c>
      <c r="M1171" s="15">
        <f t="shared" si="81"/>
        <v>0</v>
      </c>
      <c r="N1171" s="15">
        <f t="shared" si="82"/>
        <v>0</v>
      </c>
      <c r="O1171" s="16">
        <f t="shared" si="83"/>
        <v>0</v>
      </c>
    </row>
    <row r="1172" spans="2:15">
      <c r="B1172" s="9">
        <v>10</v>
      </c>
      <c r="C1172" s="10" t="s">
        <v>152</v>
      </c>
      <c r="D1172" s="10" t="s">
        <v>149</v>
      </c>
      <c r="E1172" s="93">
        <v>10</v>
      </c>
      <c r="F1172" s="93">
        <v>2</v>
      </c>
      <c r="G1172" s="10">
        <v>1</v>
      </c>
      <c r="H1172" s="120">
        <v>0.85000000000002274</v>
      </c>
      <c r="I1172" s="120">
        <v>0.65000000000003411</v>
      </c>
      <c r="J1172" s="120">
        <v>1.5170000000000528</v>
      </c>
      <c r="K1172" s="120">
        <v>3.0170000000001096</v>
      </c>
      <c r="L1172" s="9">
        <f t="shared" si="80"/>
        <v>0.26717172840301912</v>
      </c>
      <c r="M1172" s="10">
        <f t="shared" si="81"/>
        <v>0.21748394421391526</v>
      </c>
      <c r="N1172" s="10">
        <f t="shared" si="82"/>
        <v>0.40088321554837181</v>
      </c>
      <c r="O1172" s="11">
        <f t="shared" si="83"/>
        <v>0.60390183173168321</v>
      </c>
    </row>
    <row r="1173" spans="2:15">
      <c r="B1173" s="12">
        <v>10</v>
      </c>
      <c r="C1173" s="4" t="s">
        <v>152</v>
      </c>
      <c r="D1173" s="4" t="s">
        <v>149</v>
      </c>
      <c r="E1173" s="4">
        <v>10</v>
      </c>
      <c r="F1173" s="4">
        <v>2</v>
      </c>
      <c r="G1173" s="4">
        <v>2</v>
      </c>
      <c r="H1173" s="115">
        <v>0.73200000000002774</v>
      </c>
      <c r="I1173" s="115">
        <v>0.66600000000005366</v>
      </c>
      <c r="J1173" s="115">
        <v>0.93300000000010641</v>
      </c>
      <c r="K1173" s="115">
        <v>2.3310000000001878</v>
      </c>
      <c r="L1173" s="12">
        <f t="shared" si="80"/>
        <v>0.23854788768133478</v>
      </c>
      <c r="M1173" s="4">
        <f t="shared" si="81"/>
        <v>0.22167499707078278</v>
      </c>
      <c r="N1173" s="4">
        <f t="shared" si="82"/>
        <v>0.28623185402857693</v>
      </c>
      <c r="O1173" s="13">
        <f t="shared" si="83"/>
        <v>0.5225746326912013</v>
      </c>
    </row>
    <row r="1174" spans="2:15">
      <c r="B1174" s="12">
        <v>10</v>
      </c>
      <c r="C1174" s="4" t="s">
        <v>152</v>
      </c>
      <c r="D1174" s="4" t="s">
        <v>149</v>
      </c>
      <c r="E1174" s="4">
        <v>10</v>
      </c>
      <c r="F1174" s="4">
        <v>2</v>
      </c>
      <c r="G1174" s="4">
        <v>3</v>
      </c>
      <c r="H1174" s="115">
        <v>0.21699999999998454</v>
      </c>
      <c r="I1174" s="115">
        <v>0.46600000000006503</v>
      </c>
      <c r="J1174" s="115">
        <v>0.85099999999994225</v>
      </c>
      <c r="K1174" s="115">
        <v>1.5339999999999918</v>
      </c>
      <c r="L1174" s="12">
        <f t="shared" si="80"/>
        <v>8.5290578230059477E-2</v>
      </c>
      <c r="M1174" s="4">
        <f t="shared" si="81"/>
        <v>0.16613397030512841</v>
      </c>
      <c r="N1174" s="4">
        <f t="shared" si="82"/>
        <v>0.26740641875289056</v>
      </c>
      <c r="O1174" s="13">
        <f t="shared" si="83"/>
        <v>0.40380661054742112</v>
      </c>
    </row>
    <row r="1175" spans="2:15">
      <c r="B1175" s="12">
        <v>10</v>
      </c>
      <c r="C1175" s="4" t="s">
        <v>152</v>
      </c>
      <c r="D1175" s="4" t="s">
        <v>149</v>
      </c>
      <c r="E1175" s="4">
        <v>10</v>
      </c>
      <c r="F1175" s="4">
        <v>2</v>
      </c>
      <c r="G1175" s="4">
        <v>4</v>
      </c>
      <c r="H1175" s="115"/>
      <c r="I1175" s="115"/>
      <c r="J1175" s="115"/>
      <c r="K1175" s="115">
        <v>0</v>
      </c>
      <c r="L1175" s="12">
        <f t="shared" si="80"/>
        <v>0</v>
      </c>
      <c r="M1175" s="4">
        <f t="shared" si="81"/>
        <v>0</v>
      </c>
      <c r="N1175" s="4">
        <f t="shared" si="82"/>
        <v>0</v>
      </c>
      <c r="O1175" s="13">
        <f t="shared" si="83"/>
        <v>0</v>
      </c>
    </row>
    <row r="1176" spans="2:15">
      <c r="B1176" s="12">
        <v>10</v>
      </c>
      <c r="C1176" s="4" t="s">
        <v>152</v>
      </c>
      <c r="D1176" s="4" t="s">
        <v>149</v>
      </c>
      <c r="E1176" s="4">
        <v>10</v>
      </c>
      <c r="F1176" s="4">
        <v>2</v>
      </c>
      <c r="G1176" s="4">
        <v>5</v>
      </c>
      <c r="H1176" s="115"/>
      <c r="I1176" s="115"/>
      <c r="J1176" s="115"/>
      <c r="K1176" s="115">
        <v>0</v>
      </c>
      <c r="L1176" s="12">
        <f t="shared" si="80"/>
        <v>0</v>
      </c>
      <c r="M1176" s="4">
        <f t="shared" si="81"/>
        <v>0</v>
      </c>
      <c r="N1176" s="4">
        <f t="shared" si="82"/>
        <v>0</v>
      </c>
      <c r="O1176" s="13">
        <f t="shared" si="83"/>
        <v>0</v>
      </c>
    </row>
    <row r="1177" spans="2:15">
      <c r="B1177" s="12">
        <v>10</v>
      </c>
      <c r="C1177" s="4" t="s">
        <v>152</v>
      </c>
      <c r="D1177" s="4" t="s">
        <v>149</v>
      </c>
      <c r="E1177" s="4">
        <v>10</v>
      </c>
      <c r="F1177" s="4">
        <v>2</v>
      </c>
      <c r="G1177" s="4">
        <v>6</v>
      </c>
      <c r="H1177" s="115"/>
      <c r="I1177" s="115"/>
      <c r="J1177" s="115"/>
      <c r="K1177" s="115">
        <v>0</v>
      </c>
      <c r="L1177" s="12">
        <f t="shared" si="80"/>
        <v>0</v>
      </c>
      <c r="M1177" s="4">
        <f t="shared" si="81"/>
        <v>0</v>
      </c>
      <c r="N1177" s="4">
        <f t="shared" si="82"/>
        <v>0</v>
      </c>
      <c r="O1177" s="13">
        <f t="shared" si="83"/>
        <v>0</v>
      </c>
    </row>
    <row r="1178" spans="2:15">
      <c r="B1178" s="12">
        <v>10</v>
      </c>
      <c r="C1178" s="4" t="s">
        <v>152</v>
      </c>
      <c r="D1178" s="4" t="s">
        <v>149</v>
      </c>
      <c r="E1178" s="4">
        <v>10</v>
      </c>
      <c r="F1178" s="4">
        <v>2</v>
      </c>
      <c r="G1178" s="4">
        <v>7</v>
      </c>
      <c r="H1178" s="115"/>
      <c r="I1178" s="115"/>
      <c r="J1178" s="115"/>
      <c r="K1178" s="115">
        <v>0</v>
      </c>
      <c r="L1178" s="12">
        <f t="shared" si="80"/>
        <v>0</v>
      </c>
      <c r="M1178" s="4">
        <f t="shared" si="81"/>
        <v>0</v>
      </c>
      <c r="N1178" s="4">
        <f t="shared" si="82"/>
        <v>0</v>
      </c>
      <c r="O1178" s="13">
        <f t="shared" si="83"/>
        <v>0</v>
      </c>
    </row>
    <row r="1179" spans="2:15">
      <c r="B1179" s="12">
        <v>10</v>
      </c>
      <c r="C1179" s="4" t="s">
        <v>152</v>
      </c>
      <c r="D1179" s="4" t="s">
        <v>149</v>
      </c>
      <c r="E1179" s="4">
        <v>10</v>
      </c>
      <c r="F1179" s="4">
        <v>2</v>
      </c>
      <c r="G1179" s="4">
        <v>8</v>
      </c>
      <c r="H1179" s="115"/>
      <c r="I1179" s="115"/>
      <c r="J1179" s="115"/>
      <c r="K1179" s="115">
        <v>0</v>
      </c>
      <c r="L1179" s="12">
        <f t="shared" si="80"/>
        <v>0</v>
      </c>
      <c r="M1179" s="4">
        <f t="shared" si="81"/>
        <v>0</v>
      </c>
      <c r="N1179" s="4">
        <f t="shared" si="82"/>
        <v>0</v>
      </c>
      <c r="O1179" s="13">
        <f t="shared" si="83"/>
        <v>0</v>
      </c>
    </row>
    <row r="1180" spans="2:15">
      <c r="B1180" s="12">
        <v>10</v>
      </c>
      <c r="C1180" s="4" t="s">
        <v>152</v>
      </c>
      <c r="D1180" s="4" t="s">
        <v>149</v>
      </c>
      <c r="E1180" s="4">
        <v>10</v>
      </c>
      <c r="F1180" s="4">
        <v>2</v>
      </c>
      <c r="G1180" s="4">
        <v>9</v>
      </c>
      <c r="H1180" s="115"/>
      <c r="I1180" s="115"/>
      <c r="J1180" s="115"/>
      <c r="K1180" s="115">
        <v>0</v>
      </c>
      <c r="L1180" s="12">
        <f t="shared" si="80"/>
        <v>0</v>
      </c>
      <c r="M1180" s="4">
        <f t="shared" si="81"/>
        <v>0</v>
      </c>
      <c r="N1180" s="4">
        <f t="shared" si="82"/>
        <v>0</v>
      </c>
      <c r="O1180" s="13">
        <f t="shared" si="83"/>
        <v>0</v>
      </c>
    </row>
    <row r="1181" spans="2:15" ht="13.8" thickBot="1">
      <c r="B1181" s="14">
        <v>10</v>
      </c>
      <c r="C1181" s="15" t="s">
        <v>152</v>
      </c>
      <c r="D1181" s="15" t="s">
        <v>149</v>
      </c>
      <c r="E1181" s="15">
        <v>10</v>
      </c>
      <c r="F1181" s="15">
        <v>2</v>
      </c>
      <c r="G1181" s="15">
        <v>10</v>
      </c>
      <c r="H1181" s="121"/>
      <c r="I1181" s="121"/>
      <c r="J1181" s="121"/>
      <c r="K1181" s="121">
        <v>0</v>
      </c>
      <c r="L1181" s="14">
        <f t="shared" si="80"/>
        <v>0</v>
      </c>
      <c r="M1181" s="15">
        <f t="shared" si="81"/>
        <v>0</v>
      </c>
      <c r="N1181" s="15">
        <f t="shared" si="82"/>
        <v>0</v>
      </c>
      <c r="O1181" s="16">
        <f t="shared" si="83"/>
        <v>0</v>
      </c>
    </row>
    <row r="1182" spans="2:15">
      <c r="B1182" s="9">
        <v>10</v>
      </c>
      <c r="C1182" s="10" t="s">
        <v>152</v>
      </c>
      <c r="D1182" s="10" t="s">
        <v>150</v>
      </c>
      <c r="E1182" s="93">
        <v>11</v>
      </c>
      <c r="F1182" s="93">
        <v>6</v>
      </c>
      <c r="G1182" s="10">
        <v>1</v>
      </c>
      <c r="H1182" s="120">
        <v>0.41699999999997317</v>
      </c>
      <c r="I1182" s="120">
        <v>0.83300000000008367</v>
      </c>
      <c r="J1182" s="120">
        <v>1.0830000000000837</v>
      </c>
      <c r="K1182" s="120">
        <v>2.3330000000001405</v>
      </c>
      <c r="L1182" s="9">
        <f t="shared" si="80"/>
        <v>0.15136985024745217</v>
      </c>
      <c r="M1182" s="10">
        <f t="shared" si="81"/>
        <v>0.2631624649622365</v>
      </c>
      <c r="N1182" s="10">
        <f t="shared" si="82"/>
        <v>0.31868926994776331</v>
      </c>
      <c r="O1182" s="11">
        <f t="shared" si="83"/>
        <v>0.52283531366054836</v>
      </c>
    </row>
    <row r="1183" spans="2:15">
      <c r="B1183" s="12">
        <v>10</v>
      </c>
      <c r="C1183" s="4" t="s">
        <v>152</v>
      </c>
      <c r="D1183" s="4" t="s">
        <v>150</v>
      </c>
      <c r="E1183" s="4">
        <v>11</v>
      </c>
      <c r="F1183" s="4">
        <v>6</v>
      </c>
      <c r="G1183" s="4">
        <v>2</v>
      </c>
      <c r="H1183" s="115">
        <v>0.46800000000001774</v>
      </c>
      <c r="I1183" s="115">
        <v>0.15000000000003411</v>
      </c>
      <c r="J1183" s="115">
        <v>1.0669999999998936</v>
      </c>
      <c r="K1183" s="115">
        <v>1.6849999999999454</v>
      </c>
      <c r="L1183" s="12">
        <f t="shared" si="80"/>
        <v>0.16672605558005699</v>
      </c>
      <c r="M1183" s="4">
        <f t="shared" si="81"/>
        <v>6.0697840353624563E-2</v>
      </c>
      <c r="N1183" s="4">
        <f t="shared" si="82"/>
        <v>0.31534047662726589</v>
      </c>
      <c r="O1183" s="13">
        <f t="shared" si="83"/>
        <v>0.42894429003556561</v>
      </c>
    </row>
    <row r="1184" spans="2:15">
      <c r="B1184" s="12">
        <v>10</v>
      </c>
      <c r="C1184" s="4" t="s">
        <v>152</v>
      </c>
      <c r="D1184" s="4" t="s">
        <v>150</v>
      </c>
      <c r="E1184" s="4">
        <v>11</v>
      </c>
      <c r="F1184" s="4">
        <v>6</v>
      </c>
      <c r="G1184" s="4">
        <v>3</v>
      </c>
      <c r="H1184" s="115"/>
      <c r="I1184" s="115">
        <v>0.11600000000004229</v>
      </c>
      <c r="J1184" s="115">
        <v>1.1030000000000086</v>
      </c>
      <c r="K1184" s="115">
        <v>1.2190000000000509</v>
      </c>
      <c r="L1184" s="12">
        <f t="shared" si="80"/>
        <v>0</v>
      </c>
      <c r="M1184" s="4">
        <f t="shared" si="81"/>
        <v>4.76641946015764E-2</v>
      </c>
      <c r="N1184" s="4">
        <f t="shared" si="82"/>
        <v>0.3228392726863229</v>
      </c>
      <c r="O1184" s="13">
        <f t="shared" si="83"/>
        <v>0.34615730223201829</v>
      </c>
    </row>
    <row r="1185" spans="2:15">
      <c r="B1185" s="12">
        <v>10</v>
      </c>
      <c r="C1185" s="4" t="s">
        <v>152</v>
      </c>
      <c r="D1185" s="4" t="s">
        <v>150</v>
      </c>
      <c r="E1185" s="4">
        <v>11</v>
      </c>
      <c r="F1185" s="4">
        <v>6</v>
      </c>
      <c r="G1185" s="4">
        <v>4</v>
      </c>
      <c r="H1185" s="115"/>
      <c r="I1185" s="115"/>
      <c r="J1185" s="115"/>
      <c r="K1185" s="115">
        <v>0</v>
      </c>
      <c r="L1185" s="12">
        <f t="shared" si="80"/>
        <v>0</v>
      </c>
      <c r="M1185" s="4">
        <f t="shared" si="81"/>
        <v>0</v>
      </c>
      <c r="N1185" s="4">
        <f t="shared" si="82"/>
        <v>0</v>
      </c>
      <c r="O1185" s="13">
        <f t="shared" si="83"/>
        <v>0</v>
      </c>
    </row>
    <row r="1186" spans="2:15">
      <c r="B1186" s="12">
        <v>10</v>
      </c>
      <c r="C1186" s="4" t="s">
        <v>152</v>
      </c>
      <c r="D1186" s="4" t="s">
        <v>150</v>
      </c>
      <c r="E1186" s="4">
        <v>11</v>
      </c>
      <c r="F1186" s="4">
        <v>6</v>
      </c>
      <c r="G1186" s="4">
        <v>5</v>
      </c>
      <c r="H1186" s="115"/>
      <c r="I1186" s="115"/>
      <c r="J1186" s="115"/>
      <c r="K1186" s="115">
        <v>0</v>
      </c>
      <c r="L1186" s="12">
        <f t="shared" si="80"/>
        <v>0</v>
      </c>
      <c r="M1186" s="4">
        <f t="shared" si="81"/>
        <v>0</v>
      </c>
      <c r="N1186" s="4">
        <f t="shared" si="82"/>
        <v>0</v>
      </c>
      <c r="O1186" s="13">
        <f t="shared" si="83"/>
        <v>0</v>
      </c>
    </row>
    <row r="1187" spans="2:15">
      <c r="B1187" s="12">
        <v>10</v>
      </c>
      <c r="C1187" s="4" t="s">
        <v>152</v>
      </c>
      <c r="D1187" s="4" t="s">
        <v>150</v>
      </c>
      <c r="E1187" s="4">
        <v>11</v>
      </c>
      <c r="F1187" s="4">
        <v>6</v>
      </c>
      <c r="G1187" s="4">
        <v>6</v>
      </c>
      <c r="H1187" s="115"/>
      <c r="I1187" s="115"/>
      <c r="J1187" s="115"/>
      <c r="K1187" s="115">
        <v>0</v>
      </c>
      <c r="L1187" s="12">
        <f t="shared" si="80"/>
        <v>0</v>
      </c>
      <c r="M1187" s="4">
        <f t="shared" si="81"/>
        <v>0</v>
      </c>
      <c r="N1187" s="4">
        <f t="shared" si="82"/>
        <v>0</v>
      </c>
      <c r="O1187" s="13">
        <f t="shared" si="83"/>
        <v>0</v>
      </c>
    </row>
    <row r="1188" spans="2:15">
      <c r="B1188" s="12">
        <v>10</v>
      </c>
      <c r="C1188" s="4" t="s">
        <v>152</v>
      </c>
      <c r="D1188" s="4" t="s">
        <v>150</v>
      </c>
      <c r="E1188" s="4">
        <v>11</v>
      </c>
      <c r="F1188" s="4">
        <v>6</v>
      </c>
      <c r="G1188" s="4">
        <v>7</v>
      </c>
      <c r="H1188" s="115"/>
      <c r="I1188" s="115"/>
      <c r="J1188" s="115"/>
      <c r="K1188" s="115">
        <v>0</v>
      </c>
      <c r="L1188" s="12">
        <f t="shared" si="80"/>
        <v>0</v>
      </c>
      <c r="M1188" s="4">
        <f t="shared" si="81"/>
        <v>0</v>
      </c>
      <c r="N1188" s="4">
        <f t="shared" si="82"/>
        <v>0</v>
      </c>
      <c r="O1188" s="13">
        <f t="shared" si="83"/>
        <v>0</v>
      </c>
    </row>
    <row r="1189" spans="2:15">
      <c r="B1189" s="12">
        <v>10</v>
      </c>
      <c r="C1189" s="4" t="s">
        <v>152</v>
      </c>
      <c r="D1189" s="4" t="s">
        <v>150</v>
      </c>
      <c r="E1189" s="4">
        <v>11</v>
      </c>
      <c r="F1189" s="4">
        <v>6</v>
      </c>
      <c r="G1189" s="4">
        <v>8</v>
      </c>
      <c r="H1189" s="115"/>
      <c r="I1189" s="115"/>
      <c r="J1189" s="115"/>
      <c r="K1189" s="115">
        <v>0</v>
      </c>
      <c r="L1189" s="12">
        <f t="shared" si="80"/>
        <v>0</v>
      </c>
      <c r="M1189" s="4">
        <f t="shared" si="81"/>
        <v>0</v>
      </c>
      <c r="N1189" s="4">
        <f t="shared" si="82"/>
        <v>0</v>
      </c>
      <c r="O1189" s="13">
        <f t="shared" si="83"/>
        <v>0</v>
      </c>
    </row>
    <row r="1190" spans="2:15">
      <c r="B1190" s="12">
        <v>10</v>
      </c>
      <c r="C1190" s="4" t="s">
        <v>152</v>
      </c>
      <c r="D1190" s="4" t="s">
        <v>150</v>
      </c>
      <c r="E1190" s="4">
        <v>11</v>
      </c>
      <c r="F1190" s="4">
        <v>6</v>
      </c>
      <c r="G1190" s="4">
        <v>9</v>
      </c>
      <c r="H1190" s="115"/>
      <c r="I1190" s="115"/>
      <c r="J1190" s="115"/>
      <c r="K1190" s="115">
        <v>0</v>
      </c>
      <c r="L1190" s="12">
        <f t="shared" si="80"/>
        <v>0</v>
      </c>
      <c r="M1190" s="4">
        <f t="shared" si="81"/>
        <v>0</v>
      </c>
      <c r="N1190" s="4">
        <f t="shared" si="82"/>
        <v>0</v>
      </c>
      <c r="O1190" s="13">
        <f t="shared" si="83"/>
        <v>0</v>
      </c>
    </row>
    <row r="1191" spans="2:15" ht="13.8" thickBot="1">
      <c r="B1191" s="14">
        <v>10</v>
      </c>
      <c r="C1191" s="15" t="s">
        <v>152</v>
      </c>
      <c r="D1191" s="15" t="s">
        <v>150</v>
      </c>
      <c r="E1191" s="15">
        <v>11</v>
      </c>
      <c r="F1191" s="15">
        <v>6</v>
      </c>
      <c r="G1191" s="15">
        <v>10</v>
      </c>
      <c r="H1191" s="121"/>
      <c r="I1191" s="121"/>
      <c r="J1191" s="121"/>
      <c r="K1191" s="121">
        <v>0</v>
      </c>
      <c r="L1191" s="14">
        <f t="shared" ref="L1191:L1254" si="84">LOG10(H1191+1)</f>
        <v>0</v>
      </c>
      <c r="M1191" s="15">
        <f t="shared" ref="M1191:M1254" si="85">LOG10(I1191+1)</f>
        <v>0</v>
      </c>
      <c r="N1191" s="15">
        <f t="shared" ref="N1191:N1254" si="86">LOG10(J1191+1)</f>
        <v>0</v>
      </c>
      <c r="O1191" s="16">
        <f t="shared" ref="O1191:O1254" si="87">LOG10(K1191+1)</f>
        <v>0</v>
      </c>
    </row>
    <row r="1192" spans="2:15">
      <c r="B1192" s="9">
        <v>10</v>
      </c>
      <c r="C1192" s="10" t="s">
        <v>152</v>
      </c>
      <c r="D1192" s="10" t="s">
        <v>154</v>
      </c>
      <c r="E1192" s="93">
        <v>12</v>
      </c>
      <c r="F1192" s="93">
        <v>12</v>
      </c>
      <c r="G1192" s="10">
        <v>1</v>
      </c>
      <c r="H1192" s="120">
        <v>0.21600000000000819</v>
      </c>
      <c r="I1192" s="120">
        <v>1.1989999999999554</v>
      </c>
      <c r="J1192" s="120">
        <v>0.10000000000002274</v>
      </c>
      <c r="K1192" s="120">
        <v>1.5149999999999864</v>
      </c>
      <c r="L1192" s="9">
        <f t="shared" si="84"/>
        <v>8.4933574936719061E-2</v>
      </c>
      <c r="M1192" s="10">
        <f t="shared" si="85"/>
        <v>0.34222522936078159</v>
      </c>
      <c r="N1192" s="10">
        <f t="shared" si="86"/>
        <v>4.1392685158234015E-2</v>
      </c>
      <c r="O1192" s="11">
        <f t="shared" si="87"/>
        <v>0.40053798939194385</v>
      </c>
    </row>
    <row r="1193" spans="2:15">
      <c r="B1193" s="12">
        <v>10</v>
      </c>
      <c r="C1193" s="4" t="s">
        <v>152</v>
      </c>
      <c r="D1193" s="4" t="s">
        <v>154</v>
      </c>
      <c r="E1193" s="4">
        <v>12</v>
      </c>
      <c r="F1193" s="4">
        <v>12</v>
      </c>
      <c r="G1193" s="4">
        <v>2</v>
      </c>
      <c r="H1193" s="115"/>
      <c r="I1193" s="115">
        <v>0.10000000000002274</v>
      </c>
      <c r="J1193" s="115">
        <v>0.10000000000002274</v>
      </c>
      <c r="K1193" s="115">
        <v>0.20000000000004547</v>
      </c>
      <c r="L1193" s="12">
        <f t="shared" si="84"/>
        <v>0</v>
      </c>
      <c r="M1193" s="4">
        <f t="shared" si="85"/>
        <v>4.1392685158234015E-2</v>
      </c>
      <c r="N1193" s="4">
        <f t="shared" si="86"/>
        <v>4.1392685158234015E-2</v>
      </c>
      <c r="O1193" s="13">
        <f t="shared" si="87"/>
        <v>7.918124604764129E-2</v>
      </c>
    </row>
    <row r="1194" spans="2:15">
      <c r="B1194" s="12">
        <v>10</v>
      </c>
      <c r="C1194" s="4" t="s">
        <v>152</v>
      </c>
      <c r="D1194" s="4" t="s">
        <v>154</v>
      </c>
      <c r="E1194" s="4">
        <v>12</v>
      </c>
      <c r="F1194" s="4">
        <v>12</v>
      </c>
      <c r="G1194" s="4">
        <v>3</v>
      </c>
      <c r="H1194" s="115">
        <v>0.58399999999994634</v>
      </c>
      <c r="I1194" s="115"/>
      <c r="J1194" s="115"/>
      <c r="K1194" s="115">
        <v>0.58399999999994634</v>
      </c>
      <c r="L1194" s="12">
        <f t="shared" si="84"/>
        <v>0.19975517725345998</v>
      </c>
      <c r="M1194" s="4">
        <f t="shared" si="85"/>
        <v>0</v>
      </c>
      <c r="N1194" s="4">
        <f t="shared" si="86"/>
        <v>0</v>
      </c>
      <c r="O1194" s="13">
        <f t="shared" si="87"/>
        <v>0.19975517725345998</v>
      </c>
    </row>
    <row r="1195" spans="2:15">
      <c r="B1195" s="12">
        <v>10</v>
      </c>
      <c r="C1195" s="4" t="s">
        <v>152</v>
      </c>
      <c r="D1195" s="4" t="s">
        <v>154</v>
      </c>
      <c r="E1195" s="4">
        <v>12</v>
      </c>
      <c r="F1195" s="4">
        <v>12</v>
      </c>
      <c r="G1195" s="4">
        <v>4</v>
      </c>
      <c r="H1195" s="115"/>
      <c r="I1195" s="115"/>
      <c r="J1195" s="115"/>
      <c r="K1195" s="115">
        <v>0</v>
      </c>
      <c r="L1195" s="12">
        <f t="shared" si="84"/>
        <v>0</v>
      </c>
      <c r="M1195" s="4">
        <f t="shared" si="85"/>
        <v>0</v>
      </c>
      <c r="N1195" s="4">
        <f t="shared" si="86"/>
        <v>0</v>
      </c>
      <c r="O1195" s="13">
        <f t="shared" si="87"/>
        <v>0</v>
      </c>
    </row>
    <row r="1196" spans="2:15">
      <c r="B1196" s="12">
        <v>10</v>
      </c>
      <c r="C1196" s="4" t="s">
        <v>152</v>
      </c>
      <c r="D1196" s="4" t="s">
        <v>154</v>
      </c>
      <c r="E1196" s="4">
        <v>12</v>
      </c>
      <c r="F1196" s="4">
        <v>12</v>
      </c>
      <c r="G1196" s="4">
        <v>5</v>
      </c>
      <c r="H1196" s="115">
        <v>0.46699999999998454</v>
      </c>
      <c r="I1196" s="115"/>
      <c r="J1196" s="115"/>
      <c r="K1196" s="115">
        <v>0.46699999999998454</v>
      </c>
      <c r="L1196" s="12">
        <f t="shared" si="84"/>
        <v>0.1664301138432781</v>
      </c>
      <c r="M1196" s="4">
        <f t="shared" si="85"/>
        <v>0</v>
      </c>
      <c r="N1196" s="4">
        <f t="shared" si="86"/>
        <v>0</v>
      </c>
      <c r="O1196" s="13">
        <f t="shared" si="87"/>
        <v>0.1664301138432781</v>
      </c>
    </row>
    <row r="1197" spans="2:15">
      <c r="B1197" s="12">
        <v>10</v>
      </c>
      <c r="C1197" s="4" t="s">
        <v>152</v>
      </c>
      <c r="D1197" s="4" t="s">
        <v>154</v>
      </c>
      <c r="E1197" s="4">
        <v>12</v>
      </c>
      <c r="F1197" s="4">
        <v>12</v>
      </c>
      <c r="G1197" s="4">
        <v>6</v>
      </c>
      <c r="H1197" s="115"/>
      <c r="I1197" s="115"/>
      <c r="J1197" s="115"/>
      <c r="K1197" s="115">
        <v>0</v>
      </c>
      <c r="L1197" s="12">
        <f t="shared" si="84"/>
        <v>0</v>
      </c>
      <c r="M1197" s="4">
        <f t="shared" si="85"/>
        <v>0</v>
      </c>
      <c r="N1197" s="4">
        <f t="shared" si="86"/>
        <v>0</v>
      </c>
      <c r="O1197" s="13">
        <f t="shared" si="87"/>
        <v>0</v>
      </c>
    </row>
    <row r="1198" spans="2:15">
      <c r="B1198" s="12">
        <v>10</v>
      </c>
      <c r="C1198" s="4" t="s">
        <v>152</v>
      </c>
      <c r="D1198" s="4" t="s">
        <v>154</v>
      </c>
      <c r="E1198" s="4">
        <v>12</v>
      </c>
      <c r="F1198" s="4">
        <v>12</v>
      </c>
      <c r="G1198" s="4">
        <v>7</v>
      </c>
      <c r="H1198" s="115"/>
      <c r="I1198" s="115"/>
      <c r="J1198" s="115"/>
      <c r="K1198" s="115">
        <v>0</v>
      </c>
      <c r="L1198" s="12">
        <f t="shared" si="84"/>
        <v>0</v>
      </c>
      <c r="M1198" s="4">
        <f t="shared" si="85"/>
        <v>0</v>
      </c>
      <c r="N1198" s="4">
        <f t="shared" si="86"/>
        <v>0</v>
      </c>
      <c r="O1198" s="13">
        <f t="shared" si="87"/>
        <v>0</v>
      </c>
    </row>
    <row r="1199" spans="2:15">
      <c r="B1199" s="12">
        <v>10</v>
      </c>
      <c r="C1199" s="4" t="s">
        <v>152</v>
      </c>
      <c r="D1199" s="4" t="s">
        <v>154</v>
      </c>
      <c r="E1199" s="4">
        <v>12</v>
      </c>
      <c r="F1199" s="4">
        <v>12</v>
      </c>
      <c r="G1199" s="4">
        <v>8</v>
      </c>
      <c r="H1199" s="115"/>
      <c r="I1199" s="115"/>
      <c r="J1199" s="115"/>
      <c r="K1199" s="115">
        <v>0</v>
      </c>
      <c r="L1199" s="12">
        <f t="shared" si="84"/>
        <v>0</v>
      </c>
      <c r="M1199" s="4">
        <f t="shared" si="85"/>
        <v>0</v>
      </c>
      <c r="N1199" s="4">
        <f t="shared" si="86"/>
        <v>0</v>
      </c>
      <c r="O1199" s="13">
        <f t="shared" si="87"/>
        <v>0</v>
      </c>
    </row>
    <row r="1200" spans="2:15">
      <c r="B1200" s="12">
        <v>10</v>
      </c>
      <c r="C1200" s="4" t="s">
        <v>152</v>
      </c>
      <c r="D1200" s="4" t="s">
        <v>154</v>
      </c>
      <c r="E1200" s="4">
        <v>12</v>
      </c>
      <c r="F1200" s="4">
        <v>12</v>
      </c>
      <c r="G1200" s="4">
        <v>9</v>
      </c>
      <c r="H1200" s="115"/>
      <c r="I1200" s="115"/>
      <c r="J1200" s="115"/>
      <c r="K1200" s="115">
        <v>0</v>
      </c>
      <c r="L1200" s="12">
        <f t="shared" si="84"/>
        <v>0</v>
      </c>
      <c r="M1200" s="4">
        <f t="shared" si="85"/>
        <v>0</v>
      </c>
      <c r="N1200" s="4">
        <f t="shared" si="86"/>
        <v>0</v>
      </c>
      <c r="O1200" s="13">
        <f t="shared" si="87"/>
        <v>0</v>
      </c>
    </row>
    <row r="1201" spans="2:15" ht="13.8" thickBot="1">
      <c r="B1201" s="14">
        <v>10</v>
      </c>
      <c r="C1201" s="15" t="s">
        <v>152</v>
      </c>
      <c r="D1201" s="15" t="s">
        <v>154</v>
      </c>
      <c r="E1201" s="15">
        <v>12</v>
      </c>
      <c r="F1201" s="15">
        <v>12</v>
      </c>
      <c r="G1201" s="15">
        <v>10</v>
      </c>
      <c r="H1201" s="121"/>
      <c r="I1201" s="121"/>
      <c r="J1201" s="121"/>
      <c r="K1201" s="121">
        <v>0</v>
      </c>
      <c r="L1201" s="14">
        <f t="shared" si="84"/>
        <v>0</v>
      </c>
      <c r="M1201" s="15">
        <f t="shared" si="85"/>
        <v>0</v>
      </c>
      <c r="N1201" s="15">
        <f t="shared" si="86"/>
        <v>0</v>
      </c>
      <c r="O1201" s="16">
        <f t="shared" si="87"/>
        <v>0</v>
      </c>
    </row>
    <row r="1202" spans="2:15">
      <c r="B1202" s="9">
        <v>11</v>
      </c>
      <c r="C1202" s="10" t="s">
        <v>151</v>
      </c>
      <c r="D1202" s="10" t="s">
        <v>149</v>
      </c>
      <c r="E1202" s="93">
        <v>1</v>
      </c>
      <c r="F1202" s="93">
        <v>9</v>
      </c>
      <c r="G1202" s="10">
        <v>1</v>
      </c>
      <c r="H1202" s="120">
        <v>0.78400000000004866</v>
      </c>
      <c r="I1202" s="120">
        <v>0.41600000000005366</v>
      </c>
      <c r="J1202" s="120">
        <v>3.6650000000000205</v>
      </c>
      <c r="K1202" s="120">
        <v>4.8650000000001228</v>
      </c>
      <c r="L1202" s="9">
        <f t="shared" si="84"/>
        <v>0.25139485004011608</v>
      </c>
      <c r="M1202" s="10">
        <f t="shared" si="85"/>
        <v>0.15106325335376666</v>
      </c>
      <c r="N1202" s="10">
        <f t="shared" si="86"/>
        <v>0.66885164808252062</v>
      </c>
      <c r="O1202" s="11">
        <f t="shared" si="87"/>
        <v>0.76826801645155718</v>
      </c>
    </row>
    <row r="1203" spans="2:15">
      <c r="B1203" s="12">
        <v>11</v>
      </c>
      <c r="C1203" s="4" t="s">
        <v>151</v>
      </c>
      <c r="D1203" s="4" t="s">
        <v>149</v>
      </c>
      <c r="E1203" s="4">
        <v>1</v>
      </c>
      <c r="F1203" s="4">
        <v>9</v>
      </c>
      <c r="G1203" s="4">
        <v>2</v>
      </c>
      <c r="H1203" s="115">
        <v>1.8310000000000741</v>
      </c>
      <c r="I1203" s="115">
        <v>0.15000000000003411</v>
      </c>
      <c r="J1203" s="115">
        <v>0.78299999999995862</v>
      </c>
      <c r="K1203" s="115">
        <v>2.7640000000000668</v>
      </c>
      <c r="L1203" s="12">
        <f t="shared" si="84"/>
        <v>0.45193986936511438</v>
      </c>
      <c r="M1203" s="4">
        <f t="shared" si="85"/>
        <v>6.0697840353624563E-2</v>
      </c>
      <c r="N1203" s="4">
        <f t="shared" si="86"/>
        <v>0.25115134317534454</v>
      </c>
      <c r="O1203" s="13">
        <f t="shared" si="87"/>
        <v>0.57564961475522702</v>
      </c>
    </row>
    <row r="1204" spans="2:15">
      <c r="B1204" s="12">
        <v>11</v>
      </c>
      <c r="C1204" s="4" t="s">
        <v>151</v>
      </c>
      <c r="D1204" s="4" t="s">
        <v>149</v>
      </c>
      <c r="E1204" s="4">
        <v>1</v>
      </c>
      <c r="F1204" s="4">
        <v>9</v>
      </c>
      <c r="G1204" s="4">
        <v>3</v>
      </c>
      <c r="H1204" s="115"/>
      <c r="I1204" s="115"/>
      <c r="J1204" s="115"/>
      <c r="K1204" s="115">
        <v>0</v>
      </c>
      <c r="L1204" s="12">
        <f t="shared" si="84"/>
        <v>0</v>
      </c>
      <c r="M1204" s="4">
        <f t="shared" si="85"/>
        <v>0</v>
      </c>
      <c r="N1204" s="4">
        <f t="shared" si="86"/>
        <v>0</v>
      </c>
      <c r="O1204" s="13">
        <f t="shared" si="87"/>
        <v>0</v>
      </c>
    </row>
    <row r="1205" spans="2:15">
      <c r="B1205" s="12">
        <v>11</v>
      </c>
      <c r="C1205" s="4" t="s">
        <v>151</v>
      </c>
      <c r="D1205" s="4" t="s">
        <v>149</v>
      </c>
      <c r="E1205" s="4">
        <v>1</v>
      </c>
      <c r="F1205" s="4">
        <v>9</v>
      </c>
      <c r="G1205" s="4">
        <v>4</v>
      </c>
      <c r="H1205" s="115"/>
      <c r="I1205" s="115"/>
      <c r="J1205" s="115"/>
      <c r="K1205" s="115">
        <v>0</v>
      </c>
      <c r="L1205" s="12">
        <f t="shared" si="84"/>
        <v>0</v>
      </c>
      <c r="M1205" s="4">
        <f t="shared" si="85"/>
        <v>0</v>
      </c>
      <c r="N1205" s="4">
        <f t="shared" si="86"/>
        <v>0</v>
      </c>
      <c r="O1205" s="13">
        <f t="shared" si="87"/>
        <v>0</v>
      </c>
    </row>
    <row r="1206" spans="2:15">
      <c r="B1206" s="12">
        <v>11</v>
      </c>
      <c r="C1206" s="4" t="s">
        <v>151</v>
      </c>
      <c r="D1206" s="4" t="s">
        <v>149</v>
      </c>
      <c r="E1206" s="4">
        <v>1</v>
      </c>
      <c r="F1206" s="4">
        <v>9</v>
      </c>
      <c r="G1206" s="4">
        <v>5</v>
      </c>
      <c r="H1206" s="115"/>
      <c r="I1206" s="115"/>
      <c r="J1206" s="115"/>
      <c r="K1206" s="115">
        <v>0</v>
      </c>
      <c r="L1206" s="12">
        <f t="shared" si="84"/>
        <v>0</v>
      </c>
      <c r="M1206" s="4">
        <f t="shared" si="85"/>
        <v>0</v>
      </c>
      <c r="N1206" s="4">
        <f t="shared" si="86"/>
        <v>0</v>
      </c>
      <c r="O1206" s="13">
        <f t="shared" si="87"/>
        <v>0</v>
      </c>
    </row>
    <row r="1207" spans="2:15">
      <c r="B1207" s="12">
        <v>11</v>
      </c>
      <c r="C1207" s="4" t="s">
        <v>151</v>
      </c>
      <c r="D1207" s="4" t="s">
        <v>149</v>
      </c>
      <c r="E1207" s="4">
        <v>1</v>
      </c>
      <c r="F1207" s="4">
        <v>9</v>
      </c>
      <c r="G1207" s="4">
        <v>6</v>
      </c>
      <c r="H1207" s="115"/>
      <c r="I1207" s="115"/>
      <c r="J1207" s="115"/>
      <c r="K1207" s="115">
        <v>0</v>
      </c>
      <c r="L1207" s="12">
        <f t="shared" si="84"/>
        <v>0</v>
      </c>
      <c r="M1207" s="4">
        <f t="shared" si="85"/>
        <v>0</v>
      </c>
      <c r="N1207" s="4">
        <f t="shared" si="86"/>
        <v>0</v>
      </c>
      <c r="O1207" s="13">
        <f t="shared" si="87"/>
        <v>0</v>
      </c>
    </row>
    <row r="1208" spans="2:15">
      <c r="B1208" s="12">
        <v>11</v>
      </c>
      <c r="C1208" s="4" t="s">
        <v>151</v>
      </c>
      <c r="D1208" s="4" t="s">
        <v>149</v>
      </c>
      <c r="E1208" s="4">
        <v>1</v>
      </c>
      <c r="F1208" s="4">
        <v>9</v>
      </c>
      <c r="G1208" s="4">
        <v>7</v>
      </c>
      <c r="H1208" s="115"/>
      <c r="I1208" s="115"/>
      <c r="J1208" s="115"/>
      <c r="K1208" s="115">
        <v>0</v>
      </c>
      <c r="L1208" s="12">
        <f t="shared" si="84"/>
        <v>0</v>
      </c>
      <c r="M1208" s="4">
        <f t="shared" si="85"/>
        <v>0</v>
      </c>
      <c r="N1208" s="4">
        <f t="shared" si="86"/>
        <v>0</v>
      </c>
      <c r="O1208" s="13">
        <f t="shared" si="87"/>
        <v>0</v>
      </c>
    </row>
    <row r="1209" spans="2:15">
      <c r="B1209" s="12">
        <v>11</v>
      </c>
      <c r="C1209" s="4" t="s">
        <v>151</v>
      </c>
      <c r="D1209" s="4" t="s">
        <v>149</v>
      </c>
      <c r="E1209" s="4">
        <v>1</v>
      </c>
      <c r="F1209" s="4">
        <v>9</v>
      </c>
      <c r="G1209" s="4">
        <v>8</v>
      </c>
      <c r="H1209" s="115"/>
      <c r="I1209" s="115"/>
      <c r="J1209" s="115"/>
      <c r="K1209" s="115">
        <v>0</v>
      </c>
      <c r="L1209" s="12">
        <f t="shared" si="84"/>
        <v>0</v>
      </c>
      <c r="M1209" s="4">
        <f t="shared" si="85"/>
        <v>0</v>
      </c>
      <c r="N1209" s="4">
        <f t="shared" si="86"/>
        <v>0</v>
      </c>
      <c r="O1209" s="13">
        <f t="shared" si="87"/>
        <v>0</v>
      </c>
    </row>
    <row r="1210" spans="2:15">
      <c r="B1210" s="12">
        <v>11</v>
      </c>
      <c r="C1210" s="4" t="s">
        <v>151</v>
      </c>
      <c r="D1210" s="4" t="s">
        <v>149</v>
      </c>
      <c r="E1210" s="4">
        <v>1</v>
      </c>
      <c r="F1210" s="4">
        <v>9</v>
      </c>
      <c r="G1210" s="4">
        <v>9</v>
      </c>
      <c r="H1210" s="115"/>
      <c r="I1210" s="115"/>
      <c r="J1210" s="115"/>
      <c r="K1210" s="115">
        <v>0</v>
      </c>
      <c r="L1210" s="12">
        <f t="shared" si="84"/>
        <v>0</v>
      </c>
      <c r="M1210" s="4">
        <f t="shared" si="85"/>
        <v>0</v>
      </c>
      <c r="N1210" s="4">
        <f t="shared" si="86"/>
        <v>0</v>
      </c>
      <c r="O1210" s="13">
        <f t="shared" si="87"/>
        <v>0</v>
      </c>
    </row>
    <row r="1211" spans="2:15" ht="13.8" thickBot="1">
      <c r="B1211" s="14">
        <v>11</v>
      </c>
      <c r="C1211" s="15" t="s">
        <v>151</v>
      </c>
      <c r="D1211" s="15" t="s">
        <v>149</v>
      </c>
      <c r="E1211" s="15">
        <v>1</v>
      </c>
      <c r="F1211" s="15">
        <v>9</v>
      </c>
      <c r="G1211" s="15">
        <v>10</v>
      </c>
      <c r="H1211" s="121"/>
      <c r="I1211" s="121"/>
      <c r="J1211" s="121"/>
      <c r="K1211" s="121">
        <v>0</v>
      </c>
      <c r="L1211" s="14">
        <f t="shared" si="84"/>
        <v>0</v>
      </c>
      <c r="M1211" s="15">
        <f t="shared" si="85"/>
        <v>0</v>
      </c>
      <c r="N1211" s="15">
        <f t="shared" si="86"/>
        <v>0</v>
      </c>
      <c r="O1211" s="16">
        <f t="shared" si="87"/>
        <v>0</v>
      </c>
    </row>
    <row r="1212" spans="2:15">
      <c r="B1212" s="9">
        <v>11</v>
      </c>
      <c r="C1212" s="10" t="s">
        <v>151</v>
      </c>
      <c r="D1212" s="10" t="s">
        <v>150</v>
      </c>
      <c r="E1212" s="93">
        <v>2</v>
      </c>
      <c r="F1212" s="93">
        <v>1</v>
      </c>
      <c r="G1212" s="10">
        <v>1</v>
      </c>
      <c r="H1212" s="120"/>
      <c r="I1212" s="120"/>
      <c r="J1212" s="120">
        <v>2.6159999999999926</v>
      </c>
      <c r="K1212" s="120">
        <v>2.6159999999999926</v>
      </c>
      <c r="L1212" s="9">
        <f t="shared" si="84"/>
        <v>0</v>
      </c>
      <c r="M1212" s="10">
        <f t="shared" si="85"/>
        <v>0</v>
      </c>
      <c r="N1212" s="10">
        <f t="shared" si="86"/>
        <v>0.55822842180332477</v>
      </c>
      <c r="O1212" s="11">
        <f t="shared" si="87"/>
        <v>0.55822842180332477</v>
      </c>
    </row>
    <row r="1213" spans="2:15">
      <c r="B1213" s="12">
        <v>11</v>
      </c>
      <c r="C1213" s="4" t="s">
        <v>151</v>
      </c>
      <c r="D1213" s="4" t="s">
        <v>150</v>
      </c>
      <c r="E1213" s="4">
        <v>2</v>
      </c>
      <c r="F1213" s="4">
        <v>1</v>
      </c>
      <c r="G1213" s="4">
        <v>2</v>
      </c>
      <c r="H1213" s="115">
        <v>0.96499999999998209</v>
      </c>
      <c r="I1213" s="115">
        <v>0.43300000000000693</v>
      </c>
      <c r="J1213" s="115">
        <v>1.1149999999999878</v>
      </c>
      <c r="K1213" s="115">
        <v>2.5129999999999768</v>
      </c>
      <c r="L1213" s="12">
        <f t="shared" si="84"/>
        <v>0.29336255471144157</v>
      </c>
      <c r="M1213" s="4">
        <f t="shared" si="85"/>
        <v>0.15624619039734658</v>
      </c>
      <c r="N1213" s="4">
        <f t="shared" si="86"/>
        <v>0.32531037171105864</v>
      </c>
      <c r="O1213" s="13">
        <f t="shared" si="87"/>
        <v>0.54567814979202267</v>
      </c>
    </row>
    <row r="1214" spans="2:15">
      <c r="B1214" s="12">
        <v>11</v>
      </c>
      <c r="C1214" s="4" t="s">
        <v>151</v>
      </c>
      <c r="D1214" s="4" t="s">
        <v>150</v>
      </c>
      <c r="E1214" s="4">
        <v>2</v>
      </c>
      <c r="F1214" s="4">
        <v>1</v>
      </c>
      <c r="G1214" s="4">
        <v>3</v>
      </c>
      <c r="H1214" s="115"/>
      <c r="I1214" s="115"/>
      <c r="J1214" s="115"/>
      <c r="K1214" s="115">
        <v>0</v>
      </c>
      <c r="L1214" s="12">
        <f t="shared" si="84"/>
        <v>0</v>
      </c>
      <c r="M1214" s="4">
        <f t="shared" si="85"/>
        <v>0</v>
      </c>
      <c r="N1214" s="4">
        <f t="shared" si="86"/>
        <v>0</v>
      </c>
      <c r="O1214" s="13">
        <f t="shared" si="87"/>
        <v>0</v>
      </c>
    </row>
    <row r="1215" spans="2:15">
      <c r="B1215" s="12">
        <v>11</v>
      </c>
      <c r="C1215" s="4" t="s">
        <v>151</v>
      </c>
      <c r="D1215" s="4" t="s">
        <v>150</v>
      </c>
      <c r="E1215" s="4">
        <v>2</v>
      </c>
      <c r="F1215" s="4">
        <v>1</v>
      </c>
      <c r="G1215" s="4">
        <v>4</v>
      </c>
      <c r="H1215" s="115"/>
      <c r="I1215" s="115"/>
      <c r="J1215" s="115"/>
      <c r="K1215" s="115">
        <v>0</v>
      </c>
      <c r="L1215" s="12">
        <f t="shared" si="84"/>
        <v>0</v>
      </c>
      <c r="M1215" s="4">
        <f t="shared" si="85"/>
        <v>0</v>
      </c>
      <c r="N1215" s="4">
        <f t="shared" si="86"/>
        <v>0</v>
      </c>
      <c r="O1215" s="13">
        <f t="shared" si="87"/>
        <v>0</v>
      </c>
    </row>
    <row r="1216" spans="2:15">
      <c r="B1216" s="12">
        <v>11</v>
      </c>
      <c r="C1216" s="4" t="s">
        <v>151</v>
      </c>
      <c r="D1216" s="4" t="s">
        <v>150</v>
      </c>
      <c r="E1216" s="4">
        <v>2</v>
      </c>
      <c r="F1216" s="4">
        <v>1</v>
      </c>
      <c r="G1216" s="4">
        <v>5</v>
      </c>
      <c r="H1216" s="115"/>
      <c r="I1216" s="115"/>
      <c r="J1216" s="115"/>
      <c r="K1216" s="115">
        <v>0</v>
      </c>
      <c r="L1216" s="12">
        <f t="shared" si="84"/>
        <v>0</v>
      </c>
      <c r="M1216" s="4">
        <f t="shared" si="85"/>
        <v>0</v>
      </c>
      <c r="N1216" s="4">
        <f t="shared" si="86"/>
        <v>0</v>
      </c>
      <c r="O1216" s="13">
        <f t="shared" si="87"/>
        <v>0</v>
      </c>
    </row>
    <row r="1217" spans="2:15">
      <c r="B1217" s="12">
        <v>11</v>
      </c>
      <c r="C1217" s="4" t="s">
        <v>151</v>
      </c>
      <c r="D1217" s="4" t="s">
        <v>150</v>
      </c>
      <c r="E1217" s="4">
        <v>2</v>
      </c>
      <c r="F1217" s="4">
        <v>1</v>
      </c>
      <c r="G1217" s="4">
        <v>6</v>
      </c>
      <c r="H1217" s="115"/>
      <c r="I1217" s="115"/>
      <c r="J1217" s="115"/>
      <c r="K1217" s="115">
        <v>0</v>
      </c>
      <c r="L1217" s="12">
        <f t="shared" si="84"/>
        <v>0</v>
      </c>
      <c r="M1217" s="4">
        <f t="shared" si="85"/>
        <v>0</v>
      </c>
      <c r="N1217" s="4">
        <f t="shared" si="86"/>
        <v>0</v>
      </c>
      <c r="O1217" s="13">
        <f t="shared" si="87"/>
        <v>0</v>
      </c>
    </row>
    <row r="1218" spans="2:15">
      <c r="B1218" s="12">
        <v>11</v>
      </c>
      <c r="C1218" s="4" t="s">
        <v>151</v>
      </c>
      <c r="D1218" s="4" t="s">
        <v>150</v>
      </c>
      <c r="E1218" s="4">
        <v>2</v>
      </c>
      <c r="F1218" s="4">
        <v>1</v>
      </c>
      <c r="G1218" s="4">
        <v>7</v>
      </c>
      <c r="H1218" s="115"/>
      <c r="I1218" s="115"/>
      <c r="J1218" s="115"/>
      <c r="K1218" s="115">
        <v>0</v>
      </c>
      <c r="L1218" s="12">
        <f t="shared" si="84"/>
        <v>0</v>
      </c>
      <c r="M1218" s="4">
        <f t="shared" si="85"/>
        <v>0</v>
      </c>
      <c r="N1218" s="4">
        <f t="shared" si="86"/>
        <v>0</v>
      </c>
      <c r="O1218" s="13">
        <f t="shared" si="87"/>
        <v>0</v>
      </c>
    </row>
    <row r="1219" spans="2:15">
      <c r="B1219" s="12">
        <v>11</v>
      </c>
      <c r="C1219" s="4" t="s">
        <v>151</v>
      </c>
      <c r="D1219" s="4" t="s">
        <v>150</v>
      </c>
      <c r="E1219" s="4">
        <v>2</v>
      </c>
      <c r="F1219" s="4">
        <v>1</v>
      </c>
      <c r="G1219" s="4">
        <v>8</v>
      </c>
      <c r="H1219" s="115"/>
      <c r="I1219" s="115"/>
      <c r="J1219" s="115"/>
      <c r="K1219" s="115">
        <v>0</v>
      </c>
      <c r="L1219" s="12">
        <f t="shared" si="84"/>
        <v>0</v>
      </c>
      <c r="M1219" s="4">
        <f t="shared" si="85"/>
        <v>0</v>
      </c>
      <c r="N1219" s="4">
        <f t="shared" si="86"/>
        <v>0</v>
      </c>
      <c r="O1219" s="13">
        <f t="shared" si="87"/>
        <v>0</v>
      </c>
    </row>
    <row r="1220" spans="2:15">
      <c r="B1220" s="12">
        <v>11</v>
      </c>
      <c r="C1220" s="4" t="s">
        <v>151</v>
      </c>
      <c r="D1220" s="4" t="s">
        <v>150</v>
      </c>
      <c r="E1220" s="4">
        <v>2</v>
      </c>
      <c r="F1220" s="4">
        <v>1</v>
      </c>
      <c r="G1220" s="4">
        <v>9</v>
      </c>
      <c r="H1220" s="115"/>
      <c r="I1220" s="115"/>
      <c r="J1220" s="115"/>
      <c r="K1220" s="115">
        <v>0</v>
      </c>
      <c r="L1220" s="12">
        <f t="shared" si="84"/>
        <v>0</v>
      </c>
      <c r="M1220" s="4">
        <f t="shared" si="85"/>
        <v>0</v>
      </c>
      <c r="N1220" s="4">
        <f t="shared" si="86"/>
        <v>0</v>
      </c>
      <c r="O1220" s="13">
        <f t="shared" si="87"/>
        <v>0</v>
      </c>
    </row>
    <row r="1221" spans="2:15" ht="13.8" thickBot="1">
      <c r="B1221" s="14">
        <v>11</v>
      </c>
      <c r="C1221" s="15" t="s">
        <v>151</v>
      </c>
      <c r="D1221" s="15" t="s">
        <v>150</v>
      </c>
      <c r="E1221" s="15">
        <v>2</v>
      </c>
      <c r="F1221" s="15">
        <v>1</v>
      </c>
      <c r="G1221" s="15">
        <v>10</v>
      </c>
      <c r="H1221" s="121"/>
      <c r="I1221" s="121"/>
      <c r="J1221" s="121"/>
      <c r="K1221" s="121">
        <v>0</v>
      </c>
      <c r="L1221" s="14">
        <f t="shared" si="84"/>
        <v>0</v>
      </c>
      <c r="M1221" s="15">
        <f t="shared" si="85"/>
        <v>0</v>
      </c>
      <c r="N1221" s="15">
        <f t="shared" si="86"/>
        <v>0</v>
      </c>
      <c r="O1221" s="16">
        <f t="shared" si="87"/>
        <v>0</v>
      </c>
    </row>
    <row r="1222" spans="2:15">
      <c r="B1222" s="9">
        <v>11</v>
      </c>
      <c r="C1222" s="10" t="s">
        <v>151</v>
      </c>
      <c r="D1222" s="10" t="s">
        <v>154</v>
      </c>
      <c r="E1222" s="93">
        <v>3</v>
      </c>
      <c r="F1222" s="93">
        <v>7</v>
      </c>
      <c r="G1222" s="10">
        <v>1</v>
      </c>
      <c r="H1222" s="120"/>
      <c r="I1222" s="120">
        <v>0.23300000000000409</v>
      </c>
      <c r="J1222" s="120">
        <v>0.28299999999995862</v>
      </c>
      <c r="K1222" s="120">
        <v>0.51599999999996271</v>
      </c>
      <c r="L1222" s="9">
        <f t="shared" si="84"/>
        <v>0</v>
      </c>
      <c r="M1222" s="10">
        <f t="shared" si="85"/>
        <v>9.0963076595733078E-2</v>
      </c>
      <c r="N1222" s="10">
        <f t="shared" si="86"/>
        <v>0.10822665637491449</v>
      </c>
      <c r="O1222" s="11">
        <f t="shared" si="87"/>
        <v>0.18069920129602404</v>
      </c>
    </row>
    <row r="1223" spans="2:15">
      <c r="B1223" s="12">
        <v>11</v>
      </c>
      <c r="C1223" s="4" t="s">
        <v>151</v>
      </c>
      <c r="D1223" s="4" t="s">
        <v>154</v>
      </c>
      <c r="E1223" s="4">
        <v>3</v>
      </c>
      <c r="F1223" s="4">
        <v>7</v>
      </c>
      <c r="G1223" s="4">
        <v>2</v>
      </c>
      <c r="H1223" s="115">
        <v>0.65099999999995362</v>
      </c>
      <c r="I1223" s="115">
        <v>0.28300000000001546</v>
      </c>
      <c r="J1223" s="115">
        <v>1.0169999999999391</v>
      </c>
      <c r="K1223" s="115">
        <v>1.9509999999999081</v>
      </c>
      <c r="L1223" s="12">
        <f t="shared" si="84"/>
        <v>0.21774707326278142</v>
      </c>
      <c r="M1223" s="4">
        <f t="shared" si="85"/>
        <v>0.10822665637493374</v>
      </c>
      <c r="N1223" s="4">
        <f t="shared" si="86"/>
        <v>0.30470589821275229</v>
      </c>
      <c r="O1223" s="13">
        <f t="shared" si="87"/>
        <v>0.46996920949994597</v>
      </c>
    </row>
    <row r="1224" spans="2:15">
      <c r="B1224" s="12">
        <v>11</v>
      </c>
      <c r="C1224" s="4" t="s">
        <v>151</v>
      </c>
      <c r="D1224" s="4" t="s">
        <v>154</v>
      </c>
      <c r="E1224" s="4">
        <v>3</v>
      </c>
      <c r="F1224" s="4">
        <v>7</v>
      </c>
      <c r="G1224" s="4">
        <v>3</v>
      </c>
      <c r="H1224" s="115">
        <v>0.40100000000001046</v>
      </c>
      <c r="I1224" s="115">
        <v>0.11700000000001864</v>
      </c>
      <c r="J1224" s="115">
        <v>0.76600000000001955</v>
      </c>
      <c r="K1224" s="115">
        <v>1.2840000000000487</v>
      </c>
      <c r="L1224" s="12">
        <f t="shared" si="84"/>
        <v>0.14643813528577784</v>
      </c>
      <c r="M1224" s="4">
        <f t="shared" si="85"/>
        <v>4.8053173115616306E-2</v>
      </c>
      <c r="N1224" s="4">
        <f t="shared" si="86"/>
        <v>0.24699069924155459</v>
      </c>
      <c r="O1224" s="13">
        <f t="shared" si="87"/>
        <v>0.3586960995738197</v>
      </c>
    </row>
    <row r="1225" spans="2:15">
      <c r="B1225" s="12">
        <v>11</v>
      </c>
      <c r="C1225" s="4" t="s">
        <v>151</v>
      </c>
      <c r="D1225" s="4" t="s">
        <v>154</v>
      </c>
      <c r="E1225" s="4">
        <v>3</v>
      </c>
      <c r="F1225" s="4">
        <v>7</v>
      </c>
      <c r="G1225" s="4">
        <v>4</v>
      </c>
      <c r="H1225" s="115"/>
      <c r="I1225" s="115"/>
      <c r="J1225" s="115"/>
      <c r="K1225" s="115">
        <v>0</v>
      </c>
      <c r="L1225" s="12">
        <f t="shared" si="84"/>
        <v>0</v>
      </c>
      <c r="M1225" s="4">
        <f t="shared" si="85"/>
        <v>0</v>
      </c>
      <c r="N1225" s="4">
        <f t="shared" si="86"/>
        <v>0</v>
      </c>
      <c r="O1225" s="13">
        <f t="shared" si="87"/>
        <v>0</v>
      </c>
    </row>
    <row r="1226" spans="2:15">
      <c r="B1226" s="12">
        <v>11</v>
      </c>
      <c r="C1226" s="4" t="s">
        <v>151</v>
      </c>
      <c r="D1226" s="4" t="s">
        <v>154</v>
      </c>
      <c r="E1226" s="4">
        <v>3</v>
      </c>
      <c r="F1226" s="4">
        <v>7</v>
      </c>
      <c r="G1226" s="4">
        <v>5</v>
      </c>
      <c r="H1226" s="115"/>
      <c r="I1226" s="115"/>
      <c r="J1226" s="115"/>
      <c r="K1226" s="115">
        <v>0</v>
      </c>
      <c r="L1226" s="12">
        <f t="shared" si="84"/>
        <v>0</v>
      </c>
      <c r="M1226" s="4">
        <f t="shared" si="85"/>
        <v>0</v>
      </c>
      <c r="N1226" s="4">
        <f t="shared" si="86"/>
        <v>0</v>
      </c>
      <c r="O1226" s="13">
        <f t="shared" si="87"/>
        <v>0</v>
      </c>
    </row>
    <row r="1227" spans="2:15">
      <c r="B1227" s="12">
        <v>11</v>
      </c>
      <c r="C1227" s="4" t="s">
        <v>151</v>
      </c>
      <c r="D1227" s="4" t="s">
        <v>154</v>
      </c>
      <c r="E1227" s="4">
        <v>3</v>
      </c>
      <c r="F1227" s="4">
        <v>7</v>
      </c>
      <c r="G1227" s="4">
        <v>6</v>
      </c>
      <c r="H1227" s="115"/>
      <c r="I1227" s="115"/>
      <c r="J1227" s="115"/>
      <c r="K1227" s="115">
        <v>0</v>
      </c>
      <c r="L1227" s="12">
        <f t="shared" si="84"/>
        <v>0</v>
      </c>
      <c r="M1227" s="4">
        <f t="shared" si="85"/>
        <v>0</v>
      </c>
      <c r="N1227" s="4">
        <f t="shared" si="86"/>
        <v>0</v>
      </c>
      <c r="O1227" s="13">
        <f t="shared" si="87"/>
        <v>0</v>
      </c>
    </row>
    <row r="1228" spans="2:15">
      <c r="B1228" s="12">
        <v>11</v>
      </c>
      <c r="C1228" s="4" t="s">
        <v>151</v>
      </c>
      <c r="D1228" s="4" t="s">
        <v>154</v>
      </c>
      <c r="E1228" s="4">
        <v>3</v>
      </c>
      <c r="F1228" s="4">
        <v>7</v>
      </c>
      <c r="G1228" s="4">
        <v>7</v>
      </c>
      <c r="H1228" s="115"/>
      <c r="I1228" s="115"/>
      <c r="J1228" s="115"/>
      <c r="K1228" s="115">
        <v>0</v>
      </c>
      <c r="L1228" s="12">
        <f t="shared" si="84"/>
        <v>0</v>
      </c>
      <c r="M1228" s="4">
        <f t="shared" si="85"/>
        <v>0</v>
      </c>
      <c r="N1228" s="4">
        <f t="shared" si="86"/>
        <v>0</v>
      </c>
      <c r="O1228" s="13">
        <f t="shared" si="87"/>
        <v>0</v>
      </c>
    </row>
    <row r="1229" spans="2:15">
      <c r="B1229" s="12">
        <v>11</v>
      </c>
      <c r="C1229" s="4" t="s">
        <v>151</v>
      </c>
      <c r="D1229" s="4" t="s">
        <v>154</v>
      </c>
      <c r="E1229" s="4">
        <v>3</v>
      </c>
      <c r="F1229" s="4">
        <v>7</v>
      </c>
      <c r="G1229" s="4">
        <v>8</v>
      </c>
      <c r="H1229" s="115"/>
      <c r="I1229" s="115"/>
      <c r="J1229" s="115"/>
      <c r="K1229" s="115">
        <v>0</v>
      </c>
      <c r="L1229" s="12">
        <f t="shared" si="84"/>
        <v>0</v>
      </c>
      <c r="M1229" s="4">
        <f t="shared" si="85"/>
        <v>0</v>
      </c>
      <c r="N1229" s="4">
        <f t="shared" si="86"/>
        <v>0</v>
      </c>
      <c r="O1229" s="13">
        <f t="shared" si="87"/>
        <v>0</v>
      </c>
    </row>
    <row r="1230" spans="2:15">
      <c r="B1230" s="12">
        <v>11</v>
      </c>
      <c r="C1230" s="4" t="s">
        <v>151</v>
      </c>
      <c r="D1230" s="4" t="s">
        <v>154</v>
      </c>
      <c r="E1230" s="4">
        <v>3</v>
      </c>
      <c r="F1230" s="4">
        <v>7</v>
      </c>
      <c r="G1230" s="4">
        <v>9</v>
      </c>
      <c r="H1230" s="115"/>
      <c r="I1230" s="115"/>
      <c r="J1230" s="115"/>
      <c r="K1230" s="115">
        <v>0</v>
      </c>
      <c r="L1230" s="12">
        <f t="shared" si="84"/>
        <v>0</v>
      </c>
      <c r="M1230" s="4">
        <f t="shared" si="85"/>
        <v>0</v>
      </c>
      <c r="N1230" s="4">
        <f t="shared" si="86"/>
        <v>0</v>
      </c>
      <c r="O1230" s="13">
        <f t="shared" si="87"/>
        <v>0</v>
      </c>
    </row>
    <row r="1231" spans="2:15" ht="13.8" thickBot="1">
      <c r="B1231" s="14">
        <v>11</v>
      </c>
      <c r="C1231" s="15" t="s">
        <v>151</v>
      </c>
      <c r="D1231" s="15" t="s">
        <v>154</v>
      </c>
      <c r="E1231" s="15">
        <v>3</v>
      </c>
      <c r="F1231" s="15">
        <v>7</v>
      </c>
      <c r="G1231" s="15">
        <v>10</v>
      </c>
      <c r="H1231" s="121"/>
      <c r="I1231" s="121"/>
      <c r="J1231" s="121"/>
      <c r="K1231" s="121">
        <v>0</v>
      </c>
      <c r="L1231" s="14">
        <f t="shared" si="84"/>
        <v>0</v>
      </c>
      <c r="M1231" s="15">
        <f t="shared" si="85"/>
        <v>0</v>
      </c>
      <c r="N1231" s="15">
        <f t="shared" si="86"/>
        <v>0</v>
      </c>
      <c r="O1231" s="16">
        <f t="shared" si="87"/>
        <v>0</v>
      </c>
    </row>
    <row r="1232" spans="2:15">
      <c r="B1232" s="9">
        <v>11</v>
      </c>
      <c r="C1232" s="10" t="s">
        <v>151</v>
      </c>
      <c r="D1232" s="10" t="s">
        <v>150</v>
      </c>
      <c r="E1232" s="93">
        <v>4</v>
      </c>
      <c r="F1232" s="93">
        <v>3</v>
      </c>
      <c r="G1232" s="10">
        <v>1</v>
      </c>
      <c r="H1232" s="120">
        <v>1.2360000000000753</v>
      </c>
      <c r="I1232" s="120">
        <v>0.46700000000001296</v>
      </c>
      <c r="J1232" s="120">
        <v>1.1730000000000018</v>
      </c>
      <c r="K1232" s="120">
        <v>2.87600000000009</v>
      </c>
      <c r="L1232" s="9">
        <f t="shared" si="84"/>
        <v>0.3494717992144003</v>
      </c>
      <c r="M1232" s="10">
        <f t="shared" si="85"/>
        <v>0.16643011384328651</v>
      </c>
      <c r="N1232" s="10">
        <f t="shared" si="86"/>
        <v>0.33705972632052489</v>
      </c>
      <c r="O1232" s="11">
        <f t="shared" si="87"/>
        <v>0.58838376837873785</v>
      </c>
    </row>
    <row r="1233" spans="2:15">
      <c r="B1233" s="12">
        <v>11</v>
      </c>
      <c r="C1233" s="4" t="s">
        <v>151</v>
      </c>
      <c r="D1233" s="4" t="s">
        <v>150</v>
      </c>
      <c r="E1233" s="4">
        <v>4</v>
      </c>
      <c r="F1233" s="4">
        <v>3</v>
      </c>
      <c r="G1233" s="4">
        <v>2</v>
      </c>
      <c r="H1233" s="115">
        <v>0.15000000000000568</v>
      </c>
      <c r="I1233" s="115">
        <v>0.1839999999999975</v>
      </c>
      <c r="J1233" s="115">
        <v>2.7330000000000041</v>
      </c>
      <c r="K1233" s="115">
        <v>3.0670000000000073</v>
      </c>
      <c r="L1233" s="12">
        <f t="shared" si="84"/>
        <v>6.0697840353613829E-2</v>
      </c>
      <c r="M1233" s="4">
        <f t="shared" si="85"/>
        <v>7.3351702386900058E-2</v>
      </c>
      <c r="N1233" s="4">
        <f t="shared" si="86"/>
        <v>0.57205798992630497</v>
      </c>
      <c r="O1233" s="13">
        <f t="shared" si="87"/>
        <v>0.60927417240458837</v>
      </c>
    </row>
    <row r="1234" spans="2:15">
      <c r="B1234" s="12">
        <v>11</v>
      </c>
      <c r="C1234" s="4" t="s">
        <v>151</v>
      </c>
      <c r="D1234" s="4" t="s">
        <v>150</v>
      </c>
      <c r="E1234" s="4">
        <v>4</v>
      </c>
      <c r="F1234" s="4">
        <v>3</v>
      </c>
      <c r="G1234" s="4">
        <v>3</v>
      </c>
      <c r="H1234" s="115">
        <v>0.25000000000002842</v>
      </c>
      <c r="I1234" s="115">
        <v>0.23399999999998045</v>
      </c>
      <c r="J1234" s="115">
        <v>1.1340000000000146</v>
      </c>
      <c r="K1234" s="115">
        <v>1.6180000000000234</v>
      </c>
      <c r="L1234" s="12">
        <f t="shared" si="84"/>
        <v>9.6910013008066287E-2</v>
      </c>
      <c r="M1234" s="4">
        <f t="shared" si="85"/>
        <v>9.1315159697216E-2</v>
      </c>
      <c r="N1234" s="4">
        <f t="shared" si="86"/>
        <v>0.32919441508845404</v>
      </c>
      <c r="O1234" s="13">
        <f t="shared" si="87"/>
        <v>0.41796964221474087</v>
      </c>
    </row>
    <row r="1235" spans="2:15">
      <c r="B1235" s="12">
        <v>11</v>
      </c>
      <c r="C1235" s="4" t="s">
        <v>151</v>
      </c>
      <c r="D1235" s="4" t="s">
        <v>150</v>
      </c>
      <c r="E1235" s="4">
        <v>4</v>
      </c>
      <c r="F1235" s="4">
        <v>3</v>
      </c>
      <c r="G1235" s="4">
        <v>4</v>
      </c>
      <c r="H1235" s="115"/>
      <c r="I1235" s="115"/>
      <c r="J1235" s="115"/>
      <c r="K1235" s="115">
        <v>0</v>
      </c>
      <c r="L1235" s="12">
        <f t="shared" si="84"/>
        <v>0</v>
      </c>
      <c r="M1235" s="4">
        <f t="shared" si="85"/>
        <v>0</v>
      </c>
      <c r="N1235" s="4">
        <f t="shared" si="86"/>
        <v>0</v>
      </c>
      <c r="O1235" s="13">
        <f t="shared" si="87"/>
        <v>0</v>
      </c>
    </row>
    <row r="1236" spans="2:15">
      <c r="B1236" s="12">
        <v>11</v>
      </c>
      <c r="C1236" s="4" t="s">
        <v>151</v>
      </c>
      <c r="D1236" s="4" t="s">
        <v>150</v>
      </c>
      <c r="E1236" s="4">
        <v>4</v>
      </c>
      <c r="F1236" s="4">
        <v>3</v>
      </c>
      <c r="G1236" s="4">
        <v>5</v>
      </c>
      <c r="H1236" s="115"/>
      <c r="I1236" s="115"/>
      <c r="J1236" s="115"/>
      <c r="K1236" s="115">
        <v>0</v>
      </c>
      <c r="L1236" s="12">
        <f t="shared" si="84"/>
        <v>0</v>
      </c>
      <c r="M1236" s="4">
        <f t="shared" si="85"/>
        <v>0</v>
      </c>
      <c r="N1236" s="4">
        <f t="shared" si="86"/>
        <v>0</v>
      </c>
      <c r="O1236" s="13">
        <f t="shared" si="87"/>
        <v>0</v>
      </c>
    </row>
    <row r="1237" spans="2:15">
      <c r="B1237" s="12">
        <v>11</v>
      </c>
      <c r="C1237" s="4" t="s">
        <v>151</v>
      </c>
      <c r="D1237" s="4" t="s">
        <v>150</v>
      </c>
      <c r="E1237" s="4">
        <v>4</v>
      </c>
      <c r="F1237" s="4">
        <v>3</v>
      </c>
      <c r="G1237" s="4">
        <v>6</v>
      </c>
      <c r="H1237" s="115"/>
      <c r="I1237" s="115"/>
      <c r="J1237" s="115"/>
      <c r="K1237" s="115">
        <v>0</v>
      </c>
      <c r="L1237" s="12">
        <f t="shared" si="84"/>
        <v>0</v>
      </c>
      <c r="M1237" s="4">
        <f t="shared" si="85"/>
        <v>0</v>
      </c>
      <c r="N1237" s="4">
        <f t="shared" si="86"/>
        <v>0</v>
      </c>
      <c r="O1237" s="13">
        <f t="shared" si="87"/>
        <v>0</v>
      </c>
    </row>
    <row r="1238" spans="2:15">
      <c r="B1238" s="12">
        <v>11</v>
      </c>
      <c r="C1238" s="4" t="s">
        <v>151</v>
      </c>
      <c r="D1238" s="4" t="s">
        <v>150</v>
      </c>
      <c r="E1238" s="4">
        <v>4</v>
      </c>
      <c r="F1238" s="4">
        <v>3</v>
      </c>
      <c r="G1238" s="4">
        <v>7</v>
      </c>
      <c r="H1238" s="115"/>
      <c r="I1238" s="115"/>
      <c r="J1238" s="115"/>
      <c r="K1238" s="115">
        <v>0</v>
      </c>
      <c r="L1238" s="12">
        <f t="shared" si="84"/>
        <v>0</v>
      </c>
      <c r="M1238" s="4">
        <f t="shared" si="85"/>
        <v>0</v>
      </c>
      <c r="N1238" s="4">
        <f t="shared" si="86"/>
        <v>0</v>
      </c>
      <c r="O1238" s="13">
        <f t="shared" si="87"/>
        <v>0</v>
      </c>
    </row>
    <row r="1239" spans="2:15">
      <c r="B1239" s="12">
        <v>11</v>
      </c>
      <c r="C1239" s="4" t="s">
        <v>151</v>
      </c>
      <c r="D1239" s="4" t="s">
        <v>150</v>
      </c>
      <c r="E1239" s="4">
        <v>4</v>
      </c>
      <c r="F1239" s="4">
        <v>3</v>
      </c>
      <c r="G1239" s="4">
        <v>8</v>
      </c>
      <c r="H1239" s="115"/>
      <c r="I1239" s="115"/>
      <c r="J1239" s="115"/>
      <c r="K1239" s="115">
        <v>0</v>
      </c>
      <c r="L1239" s="12">
        <f t="shared" si="84"/>
        <v>0</v>
      </c>
      <c r="M1239" s="4">
        <f t="shared" si="85"/>
        <v>0</v>
      </c>
      <c r="N1239" s="4">
        <f t="shared" si="86"/>
        <v>0</v>
      </c>
      <c r="O1239" s="13">
        <f t="shared" si="87"/>
        <v>0</v>
      </c>
    </row>
    <row r="1240" spans="2:15">
      <c r="B1240" s="12">
        <v>11</v>
      </c>
      <c r="C1240" s="4" t="s">
        <v>151</v>
      </c>
      <c r="D1240" s="4" t="s">
        <v>150</v>
      </c>
      <c r="E1240" s="4">
        <v>4</v>
      </c>
      <c r="F1240" s="4">
        <v>3</v>
      </c>
      <c r="G1240" s="4">
        <v>9</v>
      </c>
      <c r="H1240" s="115"/>
      <c r="I1240" s="115"/>
      <c r="J1240" s="115"/>
      <c r="K1240" s="115">
        <v>0</v>
      </c>
      <c r="L1240" s="12">
        <f t="shared" si="84"/>
        <v>0</v>
      </c>
      <c r="M1240" s="4">
        <f t="shared" si="85"/>
        <v>0</v>
      </c>
      <c r="N1240" s="4">
        <f t="shared" si="86"/>
        <v>0</v>
      </c>
      <c r="O1240" s="13">
        <f t="shared" si="87"/>
        <v>0</v>
      </c>
    </row>
    <row r="1241" spans="2:15" ht="13.8" thickBot="1">
      <c r="B1241" s="14">
        <v>11</v>
      </c>
      <c r="C1241" s="15" t="s">
        <v>151</v>
      </c>
      <c r="D1241" s="15" t="s">
        <v>150</v>
      </c>
      <c r="E1241" s="15">
        <v>4</v>
      </c>
      <c r="F1241" s="15">
        <v>3</v>
      </c>
      <c r="G1241" s="15">
        <v>10</v>
      </c>
      <c r="H1241" s="121"/>
      <c r="I1241" s="121"/>
      <c r="J1241" s="121"/>
      <c r="K1241" s="121">
        <v>0</v>
      </c>
      <c r="L1241" s="14">
        <f t="shared" si="84"/>
        <v>0</v>
      </c>
      <c r="M1241" s="15">
        <f t="shared" si="85"/>
        <v>0</v>
      </c>
      <c r="N1241" s="15">
        <f t="shared" si="86"/>
        <v>0</v>
      </c>
      <c r="O1241" s="16">
        <f t="shared" si="87"/>
        <v>0</v>
      </c>
    </row>
    <row r="1242" spans="2:15">
      <c r="B1242" s="9">
        <v>11</v>
      </c>
      <c r="C1242" s="10" t="s">
        <v>151</v>
      </c>
      <c r="D1242" s="10" t="s">
        <v>149</v>
      </c>
      <c r="E1242" s="93">
        <v>5</v>
      </c>
      <c r="F1242" s="93">
        <v>11</v>
      </c>
      <c r="G1242" s="10">
        <v>1</v>
      </c>
      <c r="H1242" s="120"/>
      <c r="I1242" s="120"/>
      <c r="J1242" s="120">
        <v>1.8490000000000464</v>
      </c>
      <c r="K1242" s="120">
        <v>1.8490000000000464</v>
      </c>
      <c r="L1242" s="9">
        <f t="shared" si="84"/>
        <v>0</v>
      </c>
      <c r="M1242" s="10">
        <f t="shared" si="85"/>
        <v>0</v>
      </c>
      <c r="N1242" s="10">
        <f t="shared" si="86"/>
        <v>0.45469244923948393</v>
      </c>
      <c r="O1242" s="11">
        <f t="shared" si="87"/>
        <v>0.45469244923948393</v>
      </c>
    </row>
    <row r="1243" spans="2:15">
      <c r="B1243" s="12">
        <v>11</v>
      </c>
      <c r="C1243" s="4" t="s">
        <v>151</v>
      </c>
      <c r="D1243" s="4" t="s">
        <v>149</v>
      </c>
      <c r="E1243" s="4">
        <v>5</v>
      </c>
      <c r="F1243" s="4">
        <v>11</v>
      </c>
      <c r="G1243" s="4">
        <v>2</v>
      </c>
      <c r="H1243" s="115">
        <v>1.8849999999999909</v>
      </c>
      <c r="I1243" s="115">
        <v>1.4320000000001301</v>
      </c>
      <c r="J1243" s="115">
        <v>3.8870000000000573</v>
      </c>
      <c r="K1243" s="115">
        <v>7.2040000000001783</v>
      </c>
      <c r="L1243" s="12">
        <f t="shared" si="84"/>
        <v>0.46014581749174888</v>
      </c>
      <c r="M1243" s="4">
        <f t="shared" si="85"/>
        <v>0.38596357060072056</v>
      </c>
      <c r="N1243" s="4">
        <f t="shared" si="86"/>
        <v>0.68904233902817691</v>
      </c>
      <c r="O1243" s="13">
        <f t="shared" si="87"/>
        <v>0.91402565169633809</v>
      </c>
    </row>
    <row r="1244" spans="2:15">
      <c r="B1244" s="12">
        <v>11</v>
      </c>
      <c r="C1244" s="4" t="s">
        <v>151</v>
      </c>
      <c r="D1244" s="4" t="s">
        <v>149</v>
      </c>
      <c r="E1244" s="4">
        <v>5</v>
      </c>
      <c r="F1244" s="4">
        <v>11</v>
      </c>
      <c r="G1244" s="4">
        <v>3</v>
      </c>
      <c r="H1244" s="115">
        <v>1.5789999999999509</v>
      </c>
      <c r="I1244" s="115">
        <v>0.21699999999998454</v>
      </c>
      <c r="J1244" s="115">
        <v>0.74900000000002365</v>
      </c>
      <c r="K1244" s="115">
        <v>2.5449999999999591</v>
      </c>
      <c r="L1244" s="12">
        <f t="shared" si="84"/>
        <v>0.41145134213792922</v>
      </c>
      <c r="M1244" s="4">
        <f t="shared" si="85"/>
        <v>8.5290578230059477E-2</v>
      </c>
      <c r="N1244" s="4">
        <f t="shared" si="86"/>
        <v>0.24278980947868239</v>
      </c>
      <c r="O1244" s="13">
        <f t="shared" si="87"/>
        <v>0.54961623951908034</v>
      </c>
    </row>
    <row r="1245" spans="2:15">
      <c r="B1245" s="12">
        <v>11</v>
      </c>
      <c r="C1245" s="4" t="s">
        <v>151</v>
      </c>
      <c r="D1245" s="4" t="s">
        <v>149</v>
      </c>
      <c r="E1245" s="4">
        <v>5</v>
      </c>
      <c r="F1245" s="4">
        <v>11</v>
      </c>
      <c r="G1245" s="4">
        <v>4</v>
      </c>
      <c r="H1245" s="115">
        <v>0.73300000000006094</v>
      </c>
      <c r="I1245" s="115"/>
      <c r="J1245" s="115"/>
      <c r="K1245" s="115">
        <v>0.73300000000006094</v>
      </c>
      <c r="L1245" s="12">
        <f t="shared" si="84"/>
        <v>0.23879856271393227</v>
      </c>
      <c r="M1245" s="4">
        <f t="shared" si="85"/>
        <v>0</v>
      </c>
      <c r="N1245" s="4">
        <f t="shared" si="86"/>
        <v>0</v>
      </c>
      <c r="O1245" s="13">
        <f t="shared" si="87"/>
        <v>0.23879856271393227</v>
      </c>
    </row>
    <row r="1246" spans="2:15">
      <c r="B1246" s="12">
        <v>11</v>
      </c>
      <c r="C1246" s="4" t="s">
        <v>151</v>
      </c>
      <c r="D1246" s="4" t="s">
        <v>149</v>
      </c>
      <c r="E1246" s="4">
        <v>5</v>
      </c>
      <c r="F1246" s="4">
        <v>11</v>
      </c>
      <c r="G1246" s="4">
        <v>5</v>
      </c>
      <c r="H1246" s="115"/>
      <c r="I1246" s="115"/>
      <c r="J1246" s="115"/>
      <c r="K1246" s="115">
        <v>0</v>
      </c>
      <c r="L1246" s="12">
        <f t="shared" si="84"/>
        <v>0</v>
      </c>
      <c r="M1246" s="4">
        <f t="shared" si="85"/>
        <v>0</v>
      </c>
      <c r="N1246" s="4">
        <f t="shared" si="86"/>
        <v>0</v>
      </c>
      <c r="O1246" s="13">
        <f t="shared" si="87"/>
        <v>0</v>
      </c>
    </row>
    <row r="1247" spans="2:15">
      <c r="B1247" s="12">
        <v>11</v>
      </c>
      <c r="C1247" s="4" t="s">
        <v>151</v>
      </c>
      <c r="D1247" s="4" t="s">
        <v>149</v>
      </c>
      <c r="E1247" s="4">
        <v>5</v>
      </c>
      <c r="F1247" s="4">
        <v>11</v>
      </c>
      <c r="G1247" s="4">
        <v>6</v>
      </c>
      <c r="H1247" s="115"/>
      <c r="I1247" s="115"/>
      <c r="J1247" s="115"/>
      <c r="K1247" s="115">
        <v>0</v>
      </c>
      <c r="L1247" s="12">
        <f t="shared" si="84"/>
        <v>0</v>
      </c>
      <c r="M1247" s="4">
        <f t="shared" si="85"/>
        <v>0</v>
      </c>
      <c r="N1247" s="4">
        <f t="shared" si="86"/>
        <v>0</v>
      </c>
      <c r="O1247" s="13">
        <f t="shared" si="87"/>
        <v>0</v>
      </c>
    </row>
    <row r="1248" spans="2:15">
      <c r="B1248" s="12">
        <v>11</v>
      </c>
      <c r="C1248" s="4" t="s">
        <v>151</v>
      </c>
      <c r="D1248" s="4" t="s">
        <v>149</v>
      </c>
      <c r="E1248" s="4">
        <v>5</v>
      </c>
      <c r="F1248" s="4">
        <v>11</v>
      </c>
      <c r="G1248" s="4">
        <v>7</v>
      </c>
      <c r="H1248" s="115"/>
      <c r="I1248" s="115"/>
      <c r="J1248" s="115"/>
      <c r="K1248" s="115">
        <v>0</v>
      </c>
      <c r="L1248" s="12">
        <f t="shared" si="84"/>
        <v>0</v>
      </c>
      <c r="M1248" s="4">
        <f t="shared" si="85"/>
        <v>0</v>
      </c>
      <c r="N1248" s="4">
        <f t="shared" si="86"/>
        <v>0</v>
      </c>
      <c r="O1248" s="13">
        <f t="shared" si="87"/>
        <v>0</v>
      </c>
    </row>
    <row r="1249" spans="2:15">
      <c r="B1249" s="12">
        <v>11</v>
      </c>
      <c r="C1249" s="4" t="s">
        <v>151</v>
      </c>
      <c r="D1249" s="4" t="s">
        <v>149</v>
      </c>
      <c r="E1249" s="4">
        <v>5</v>
      </c>
      <c r="F1249" s="4">
        <v>11</v>
      </c>
      <c r="G1249" s="4">
        <v>8</v>
      </c>
      <c r="H1249" s="115"/>
      <c r="I1249" s="115"/>
      <c r="J1249" s="115"/>
      <c r="K1249" s="115">
        <v>0</v>
      </c>
      <c r="L1249" s="12">
        <f t="shared" si="84"/>
        <v>0</v>
      </c>
      <c r="M1249" s="4">
        <f t="shared" si="85"/>
        <v>0</v>
      </c>
      <c r="N1249" s="4">
        <f t="shared" si="86"/>
        <v>0</v>
      </c>
      <c r="O1249" s="13">
        <f t="shared" si="87"/>
        <v>0</v>
      </c>
    </row>
    <row r="1250" spans="2:15">
      <c r="B1250" s="12">
        <v>11</v>
      </c>
      <c r="C1250" s="4" t="s">
        <v>151</v>
      </c>
      <c r="D1250" s="4" t="s">
        <v>149</v>
      </c>
      <c r="E1250" s="4">
        <v>5</v>
      </c>
      <c r="F1250" s="4">
        <v>11</v>
      </c>
      <c r="G1250" s="4">
        <v>9</v>
      </c>
      <c r="H1250" s="115"/>
      <c r="I1250" s="115"/>
      <c r="J1250" s="115"/>
      <c r="K1250" s="115">
        <v>0</v>
      </c>
      <c r="L1250" s="12">
        <f t="shared" si="84"/>
        <v>0</v>
      </c>
      <c r="M1250" s="4">
        <f t="shared" si="85"/>
        <v>0</v>
      </c>
      <c r="N1250" s="4">
        <f t="shared" si="86"/>
        <v>0</v>
      </c>
      <c r="O1250" s="13">
        <f t="shared" si="87"/>
        <v>0</v>
      </c>
    </row>
    <row r="1251" spans="2:15" ht="13.8" thickBot="1">
      <c r="B1251" s="14">
        <v>11</v>
      </c>
      <c r="C1251" s="15" t="s">
        <v>151</v>
      </c>
      <c r="D1251" s="15" t="s">
        <v>149</v>
      </c>
      <c r="E1251" s="15">
        <v>5</v>
      </c>
      <c r="F1251" s="15">
        <v>11</v>
      </c>
      <c r="G1251" s="15">
        <v>10</v>
      </c>
      <c r="H1251" s="121"/>
      <c r="I1251" s="121"/>
      <c r="J1251" s="121"/>
      <c r="K1251" s="121">
        <v>0</v>
      </c>
      <c r="L1251" s="14">
        <f t="shared" si="84"/>
        <v>0</v>
      </c>
      <c r="M1251" s="15">
        <f t="shared" si="85"/>
        <v>0</v>
      </c>
      <c r="N1251" s="15">
        <f t="shared" si="86"/>
        <v>0</v>
      </c>
      <c r="O1251" s="16">
        <f t="shared" si="87"/>
        <v>0</v>
      </c>
    </row>
    <row r="1252" spans="2:15">
      <c r="B1252" s="9">
        <v>11</v>
      </c>
      <c r="C1252" s="10" t="s">
        <v>151</v>
      </c>
      <c r="D1252" s="10" t="s">
        <v>154</v>
      </c>
      <c r="E1252" s="93">
        <v>6</v>
      </c>
      <c r="F1252" s="93">
        <v>5</v>
      </c>
      <c r="G1252" s="10">
        <v>1</v>
      </c>
      <c r="H1252" s="120">
        <v>0.76600000000001955</v>
      </c>
      <c r="I1252" s="120"/>
      <c r="J1252" s="120">
        <v>9.9999999999965894E-2</v>
      </c>
      <c r="K1252" s="120">
        <v>0.86599999999998545</v>
      </c>
      <c r="L1252" s="9">
        <f t="shared" si="84"/>
        <v>0.24699069924155459</v>
      </c>
      <c r="M1252" s="10">
        <f t="shared" si="85"/>
        <v>0</v>
      </c>
      <c r="N1252" s="10">
        <f t="shared" si="86"/>
        <v>4.1392685158211574E-2</v>
      </c>
      <c r="O1252" s="11">
        <f t="shared" si="87"/>
        <v>0.27091163941047774</v>
      </c>
    </row>
    <row r="1253" spans="2:15">
      <c r="B1253" s="12">
        <v>11</v>
      </c>
      <c r="C1253" s="4" t="s">
        <v>151</v>
      </c>
      <c r="D1253" s="4" t="s">
        <v>154</v>
      </c>
      <c r="E1253" s="4">
        <v>6</v>
      </c>
      <c r="F1253" s="4">
        <v>5</v>
      </c>
      <c r="G1253" s="4">
        <v>2</v>
      </c>
      <c r="H1253" s="115">
        <v>0.10000000000002274</v>
      </c>
      <c r="I1253" s="115">
        <v>0.10099999999999909</v>
      </c>
      <c r="J1253" s="115">
        <v>9.9999999999965894E-2</v>
      </c>
      <c r="K1253" s="115">
        <v>0.30099999999998772</v>
      </c>
      <c r="L1253" s="12">
        <f t="shared" si="84"/>
        <v>4.1392685158234015E-2</v>
      </c>
      <c r="M1253" s="4">
        <f t="shared" si="85"/>
        <v>4.1787318971751419E-2</v>
      </c>
      <c r="N1253" s="4">
        <f t="shared" si="86"/>
        <v>4.1392685158211574E-2</v>
      </c>
      <c r="O1253" s="13">
        <f t="shared" si="87"/>
        <v>0.11427729656158216</v>
      </c>
    </row>
    <row r="1254" spans="2:15">
      <c r="B1254" s="12">
        <v>11</v>
      </c>
      <c r="C1254" s="4" t="s">
        <v>151</v>
      </c>
      <c r="D1254" s="4" t="s">
        <v>154</v>
      </c>
      <c r="E1254" s="4">
        <v>6</v>
      </c>
      <c r="F1254" s="4">
        <v>5</v>
      </c>
      <c r="G1254" s="4">
        <v>3</v>
      </c>
      <c r="H1254" s="115">
        <v>0.58299999999996999</v>
      </c>
      <c r="I1254" s="115"/>
      <c r="J1254" s="115"/>
      <c r="K1254" s="115">
        <v>0.58299999999996999</v>
      </c>
      <c r="L1254" s="12">
        <f t="shared" si="84"/>
        <v>0.19948091486234767</v>
      </c>
      <c r="M1254" s="4">
        <f t="shared" si="85"/>
        <v>0</v>
      </c>
      <c r="N1254" s="4">
        <f t="shared" si="86"/>
        <v>0</v>
      </c>
      <c r="O1254" s="13">
        <f t="shared" si="87"/>
        <v>0.19948091486234767</v>
      </c>
    </row>
    <row r="1255" spans="2:15">
      <c r="B1255" s="12">
        <v>11</v>
      </c>
      <c r="C1255" s="4" t="s">
        <v>151</v>
      </c>
      <c r="D1255" s="4" t="s">
        <v>154</v>
      </c>
      <c r="E1255" s="4">
        <v>6</v>
      </c>
      <c r="F1255" s="4">
        <v>5</v>
      </c>
      <c r="G1255" s="4">
        <v>4</v>
      </c>
      <c r="H1255" s="115"/>
      <c r="I1255" s="115"/>
      <c r="J1255" s="115"/>
      <c r="K1255" s="115">
        <v>0</v>
      </c>
      <c r="L1255" s="12">
        <f t="shared" ref="L1255:L1318" si="88">LOG10(H1255+1)</f>
        <v>0</v>
      </c>
      <c r="M1255" s="4">
        <f t="shared" ref="M1255:M1318" si="89">LOG10(I1255+1)</f>
        <v>0</v>
      </c>
      <c r="N1255" s="4">
        <f t="shared" ref="N1255:N1318" si="90">LOG10(J1255+1)</f>
        <v>0</v>
      </c>
      <c r="O1255" s="13">
        <f t="shared" ref="O1255:O1318" si="91">LOG10(K1255+1)</f>
        <v>0</v>
      </c>
    </row>
    <row r="1256" spans="2:15">
      <c r="B1256" s="12">
        <v>11</v>
      </c>
      <c r="C1256" s="4" t="s">
        <v>151</v>
      </c>
      <c r="D1256" s="4" t="s">
        <v>154</v>
      </c>
      <c r="E1256" s="4">
        <v>6</v>
      </c>
      <c r="F1256" s="4">
        <v>5</v>
      </c>
      <c r="G1256" s="4">
        <v>5</v>
      </c>
      <c r="H1256" s="115"/>
      <c r="I1256" s="115"/>
      <c r="J1256" s="115"/>
      <c r="K1256" s="115">
        <v>0</v>
      </c>
      <c r="L1256" s="12">
        <f t="shared" si="88"/>
        <v>0</v>
      </c>
      <c r="M1256" s="4">
        <f t="shared" si="89"/>
        <v>0</v>
      </c>
      <c r="N1256" s="4">
        <f t="shared" si="90"/>
        <v>0</v>
      </c>
      <c r="O1256" s="13">
        <f t="shared" si="91"/>
        <v>0</v>
      </c>
    </row>
    <row r="1257" spans="2:15">
      <c r="B1257" s="12">
        <v>11</v>
      </c>
      <c r="C1257" s="4" t="s">
        <v>151</v>
      </c>
      <c r="D1257" s="4" t="s">
        <v>154</v>
      </c>
      <c r="E1257" s="4">
        <v>6</v>
      </c>
      <c r="F1257" s="4">
        <v>5</v>
      </c>
      <c r="G1257" s="4">
        <v>6</v>
      </c>
      <c r="H1257" s="115"/>
      <c r="I1257" s="115"/>
      <c r="J1257" s="115"/>
      <c r="K1257" s="115">
        <v>0</v>
      </c>
      <c r="L1257" s="12">
        <f t="shared" si="88"/>
        <v>0</v>
      </c>
      <c r="M1257" s="4">
        <f t="shared" si="89"/>
        <v>0</v>
      </c>
      <c r="N1257" s="4">
        <f t="shared" si="90"/>
        <v>0</v>
      </c>
      <c r="O1257" s="13">
        <f t="shared" si="91"/>
        <v>0</v>
      </c>
    </row>
    <row r="1258" spans="2:15">
      <c r="B1258" s="12">
        <v>11</v>
      </c>
      <c r="C1258" s="4" t="s">
        <v>151</v>
      </c>
      <c r="D1258" s="4" t="s">
        <v>154</v>
      </c>
      <c r="E1258" s="4">
        <v>6</v>
      </c>
      <c r="F1258" s="4">
        <v>5</v>
      </c>
      <c r="G1258" s="4">
        <v>7</v>
      </c>
      <c r="H1258" s="115"/>
      <c r="I1258" s="115"/>
      <c r="J1258" s="115"/>
      <c r="K1258" s="115">
        <v>0</v>
      </c>
      <c r="L1258" s="12">
        <f t="shared" si="88"/>
        <v>0</v>
      </c>
      <c r="M1258" s="4">
        <f t="shared" si="89"/>
        <v>0</v>
      </c>
      <c r="N1258" s="4">
        <f t="shared" si="90"/>
        <v>0</v>
      </c>
      <c r="O1258" s="13">
        <f t="shared" si="91"/>
        <v>0</v>
      </c>
    </row>
    <row r="1259" spans="2:15">
      <c r="B1259" s="12">
        <v>11</v>
      </c>
      <c r="C1259" s="4" t="s">
        <v>151</v>
      </c>
      <c r="D1259" s="4" t="s">
        <v>154</v>
      </c>
      <c r="E1259" s="4">
        <v>6</v>
      </c>
      <c r="F1259" s="4">
        <v>5</v>
      </c>
      <c r="G1259" s="4">
        <v>8</v>
      </c>
      <c r="H1259" s="115"/>
      <c r="I1259" s="115"/>
      <c r="J1259" s="115"/>
      <c r="K1259" s="115">
        <v>0</v>
      </c>
      <c r="L1259" s="12">
        <f t="shared" si="88"/>
        <v>0</v>
      </c>
      <c r="M1259" s="4">
        <f t="shared" si="89"/>
        <v>0</v>
      </c>
      <c r="N1259" s="4">
        <f t="shared" si="90"/>
        <v>0</v>
      </c>
      <c r="O1259" s="13">
        <f t="shared" si="91"/>
        <v>0</v>
      </c>
    </row>
    <row r="1260" spans="2:15">
      <c r="B1260" s="12">
        <v>11</v>
      </c>
      <c r="C1260" s="4" t="s">
        <v>151</v>
      </c>
      <c r="D1260" s="4" t="s">
        <v>154</v>
      </c>
      <c r="E1260" s="4">
        <v>6</v>
      </c>
      <c r="F1260" s="4">
        <v>5</v>
      </c>
      <c r="G1260" s="4">
        <v>9</v>
      </c>
      <c r="H1260" s="115"/>
      <c r="I1260" s="115"/>
      <c r="J1260" s="115"/>
      <c r="K1260" s="115">
        <v>0</v>
      </c>
      <c r="L1260" s="12">
        <f t="shared" si="88"/>
        <v>0</v>
      </c>
      <c r="M1260" s="4">
        <f t="shared" si="89"/>
        <v>0</v>
      </c>
      <c r="N1260" s="4">
        <f t="shared" si="90"/>
        <v>0</v>
      </c>
      <c r="O1260" s="13">
        <f t="shared" si="91"/>
        <v>0</v>
      </c>
    </row>
    <row r="1261" spans="2:15" ht="13.8" thickBot="1">
      <c r="B1261" s="14">
        <v>11</v>
      </c>
      <c r="C1261" s="15" t="s">
        <v>151</v>
      </c>
      <c r="D1261" s="15" t="s">
        <v>154</v>
      </c>
      <c r="E1261" s="15">
        <v>6</v>
      </c>
      <c r="F1261" s="15">
        <v>5</v>
      </c>
      <c r="G1261" s="15">
        <v>10</v>
      </c>
      <c r="H1261" s="121"/>
      <c r="I1261" s="121"/>
      <c r="J1261" s="121"/>
      <c r="K1261" s="121">
        <v>0</v>
      </c>
      <c r="L1261" s="14">
        <f t="shared" si="88"/>
        <v>0</v>
      </c>
      <c r="M1261" s="15">
        <f t="shared" si="89"/>
        <v>0</v>
      </c>
      <c r="N1261" s="15">
        <f t="shared" si="90"/>
        <v>0</v>
      </c>
      <c r="O1261" s="16">
        <f t="shared" si="91"/>
        <v>0</v>
      </c>
    </row>
    <row r="1262" spans="2:15">
      <c r="B1262" s="9">
        <v>11</v>
      </c>
      <c r="C1262" s="10" t="s">
        <v>152</v>
      </c>
      <c r="D1262" s="10" t="s">
        <v>149</v>
      </c>
      <c r="E1262" s="93">
        <v>7</v>
      </c>
      <c r="F1262" s="93">
        <v>10</v>
      </c>
      <c r="G1262" s="10">
        <v>1</v>
      </c>
      <c r="H1262" s="120">
        <v>0.11700000000001864</v>
      </c>
      <c r="I1262" s="120">
        <v>0.54900000000003502</v>
      </c>
      <c r="J1262" s="120"/>
      <c r="K1262" s="120">
        <v>0.66600000000005366</v>
      </c>
      <c r="L1262" s="9">
        <f t="shared" si="88"/>
        <v>4.8053173115616306E-2</v>
      </c>
      <c r="M1262" s="10">
        <f t="shared" si="89"/>
        <v>0.19005141775921583</v>
      </c>
      <c r="N1262" s="10">
        <f t="shared" si="90"/>
        <v>0</v>
      </c>
      <c r="O1262" s="11">
        <f t="shared" si="91"/>
        <v>0.22167499707078278</v>
      </c>
    </row>
    <row r="1263" spans="2:15">
      <c r="B1263" s="12">
        <v>11</v>
      </c>
      <c r="C1263" s="4" t="s">
        <v>152</v>
      </c>
      <c r="D1263" s="4" t="s">
        <v>149</v>
      </c>
      <c r="E1263" s="4">
        <v>7</v>
      </c>
      <c r="F1263" s="4">
        <v>10</v>
      </c>
      <c r="G1263" s="4">
        <v>2</v>
      </c>
      <c r="H1263" s="115">
        <v>0.28300000000001546</v>
      </c>
      <c r="I1263" s="115">
        <v>0.56600000000003092</v>
      </c>
      <c r="J1263" s="115">
        <v>0.44900000000001228</v>
      </c>
      <c r="K1263" s="115">
        <v>1.2980000000000587</v>
      </c>
      <c r="L1263" s="12">
        <f t="shared" si="88"/>
        <v>0.10822665637493374</v>
      </c>
      <c r="M1263" s="4">
        <f t="shared" si="89"/>
        <v>0.19479175772193316</v>
      </c>
      <c r="N1263" s="4">
        <f t="shared" si="90"/>
        <v>0.16106838547117827</v>
      </c>
      <c r="O1263" s="13">
        <f t="shared" si="91"/>
        <v>0.36135002435227748</v>
      </c>
    </row>
    <row r="1264" spans="2:15">
      <c r="B1264" s="12">
        <v>11</v>
      </c>
      <c r="C1264" s="4" t="s">
        <v>152</v>
      </c>
      <c r="D1264" s="4" t="s">
        <v>149</v>
      </c>
      <c r="E1264" s="4">
        <v>7</v>
      </c>
      <c r="F1264" s="4">
        <v>10</v>
      </c>
      <c r="G1264" s="4">
        <v>3</v>
      </c>
      <c r="H1264" s="115"/>
      <c r="I1264" s="115">
        <v>0.53300000000001546</v>
      </c>
      <c r="J1264" s="115"/>
      <c r="K1264" s="115">
        <v>0.53300000000001546</v>
      </c>
      <c r="L1264" s="12">
        <f t="shared" si="88"/>
        <v>0</v>
      </c>
      <c r="M1264" s="4">
        <f t="shared" si="89"/>
        <v>0.18554215485437955</v>
      </c>
      <c r="N1264" s="4">
        <f t="shared" si="90"/>
        <v>0</v>
      </c>
      <c r="O1264" s="13">
        <f t="shared" si="91"/>
        <v>0.18554215485437955</v>
      </c>
    </row>
    <row r="1265" spans="2:15">
      <c r="B1265" s="12">
        <v>11</v>
      </c>
      <c r="C1265" s="4" t="s">
        <v>152</v>
      </c>
      <c r="D1265" s="4" t="s">
        <v>149</v>
      </c>
      <c r="E1265" s="4">
        <v>7</v>
      </c>
      <c r="F1265" s="4">
        <v>10</v>
      </c>
      <c r="G1265" s="4">
        <v>4</v>
      </c>
      <c r="H1265" s="115"/>
      <c r="I1265" s="115"/>
      <c r="J1265" s="115"/>
      <c r="K1265" s="115">
        <v>0</v>
      </c>
      <c r="L1265" s="12">
        <f t="shared" si="88"/>
        <v>0</v>
      </c>
      <c r="M1265" s="4">
        <f t="shared" si="89"/>
        <v>0</v>
      </c>
      <c r="N1265" s="4">
        <f t="shared" si="90"/>
        <v>0</v>
      </c>
      <c r="O1265" s="13">
        <f t="shared" si="91"/>
        <v>0</v>
      </c>
    </row>
    <row r="1266" spans="2:15">
      <c r="B1266" s="12">
        <v>11</v>
      </c>
      <c r="C1266" s="4" t="s">
        <v>152</v>
      </c>
      <c r="D1266" s="4" t="s">
        <v>149</v>
      </c>
      <c r="E1266" s="4">
        <v>7</v>
      </c>
      <c r="F1266" s="4">
        <v>10</v>
      </c>
      <c r="G1266" s="4">
        <v>5</v>
      </c>
      <c r="H1266" s="115"/>
      <c r="I1266" s="115"/>
      <c r="J1266" s="115"/>
      <c r="K1266" s="115">
        <v>0</v>
      </c>
      <c r="L1266" s="12">
        <f t="shared" si="88"/>
        <v>0</v>
      </c>
      <c r="M1266" s="4">
        <f t="shared" si="89"/>
        <v>0</v>
      </c>
      <c r="N1266" s="4">
        <f t="shared" si="90"/>
        <v>0</v>
      </c>
      <c r="O1266" s="13">
        <f t="shared" si="91"/>
        <v>0</v>
      </c>
    </row>
    <row r="1267" spans="2:15">
      <c r="B1267" s="12">
        <v>11</v>
      </c>
      <c r="C1267" s="4" t="s">
        <v>152</v>
      </c>
      <c r="D1267" s="4" t="s">
        <v>149</v>
      </c>
      <c r="E1267" s="4">
        <v>7</v>
      </c>
      <c r="F1267" s="4">
        <v>10</v>
      </c>
      <c r="G1267" s="4">
        <v>6</v>
      </c>
      <c r="H1267" s="115"/>
      <c r="I1267" s="115"/>
      <c r="J1267" s="115"/>
      <c r="K1267" s="115">
        <v>0</v>
      </c>
      <c r="L1267" s="12">
        <f t="shared" si="88"/>
        <v>0</v>
      </c>
      <c r="M1267" s="4">
        <f t="shared" si="89"/>
        <v>0</v>
      </c>
      <c r="N1267" s="4">
        <f t="shared" si="90"/>
        <v>0</v>
      </c>
      <c r="O1267" s="13">
        <f t="shared" si="91"/>
        <v>0</v>
      </c>
    </row>
    <row r="1268" spans="2:15">
      <c r="B1268" s="12">
        <v>11</v>
      </c>
      <c r="C1268" s="4" t="s">
        <v>152</v>
      </c>
      <c r="D1268" s="4" t="s">
        <v>149</v>
      </c>
      <c r="E1268" s="4">
        <v>7</v>
      </c>
      <c r="F1268" s="4">
        <v>10</v>
      </c>
      <c r="G1268" s="4">
        <v>7</v>
      </c>
      <c r="H1268" s="115"/>
      <c r="I1268" s="115"/>
      <c r="J1268" s="115"/>
      <c r="K1268" s="115">
        <v>0</v>
      </c>
      <c r="L1268" s="12">
        <f t="shared" si="88"/>
        <v>0</v>
      </c>
      <c r="M1268" s="4">
        <f t="shared" si="89"/>
        <v>0</v>
      </c>
      <c r="N1268" s="4">
        <f t="shared" si="90"/>
        <v>0</v>
      </c>
      <c r="O1268" s="13">
        <f t="shared" si="91"/>
        <v>0</v>
      </c>
    </row>
    <row r="1269" spans="2:15">
      <c r="B1269" s="12">
        <v>11</v>
      </c>
      <c r="C1269" s="4" t="s">
        <v>152</v>
      </c>
      <c r="D1269" s="4" t="s">
        <v>149</v>
      </c>
      <c r="E1269" s="4">
        <v>7</v>
      </c>
      <c r="F1269" s="4">
        <v>10</v>
      </c>
      <c r="G1269" s="4">
        <v>8</v>
      </c>
      <c r="H1269" s="115"/>
      <c r="I1269" s="115"/>
      <c r="J1269" s="115"/>
      <c r="K1269" s="115">
        <v>0</v>
      </c>
      <c r="L1269" s="12">
        <f t="shared" si="88"/>
        <v>0</v>
      </c>
      <c r="M1269" s="4">
        <f t="shared" si="89"/>
        <v>0</v>
      </c>
      <c r="N1269" s="4">
        <f t="shared" si="90"/>
        <v>0</v>
      </c>
      <c r="O1269" s="13">
        <f t="shared" si="91"/>
        <v>0</v>
      </c>
    </row>
    <row r="1270" spans="2:15">
      <c r="B1270" s="12">
        <v>11</v>
      </c>
      <c r="C1270" s="4" t="s">
        <v>152</v>
      </c>
      <c r="D1270" s="4" t="s">
        <v>149</v>
      </c>
      <c r="E1270" s="4">
        <v>7</v>
      </c>
      <c r="F1270" s="4">
        <v>10</v>
      </c>
      <c r="G1270" s="4">
        <v>9</v>
      </c>
      <c r="H1270" s="115"/>
      <c r="I1270" s="115"/>
      <c r="J1270" s="115"/>
      <c r="K1270" s="115">
        <v>0</v>
      </c>
      <c r="L1270" s="12">
        <f t="shared" si="88"/>
        <v>0</v>
      </c>
      <c r="M1270" s="4">
        <f t="shared" si="89"/>
        <v>0</v>
      </c>
      <c r="N1270" s="4">
        <f t="shared" si="90"/>
        <v>0</v>
      </c>
      <c r="O1270" s="13">
        <f t="shared" si="91"/>
        <v>0</v>
      </c>
    </row>
    <row r="1271" spans="2:15" ht="13.8" thickBot="1">
      <c r="B1271" s="14">
        <v>11</v>
      </c>
      <c r="C1271" s="15" t="s">
        <v>152</v>
      </c>
      <c r="D1271" s="15" t="s">
        <v>149</v>
      </c>
      <c r="E1271" s="15">
        <v>7</v>
      </c>
      <c r="F1271" s="15">
        <v>10</v>
      </c>
      <c r="G1271" s="15">
        <v>10</v>
      </c>
      <c r="H1271" s="121"/>
      <c r="I1271" s="121"/>
      <c r="J1271" s="121"/>
      <c r="K1271" s="121">
        <v>0</v>
      </c>
      <c r="L1271" s="14">
        <f t="shared" si="88"/>
        <v>0</v>
      </c>
      <c r="M1271" s="15">
        <f t="shared" si="89"/>
        <v>0</v>
      </c>
      <c r="N1271" s="15">
        <f t="shared" si="90"/>
        <v>0</v>
      </c>
      <c r="O1271" s="16">
        <f t="shared" si="91"/>
        <v>0</v>
      </c>
    </row>
    <row r="1272" spans="2:15">
      <c r="B1272" s="9">
        <v>11</v>
      </c>
      <c r="C1272" s="10" t="s">
        <v>152</v>
      </c>
      <c r="D1272" s="10" t="s">
        <v>154</v>
      </c>
      <c r="E1272" s="93">
        <v>8</v>
      </c>
      <c r="F1272" s="93">
        <v>8</v>
      </c>
      <c r="G1272" s="10">
        <v>1</v>
      </c>
      <c r="H1272" s="120">
        <v>0.10000000000002274</v>
      </c>
      <c r="I1272" s="120">
        <v>0.25</v>
      </c>
      <c r="J1272" s="120">
        <v>1.6170000000000186</v>
      </c>
      <c r="K1272" s="120">
        <v>1.9670000000000414</v>
      </c>
      <c r="L1272" s="9">
        <f t="shared" si="88"/>
        <v>4.1392685158234015E-2</v>
      </c>
      <c r="M1272" s="10">
        <f t="shared" si="89"/>
        <v>9.691001300805642E-2</v>
      </c>
      <c r="N1272" s="10">
        <f t="shared" si="90"/>
        <v>0.41780372263988408</v>
      </c>
      <c r="O1272" s="11">
        <f t="shared" si="91"/>
        <v>0.47231754631684791</v>
      </c>
    </row>
    <row r="1273" spans="2:15">
      <c r="B1273" s="12">
        <v>11</v>
      </c>
      <c r="C1273" s="4" t="s">
        <v>152</v>
      </c>
      <c r="D1273" s="4" t="s">
        <v>154</v>
      </c>
      <c r="E1273" s="4">
        <v>8</v>
      </c>
      <c r="F1273" s="4">
        <v>8</v>
      </c>
      <c r="G1273" s="4">
        <v>2</v>
      </c>
      <c r="H1273" s="115">
        <v>0.58300000000002683</v>
      </c>
      <c r="I1273" s="115">
        <v>0.75000000000005684</v>
      </c>
      <c r="J1273" s="115"/>
      <c r="K1273" s="115">
        <v>1.3330000000000837</v>
      </c>
      <c r="L1273" s="12">
        <f t="shared" si="88"/>
        <v>0.19948091486236327</v>
      </c>
      <c r="M1273" s="4">
        <f t="shared" si="89"/>
        <v>0.24303804868630854</v>
      </c>
      <c r="N1273" s="4">
        <f t="shared" si="90"/>
        <v>0</v>
      </c>
      <c r="O1273" s="13">
        <f t="shared" si="91"/>
        <v>0.36791473879376818</v>
      </c>
    </row>
    <row r="1274" spans="2:15">
      <c r="B1274" s="12">
        <v>11</v>
      </c>
      <c r="C1274" s="4" t="s">
        <v>152</v>
      </c>
      <c r="D1274" s="4" t="s">
        <v>154</v>
      </c>
      <c r="E1274" s="4">
        <v>8</v>
      </c>
      <c r="F1274" s="4">
        <v>8</v>
      </c>
      <c r="G1274" s="4">
        <v>3</v>
      </c>
      <c r="H1274" s="115">
        <v>0.21699999999998454</v>
      </c>
      <c r="I1274" s="115"/>
      <c r="J1274" s="115"/>
      <c r="K1274" s="115">
        <v>0.21699999999998454</v>
      </c>
      <c r="L1274" s="12">
        <f t="shared" si="88"/>
        <v>8.5290578230059477E-2</v>
      </c>
      <c r="M1274" s="4">
        <f t="shared" si="89"/>
        <v>0</v>
      </c>
      <c r="N1274" s="4">
        <f t="shared" si="90"/>
        <v>0</v>
      </c>
      <c r="O1274" s="13">
        <f t="shared" si="91"/>
        <v>8.5290578230059477E-2</v>
      </c>
    </row>
    <row r="1275" spans="2:15">
      <c r="B1275" s="12">
        <v>11</v>
      </c>
      <c r="C1275" s="4" t="s">
        <v>152</v>
      </c>
      <c r="D1275" s="4" t="s">
        <v>154</v>
      </c>
      <c r="E1275" s="4">
        <v>8</v>
      </c>
      <c r="F1275" s="4">
        <v>8</v>
      </c>
      <c r="G1275" s="4">
        <v>4</v>
      </c>
      <c r="H1275" s="115"/>
      <c r="I1275" s="115"/>
      <c r="J1275" s="115"/>
      <c r="K1275" s="115">
        <v>0</v>
      </c>
      <c r="L1275" s="12">
        <f t="shared" si="88"/>
        <v>0</v>
      </c>
      <c r="M1275" s="4">
        <f t="shared" si="89"/>
        <v>0</v>
      </c>
      <c r="N1275" s="4">
        <f t="shared" si="90"/>
        <v>0</v>
      </c>
      <c r="O1275" s="13">
        <f t="shared" si="91"/>
        <v>0</v>
      </c>
    </row>
    <row r="1276" spans="2:15">
      <c r="B1276" s="12">
        <v>11</v>
      </c>
      <c r="C1276" s="4" t="s">
        <v>152</v>
      </c>
      <c r="D1276" s="4" t="s">
        <v>154</v>
      </c>
      <c r="E1276" s="4">
        <v>8</v>
      </c>
      <c r="F1276" s="4">
        <v>8</v>
      </c>
      <c r="G1276" s="4">
        <v>5</v>
      </c>
      <c r="H1276" s="115"/>
      <c r="I1276" s="115"/>
      <c r="J1276" s="115"/>
      <c r="K1276" s="115">
        <v>0</v>
      </c>
      <c r="L1276" s="12">
        <f t="shared" si="88"/>
        <v>0</v>
      </c>
      <c r="M1276" s="4">
        <f t="shared" si="89"/>
        <v>0</v>
      </c>
      <c r="N1276" s="4">
        <f t="shared" si="90"/>
        <v>0</v>
      </c>
      <c r="O1276" s="13">
        <f t="shared" si="91"/>
        <v>0</v>
      </c>
    </row>
    <row r="1277" spans="2:15">
      <c r="B1277" s="12">
        <v>11</v>
      </c>
      <c r="C1277" s="4" t="s">
        <v>152</v>
      </c>
      <c r="D1277" s="4" t="s">
        <v>154</v>
      </c>
      <c r="E1277" s="4">
        <v>8</v>
      </c>
      <c r="F1277" s="4">
        <v>8</v>
      </c>
      <c r="G1277" s="4">
        <v>6</v>
      </c>
      <c r="H1277" s="115"/>
      <c r="I1277" s="115"/>
      <c r="J1277" s="115"/>
      <c r="K1277" s="115">
        <v>0</v>
      </c>
      <c r="L1277" s="12">
        <f t="shared" si="88"/>
        <v>0</v>
      </c>
      <c r="M1277" s="4">
        <f t="shared" si="89"/>
        <v>0</v>
      </c>
      <c r="N1277" s="4">
        <f t="shared" si="90"/>
        <v>0</v>
      </c>
      <c r="O1277" s="13">
        <f t="shared" si="91"/>
        <v>0</v>
      </c>
    </row>
    <row r="1278" spans="2:15">
      <c r="B1278" s="12">
        <v>11</v>
      </c>
      <c r="C1278" s="4" t="s">
        <v>152</v>
      </c>
      <c r="D1278" s="4" t="s">
        <v>154</v>
      </c>
      <c r="E1278" s="4">
        <v>8</v>
      </c>
      <c r="F1278" s="4">
        <v>8</v>
      </c>
      <c r="G1278" s="4">
        <v>7</v>
      </c>
      <c r="H1278" s="115"/>
      <c r="I1278" s="115"/>
      <c r="J1278" s="115"/>
      <c r="K1278" s="115">
        <v>0</v>
      </c>
      <c r="L1278" s="12">
        <f t="shared" si="88"/>
        <v>0</v>
      </c>
      <c r="M1278" s="4">
        <f t="shared" si="89"/>
        <v>0</v>
      </c>
      <c r="N1278" s="4">
        <f t="shared" si="90"/>
        <v>0</v>
      </c>
      <c r="O1278" s="13">
        <f t="shared" si="91"/>
        <v>0</v>
      </c>
    </row>
    <row r="1279" spans="2:15">
      <c r="B1279" s="12">
        <v>11</v>
      </c>
      <c r="C1279" s="4" t="s">
        <v>152</v>
      </c>
      <c r="D1279" s="4" t="s">
        <v>154</v>
      </c>
      <c r="E1279" s="4">
        <v>8</v>
      </c>
      <c r="F1279" s="4">
        <v>8</v>
      </c>
      <c r="G1279" s="4">
        <v>8</v>
      </c>
      <c r="H1279" s="115"/>
      <c r="I1279" s="115"/>
      <c r="J1279" s="115"/>
      <c r="K1279" s="115">
        <v>0</v>
      </c>
      <c r="L1279" s="12">
        <f t="shared" si="88"/>
        <v>0</v>
      </c>
      <c r="M1279" s="4">
        <f t="shared" si="89"/>
        <v>0</v>
      </c>
      <c r="N1279" s="4">
        <f t="shared" si="90"/>
        <v>0</v>
      </c>
      <c r="O1279" s="13">
        <f t="shared" si="91"/>
        <v>0</v>
      </c>
    </row>
    <row r="1280" spans="2:15">
      <c r="B1280" s="12">
        <v>11</v>
      </c>
      <c r="C1280" s="4" t="s">
        <v>152</v>
      </c>
      <c r="D1280" s="4" t="s">
        <v>154</v>
      </c>
      <c r="E1280" s="4">
        <v>8</v>
      </c>
      <c r="F1280" s="4">
        <v>8</v>
      </c>
      <c r="G1280" s="4">
        <v>9</v>
      </c>
      <c r="H1280" s="115"/>
      <c r="I1280" s="115"/>
      <c r="J1280" s="115"/>
      <c r="K1280" s="115">
        <v>0</v>
      </c>
      <c r="L1280" s="12">
        <f t="shared" si="88"/>
        <v>0</v>
      </c>
      <c r="M1280" s="4">
        <f t="shared" si="89"/>
        <v>0</v>
      </c>
      <c r="N1280" s="4">
        <f t="shared" si="90"/>
        <v>0</v>
      </c>
      <c r="O1280" s="13">
        <f t="shared" si="91"/>
        <v>0</v>
      </c>
    </row>
    <row r="1281" spans="2:15" ht="13.8" thickBot="1">
      <c r="B1281" s="14">
        <v>11</v>
      </c>
      <c r="C1281" s="15" t="s">
        <v>152</v>
      </c>
      <c r="D1281" s="15" t="s">
        <v>154</v>
      </c>
      <c r="E1281" s="15">
        <v>8</v>
      </c>
      <c r="F1281" s="15">
        <v>8</v>
      </c>
      <c r="G1281" s="15">
        <v>10</v>
      </c>
      <c r="H1281" s="121"/>
      <c r="I1281" s="121"/>
      <c r="J1281" s="121"/>
      <c r="K1281" s="121">
        <v>0</v>
      </c>
      <c r="L1281" s="14">
        <f t="shared" si="88"/>
        <v>0</v>
      </c>
      <c r="M1281" s="15">
        <f t="shared" si="89"/>
        <v>0</v>
      </c>
      <c r="N1281" s="15">
        <f t="shared" si="90"/>
        <v>0</v>
      </c>
      <c r="O1281" s="16">
        <f t="shared" si="91"/>
        <v>0</v>
      </c>
    </row>
    <row r="1282" spans="2:15">
      <c r="B1282" s="9">
        <v>11</v>
      </c>
      <c r="C1282" s="10" t="s">
        <v>152</v>
      </c>
      <c r="D1282" s="10" t="s">
        <v>150</v>
      </c>
      <c r="E1282" s="93">
        <v>9</v>
      </c>
      <c r="F1282" s="93">
        <v>4</v>
      </c>
      <c r="G1282" s="10">
        <v>1</v>
      </c>
      <c r="H1282" s="120">
        <v>0.13299999999998136</v>
      </c>
      <c r="I1282" s="120"/>
      <c r="J1282" s="120">
        <v>1.4519999999999129</v>
      </c>
      <c r="K1282" s="120">
        <v>1.5849999999998943</v>
      </c>
      <c r="L1282" s="9">
        <f t="shared" si="88"/>
        <v>5.4229909863390102E-2</v>
      </c>
      <c r="M1282" s="10">
        <f t="shared" si="89"/>
        <v>0</v>
      </c>
      <c r="N1282" s="10">
        <f t="shared" si="90"/>
        <v>0.38952046584636202</v>
      </c>
      <c r="O1282" s="11">
        <f t="shared" si="91"/>
        <v>0.41246054742994354</v>
      </c>
    </row>
    <row r="1283" spans="2:15">
      <c r="B1283" s="12">
        <v>11</v>
      </c>
      <c r="C1283" s="4" t="s">
        <v>152</v>
      </c>
      <c r="D1283" s="4" t="s">
        <v>150</v>
      </c>
      <c r="E1283" s="4">
        <v>9</v>
      </c>
      <c r="F1283" s="4">
        <v>4</v>
      </c>
      <c r="G1283" s="4">
        <v>2</v>
      </c>
      <c r="H1283" s="115"/>
      <c r="I1283" s="115">
        <v>0.30000000000001137</v>
      </c>
      <c r="J1283" s="115">
        <v>0.10000000000002274</v>
      </c>
      <c r="K1283" s="115">
        <v>0.40000000000003411</v>
      </c>
      <c r="L1283" s="12">
        <f t="shared" si="88"/>
        <v>0</v>
      </c>
      <c r="M1283" s="4">
        <f t="shared" si="89"/>
        <v>0.11394335230684056</v>
      </c>
      <c r="N1283" s="4">
        <f t="shared" si="90"/>
        <v>4.1392685158234015E-2</v>
      </c>
      <c r="O1283" s="13">
        <f t="shared" si="91"/>
        <v>0.14612803567824861</v>
      </c>
    </row>
    <row r="1284" spans="2:15">
      <c r="B1284" s="12">
        <v>11</v>
      </c>
      <c r="C1284" s="4" t="s">
        <v>152</v>
      </c>
      <c r="D1284" s="4" t="s">
        <v>150</v>
      </c>
      <c r="E1284" s="4">
        <v>9</v>
      </c>
      <c r="F1284" s="4">
        <v>4</v>
      </c>
      <c r="G1284" s="4">
        <v>3</v>
      </c>
      <c r="H1284" s="115"/>
      <c r="I1284" s="115"/>
      <c r="J1284" s="115"/>
      <c r="K1284" s="115">
        <v>0</v>
      </c>
      <c r="L1284" s="12">
        <f t="shared" si="88"/>
        <v>0</v>
      </c>
      <c r="M1284" s="4">
        <f t="shared" si="89"/>
        <v>0</v>
      </c>
      <c r="N1284" s="4">
        <f t="shared" si="90"/>
        <v>0</v>
      </c>
      <c r="O1284" s="13">
        <f t="shared" si="91"/>
        <v>0</v>
      </c>
    </row>
    <row r="1285" spans="2:15">
      <c r="B1285" s="12">
        <v>11</v>
      </c>
      <c r="C1285" s="4" t="s">
        <v>152</v>
      </c>
      <c r="D1285" s="4" t="s">
        <v>150</v>
      </c>
      <c r="E1285" s="4">
        <v>9</v>
      </c>
      <c r="F1285" s="4">
        <v>4</v>
      </c>
      <c r="G1285" s="4">
        <v>4</v>
      </c>
      <c r="H1285" s="115"/>
      <c r="I1285" s="115"/>
      <c r="J1285" s="115"/>
      <c r="K1285" s="115">
        <v>0</v>
      </c>
      <c r="L1285" s="12">
        <f t="shared" si="88"/>
        <v>0</v>
      </c>
      <c r="M1285" s="4">
        <f t="shared" si="89"/>
        <v>0</v>
      </c>
      <c r="N1285" s="4">
        <f t="shared" si="90"/>
        <v>0</v>
      </c>
      <c r="O1285" s="13">
        <f t="shared" si="91"/>
        <v>0</v>
      </c>
    </row>
    <row r="1286" spans="2:15">
      <c r="B1286" s="12">
        <v>11</v>
      </c>
      <c r="C1286" s="4" t="s">
        <v>152</v>
      </c>
      <c r="D1286" s="4" t="s">
        <v>150</v>
      </c>
      <c r="E1286" s="4">
        <v>9</v>
      </c>
      <c r="F1286" s="4">
        <v>4</v>
      </c>
      <c r="G1286" s="4">
        <v>5</v>
      </c>
      <c r="H1286" s="115"/>
      <c r="I1286" s="115"/>
      <c r="J1286" s="115"/>
      <c r="K1286" s="115">
        <v>0</v>
      </c>
      <c r="L1286" s="12">
        <f t="shared" si="88"/>
        <v>0</v>
      </c>
      <c r="M1286" s="4">
        <f t="shared" si="89"/>
        <v>0</v>
      </c>
      <c r="N1286" s="4">
        <f t="shared" si="90"/>
        <v>0</v>
      </c>
      <c r="O1286" s="13">
        <f t="shared" si="91"/>
        <v>0</v>
      </c>
    </row>
    <row r="1287" spans="2:15">
      <c r="B1287" s="12">
        <v>11</v>
      </c>
      <c r="C1287" s="4" t="s">
        <v>152</v>
      </c>
      <c r="D1287" s="4" t="s">
        <v>150</v>
      </c>
      <c r="E1287" s="4">
        <v>9</v>
      </c>
      <c r="F1287" s="4">
        <v>4</v>
      </c>
      <c r="G1287" s="4">
        <v>6</v>
      </c>
      <c r="H1287" s="115"/>
      <c r="I1287" s="115"/>
      <c r="J1287" s="115"/>
      <c r="K1287" s="115">
        <v>0</v>
      </c>
      <c r="L1287" s="12">
        <f t="shared" si="88"/>
        <v>0</v>
      </c>
      <c r="M1287" s="4">
        <f t="shared" si="89"/>
        <v>0</v>
      </c>
      <c r="N1287" s="4">
        <f t="shared" si="90"/>
        <v>0</v>
      </c>
      <c r="O1287" s="13">
        <f t="shared" si="91"/>
        <v>0</v>
      </c>
    </row>
    <row r="1288" spans="2:15">
      <c r="B1288" s="12">
        <v>11</v>
      </c>
      <c r="C1288" s="4" t="s">
        <v>152</v>
      </c>
      <c r="D1288" s="4" t="s">
        <v>150</v>
      </c>
      <c r="E1288" s="4">
        <v>9</v>
      </c>
      <c r="F1288" s="4">
        <v>4</v>
      </c>
      <c r="G1288" s="4">
        <v>7</v>
      </c>
      <c r="H1288" s="115"/>
      <c r="I1288" s="115"/>
      <c r="J1288" s="115"/>
      <c r="K1288" s="115">
        <v>0</v>
      </c>
      <c r="L1288" s="12">
        <f t="shared" si="88"/>
        <v>0</v>
      </c>
      <c r="M1288" s="4">
        <f t="shared" si="89"/>
        <v>0</v>
      </c>
      <c r="N1288" s="4">
        <f t="shared" si="90"/>
        <v>0</v>
      </c>
      <c r="O1288" s="13">
        <f t="shared" si="91"/>
        <v>0</v>
      </c>
    </row>
    <row r="1289" spans="2:15">
      <c r="B1289" s="12">
        <v>11</v>
      </c>
      <c r="C1289" s="4" t="s">
        <v>152</v>
      </c>
      <c r="D1289" s="4" t="s">
        <v>150</v>
      </c>
      <c r="E1289" s="4">
        <v>9</v>
      </c>
      <c r="F1289" s="4">
        <v>4</v>
      </c>
      <c r="G1289" s="4">
        <v>8</v>
      </c>
      <c r="H1289" s="115"/>
      <c r="I1289" s="115"/>
      <c r="J1289" s="115"/>
      <c r="K1289" s="115">
        <v>0</v>
      </c>
      <c r="L1289" s="12">
        <f t="shared" si="88"/>
        <v>0</v>
      </c>
      <c r="M1289" s="4">
        <f t="shared" si="89"/>
        <v>0</v>
      </c>
      <c r="N1289" s="4">
        <f t="shared" si="90"/>
        <v>0</v>
      </c>
      <c r="O1289" s="13">
        <f t="shared" si="91"/>
        <v>0</v>
      </c>
    </row>
    <row r="1290" spans="2:15">
      <c r="B1290" s="12">
        <v>11</v>
      </c>
      <c r="C1290" s="4" t="s">
        <v>152</v>
      </c>
      <c r="D1290" s="4" t="s">
        <v>150</v>
      </c>
      <c r="E1290" s="4">
        <v>9</v>
      </c>
      <c r="F1290" s="4">
        <v>4</v>
      </c>
      <c r="G1290" s="4">
        <v>9</v>
      </c>
      <c r="H1290" s="115"/>
      <c r="I1290" s="115"/>
      <c r="J1290" s="115"/>
      <c r="K1290" s="115">
        <v>0</v>
      </c>
      <c r="L1290" s="12">
        <f t="shared" si="88"/>
        <v>0</v>
      </c>
      <c r="M1290" s="4">
        <f t="shared" si="89"/>
        <v>0</v>
      </c>
      <c r="N1290" s="4">
        <f t="shared" si="90"/>
        <v>0</v>
      </c>
      <c r="O1290" s="13">
        <f t="shared" si="91"/>
        <v>0</v>
      </c>
    </row>
    <row r="1291" spans="2:15" ht="13.8" thickBot="1">
      <c r="B1291" s="14">
        <v>11</v>
      </c>
      <c r="C1291" s="15" t="s">
        <v>152</v>
      </c>
      <c r="D1291" s="15" t="s">
        <v>150</v>
      </c>
      <c r="E1291" s="15">
        <v>9</v>
      </c>
      <c r="F1291" s="15">
        <v>4</v>
      </c>
      <c r="G1291" s="15">
        <v>10</v>
      </c>
      <c r="H1291" s="121"/>
      <c r="I1291" s="121"/>
      <c r="J1291" s="121"/>
      <c r="K1291" s="121">
        <v>0</v>
      </c>
      <c r="L1291" s="14">
        <f t="shared" si="88"/>
        <v>0</v>
      </c>
      <c r="M1291" s="15">
        <f t="shared" si="89"/>
        <v>0</v>
      </c>
      <c r="N1291" s="15">
        <f t="shared" si="90"/>
        <v>0</v>
      </c>
      <c r="O1291" s="16">
        <f t="shared" si="91"/>
        <v>0</v>
      </c>
    </row>
    <row r="1292" spans="2:15">
      <c r="B1292" s="9">
        <v>11</v>
      </c>
      <c r="C1292" s="10" t="s">
        <v>152</v>
      </c>
      <c r="D1292" s="10" t="s">
        <v>154</v>
      </c>
      <c r="E1292" s="93">
        <v>10</v>
      </c>
      <c r="F1292" s="93">
        <v>6</v>
      </c>
      <c r="G1292" s="10">
        <v>1</v>
      </c>
      <c r="H1292" s="120">
        <v>0.3669999999999618</v>
      </c>
      <c r="I1292" s="120">
        <v>0.13299999999998136</v>
      </c>
      <c r="J1292" s="120">
        <v>0.14999999999997726</v>
      </c>
      <c r="K1292" s="120">
        <v>0.64999999999992042</v>
      </c>
      <c r="L1292" s="9">
        <f t="shared" si="88"/>
        <v>0.13576851456781014</v>
      </c>
      <c r="M1292" s="10">
        <f t="shared" si="89"/>
        <v>5.4229909863390102E-2</v>
      </c>
      <c r="N1292" s="10">
        <f t="shared" si="90"/>
        <v>6.0697840353603094E-2</v>
      </c>
      <c r="O1292" s="11">
        <f t="shared" si="91"/>
        <v>0.21748394421388534</v>
      </c>
    </row>
    <row r="1293" spans="2:15">
      <c r="B1293" s="12">
        <v>11</v>
      </c>
      <c r="C1293" s="4" t="s">
        <v>152</v>
      </c>
      <c r="D1293" s="4" t="s">
        <v>154</v>
      </c>
      <c r="E1293" s="4">
        <v>10</v>
      </c>
      <c r="F1293" s="4">
        <v>6</v>
      </c>
      <c r="G1293" s="4">
        <v>2</v>
      </c>
      <c r="H1293" s="115"/>
      <c r="I1293" s="115">
        <v>0.10000000000002274</v>
      </c>
      <c r="J1293" s="115">
        <v>0.23300000000000409</v>
      </c>
      <c r="K1293" s="115">
        <v>0.33300000000002683</v>
      </c>
      <c r="L1293" s="12">
        <f t="shared" si="88"/>
        <v>0</v>
      </c>
      <c r="M1293" s="4">
        <f t="shared" si="89"/>
        <v>4.1392685158234015E-2</v>
      </c>
      <c r="N1293" s="4">
        <f t="shared" si="90"/>
        <v>9.0963076595733078E-2</v>
      </c>
      <c r="O1293" s="13">
        <f t="shared" si="91"/>
        <v>0.12483014941386794</v>
      </c>
    </row>
    <row r="1294" spans="2:15">
      <c r="B1294" s="12">
        <v>11</v>
      </c>
      <c r="C1294" s="4" t="s">
        <v>152</v>
      </c>
      <c r="D1294" s="4" t="s">
        <v>154</v>
      </c>
      <c r="E1294" s="4">
        <v>10</v>
      </c>
      <c r="F1294" s="4">
        <v>6</v>
      </c>
      <c r="G1294" s="4">
        <v>3</v>
      </c>
      <c r="H1294" s="115">
        <v>0.37899999999996226</v>
      </c>
      <c r="I1294" s="115">
        <v>0.88199999999994816</v>
      </c>
      <c r="J1294" s="115">
        <v>0.8840000000000714</v>
      </c>
      <c r="K1294" s="115">
        <v>2.1449999999999818</v>
      </c>
      <c r="L1294" s="12">
        <f t="shared" si="88"/>
        <v>0.13956426617583786</v>
      </c>
      <c r="M1294" s="4">
        <f t="shared" si="89"/>
        <v>0.27461961909122612</v>
      </c>
      <c r="N1294" s="4">
        <f t="shared" si="90"/>
        <v>0.275080898456875</v>
      </c>
      <c r="O1294" s="13">
        <f t="shared" si="91"/>
        <v>0.49762064978128523</v>
      </c>
    </row>
    <row r="1295" spans="2:15">
      <c r="B1295" s="12">
        <v>11</v>
      </c>
      <c r="C1295" s="4" t="s">
        <v>152</v>
      </c>
      <c r="D1295" s="4" t="s">
        <v>154</v>
      </c>
      <c r="E1295" s="4">
        <v>10</v>
      </c>
      <c r="F1295" s="4">
        <v>6</v>
      </c>
      <c r="G1295" s="4">
        <v>4</v>
      </c>
      <c r="H1295" s="115"/>
      <c r="I1295" s="115"/>
      <c r="J1295" s="115"/>
      <c r="K1295" s="115">
        <v>0</v>
      </c>
      <c r="L1295" s="12">
        <f t="shared" si="88"/>
        <v>0</v>
      </c>
      <c r="M1295" s="4">
        <f t="shared" si="89"/>
        <v>0</v>
      </c>
      <c r="N1295" s="4">
        <f t="shared" si="90"/>
        <v>0</v>
      </c>
      <c r="O1295" s="13">
        <f t="shared" si="91"/>
        <v>0</v>
      </c>
    </row>
    <row r="1296" spans="2:15">
      <c r="B1296" s="12">
        <v>11</v>
      </c>
      <c r="C1296" s="4" t="s">
        <v>152</v>
      </c>
      <c r="D1296" s="4" t="s">
        <v>154</v>
      </c>
      <c r="E1296" s="4">
        <v>10</v>
      </c>
      <c r="F1296" s="4">
        <v>6</v>
      </c>
      <c r="G1296" s="4">
        <v>5</v>
      </c>
      <c r="H1296" s="115"/>
      <c r="I1296" s="115"/>
      <c r="J1296" s="115"/>
      <c r="K1296" s="115">
        <v>0</v>
      </c>
      <c r="L1296" s="12">
        <f t="shared" si="88"/>
        <v>0</v>
      </c>
      <c r="M1296" s="4">
        <f t="shared" si="89"/>
        <v>0</v>
      </c>
      <c r="N1296" s="4">
        <f t="shared" si="90"/>
        <v>0</v>
      </c>
      <c r="O1296" s="13">
        <f t="shared" si="91"/>
        <v>0</v>
      </c>
    </row>
    <row r="1297" spans="2:15">
      <c r="B1297" s="12">
        <v>11</v>
      </c>
      <c r="C1297" s="4" t="s">
        <v>152</v>
      </c>
      <c r="D1297" s="4" t="s">
        <v>154</v>
      </c>
      <c r="E1297" s="4">
        <v>10</v>
      </c>
      <c r="F1297" s="4">
        <v>6</v>
      </c>
      <c r="G1297" s="4">
        <v>6</v>
      </c>
      <c r="H1297" s="115"/>
      <c r="I1297" s="115"/>
      <c r="J1297" s="115"/>
      <c r="K1297" s="115">
        <v>0</v>
      </c>
      <c r="L1297" s="12">
        <f t="shared" si="88"/>
        <v>0</v>
      </c>
      <c r="M1297" s="4">
        <f t="shared" si="89"/>
        <v>0</v>
      </c>
      <c r="N1297" s="4">
        <f t="shared" si="90"/>
        <v>0</v>
      </c>
      <c r="O1297" s="13">
        <f t="shared" si="91"/>
        <v>0</v>
      </c>
    </row>
    <row r="1298" spans="2:15">
      <c r="B1298" s="12">
        <v>11</v>
      </c>
      <c r="C1298" s="4" t="s">
        <v>152</v>
      </c>
      <c r="D1298" s="4" t="s">
        <v>154</v>
      </c>
      <c r="E1298" s="4">
        <v>10</v>
      </c>
      <c r="F1298" s="4">
        <v>6</v>
      </c>
      <c r="G1298" s="4">
        <v>7</v>
      </c>
      <c r="H1298" s="115"/>
      <c r="I1298" s="115"/>
      <c r="J1298" s="115"/>
      <c r="K1298" s="115">
        <v>0</v>
      </c>
      <c r="L1298" s="12">
        <f t="shared" si="88"/>
        <v>0</v>
      </c>
      <c r="M1298" s="4">
        <f t="shared" si="89"/>
        <v>0</v>
      </c>
      <c r="N1298" s="4">
        <f t="shared" si="90"/>
        <v>0</v>
      </c>
      <c r="O1298" s="13">
        <f t="shared" si="91"/>
        <v>0</v>
      </c>
    </row>
    <row r="1299" spans="2:15">
      <c r="B1299" s="12">
        <v>11</v>
      </c>
      <c r="C1299" s="4" t="s">
        <v>152</v>
      </c>
      <c r="D1299" s="4" t="s">
        <v>154</v>
      </c>
      <c r="E1299" s="4">
        <v>10</v>
      </c>
      <c r="F1299" s="4">
        <v>6</v>
      </c>
      <c r="G1299" s="4">
        <v>8</v>
      </c>
      <c r="H1299" s="115"/>
      <c r="I1299" s="115"/>
      <c r="J1299" s="115"/>
      <c r="K1299" s="115">
        <v>0</v>
      </c>
      <c r="L1299" s="12">
        <f t="shared" si="88"/>
        <v>0</v>
      </c>
      <c r="M1299" s="4">
        <f t="shared" si="89"/>
        <v>0</v>
      </c>
      <c r="N1299" s="4">
        <f t="shared" si="90"/>
        <v>0</v>
      </c>
      <c r="O1299" s="13">
        <f t="shared" si="91"/>
        <v>0</v>
      </c>
    </row>
    <row r="1300" spans="2:15">
      <c r="B1300" s="12">
        <v>11</v>
      </c>
      <c r="C1300" s="4" t="s">
        <v>152</v>
      </c>
      <c r="D1300" s="4" t="s">
        <v>154</v>
      </c>
      <c r="E1300" s="4">
        <v>10</v>
      </c>
      <c r="F1300" s="4">
        <v>6</v>
      </c>
      <c r="G1300" s="4">
        <v>9</v>
      </c>
      <c r="H1300" s="115"/>
      <c r="I1300" s="115"/>
      <c r="J1300" s="115"/>
      <c r="K1300" s="115">
        <v>0</v>
      </c>
      <c r="L1300" s="12">
        <f t="shared" si="88"/>
        <v>0</v>
      </c>
      <c r="M1300" s="4">
        <f t="shared" si="89"/>
        <v>0</v>
      </c>
      <c r="N1300" s="4">
        <f t="shared" si="90"/>
        <v>0</v>
      </c>
      <c r="O1300" s="13">
        <f t="shared" si="91"/>
        <v>0</v>
      </c>
    </row>
    <row r="1301" spans="2:15" ht="13.8" thickBot="1">
      <c r="B1301" s="14">
        <v>11</v>
      </c>
      <c r="C1301" s="15" t="s">
        <v>152</v>
      </c>
      <c r="D1301" s="15" t="s">
        <v>154</v>
      </c>
      <c r="E1301" s="15">
        <v>10</v>
      </c>
      <c r="F1301" s="15">
        <v>6</v>
      </c>
      <c r="G1301" s="15">
        <v>10</v>
      </c>
      <c r="H1301" s="121"/>
      <c r="I1301" s="121"/>
      <c r="J1301" s="121"/>
      <c r="K1301" s="121">
        <v>0</v>
      </c>
      <c r="L1301" s="14">
        <f t="shared" si="88"/>
        <v>0</v>
      </c>
      <c r="M1301" s="15">
        <f t="shared" si="89"/>
        <v>0</v>
      </c>
      <c r="N1301" s="15">
        <f t="shared" si="90"/>
        <v>0</v>
      </c>
      <c r="O1301" s="16">
        <f t="shared" si="91"/>
        <v>0</v>
      </c>
    </row>
    <row r="1302" spans="2:15">
      <c r="B1302" s="9">
        <v>11</v>
      </c>
      <c r="C1302" s="10" t="s">
        <v>152</v>
      </c>
      <c r="D1302" s="10" t="s">
        <v>149</v>
      </c>
      <c r="E1302" s="93">
        <v>11</v>
      </c>
      <c r="F1302" s="93">
        <v>12</v>
      </c>
      <c r="G1302" s="10">
        <v>1</v>
      </c>
      <c r="H1302" s="120">
        <v>1.4429999999999836</v>
      </c>
      <c r="I1302" s="120"/>
      <c r="J1302" s="120">
        <v>4.6990000000001828</v>
      </c>
      <c r="K1302" s="120">
        <v>6.1420000000001664</v>
      </c>
      <c r="L1302" s="9">
        <f t="shared" si="88"/>
        <v>0.38792346697343383</v>
      </c>
      <c r="M1302" s="10">
        <f t="shared" si="89"/>
        <v>0</v>
      </c>
      <c r="N1302" s="10">
        <f t="shared" si="90"/>
        <v>0.75579865697384452</v>
      </c>
      <c r="O1302" s="11">
        <f t="shared" si="91"/>
        <v>0.85381984585677329</v>
      </c>
    </row>
    <row r="1303" spans="2:15">
      <c r="B1303" s="12">
        <v>11</v>
      </c>
      <c r="C1303" s="4" t="s">
        <v>152</v>
      </c>
      <c r="D1303" s="4" t="s">
        <v>149</v>
      </c>
      <c r="E1303" s="4">
        <v>11</v>
      </c>
      <c r="F1303" s="4">
        <v>12</v>
      </c>
      <c r="G1303" s="4">
        <v>2</v>
      </c>
      <c r="H1303" s="115">
        <v>0.38300000000015189</v>
      </c>
      <c r="I1303" s="115">
        <v>0.28300000000001546</v>
      </c>
      <c r="J1303" s="115">
        <v>0.41699999999991633</v>
      </c>
      <c r="K1303" s="115">
        <v>1.0830000000000837</v>
      </c>
      <c r="L1303" s="12">
        <f t="shared" si="88"/>
        <v>0.14082218010935829</v>
      </c>
      <c r="M1303" s="4">
        <f t="shared" si="89"/>
        <v>0.10822665637493374</v>
      </c>
      <c r="N1303" s="4">
        <f t="shared" si="90"/>
        <v>0.15136985024743477</v>
      </c>
      <c r="O1303" s="13">
        <f t="shared" si="91"/>
        <v>0.31868926994776331</v>
      </c>
    </row>
    <row r="1304" spans="2:15">
      <c r="B1304" s="12">
        <v>11</v>
      </c>
      <c r="C1304" s="4" t="s">
        <v>152</v>
      </c>
      <c r="D1304" s="4" t="s">
        <v>149</v>
      </c>
      <c r="E1304" s="4">
        <v>11</v>
      </c>
      <c r="F1304" s="4">
        <v>12</v>
      </c>
      <c r="G1304" s="4">
        <v>3</v>
      </c>
      <c r="H1304" s="115">
        <v>1.4150000000000773</v>
      </c>
      <c r="I1304" s="115">
        <v>0.63299999999992451</v>
      </c>
      <c r="J1304" s="115">
        <v>0.1169999999999618</v>
      </c>
      <c r="K1304" s="115">
        <v>2.1649999999999636</v>
      </c>
      <c r="L1304" s="12">
        <f t="shared" si="88"/>
        <v>0.38291713508754488</v>
      </c>
      <c r="M1304" s="4">
        <f t="shared" si="89"/>
        <v>0.2129861847366481</v>
      </c>
      <c r="N1304" s="4">
        <f t="shared" si="90"/>
        <v>4.8053173115594205E-2</v>
      </c>
      <c r="O1304" s="13">
        <f t="shared" si="91"/>
        <v>0.50037371435336897</v>
      </c>
    </row>
    <row r="1305" spans="2:15">
      <c r="B1305" s="12">
        <v>11</v>
      </c>
      <c r="C1305" s="4" t="s">
        <v>152</v>
      </c>
      <c r="D1305" s="4" t="s">
        <v>149</v>
      </c>
      <c r="E1305" s="4">
        <v>11</v>
      </c>
      <c r="F1305" s="4">
        <v>12</v>
      </c>
      <c r="G1305" s="4">
        <v>4</v>
      </c>
      <c r="H1305" s="115">
        <v>0.44999999999993179</v>
      </c>
      <c r="I1305" s="115">
        <v>0.15000000000009095</v>
      </c>
      <c r="J1305" s="115"/>
      <c r="K1305" s="115">
        <v>0.60000000000002274</v>
      </c>
      <c r="L1305" s="12">
        <f t="shared" si="88"/>
        <v>0.16136800223495446</v>
      </c>
      <c r="M1305" s="4">
        <f t="shared" si="89"/>
        <v>6.0697840353646032E-2</v>
      </c>
      <c r="N1305" s="4">
        <f t="shared" si="90"/>
        <v>0</v>
      </c>
      <c r="O1305" s="13">
        <f t="shared" si="91"/>
        <v>0.20411998265593095</v>
      </c>
    </row>
    <row r="1306" spans="2:15">
      <c r="B1306" s="12">
        <v>11</v>
      </c>
      <c r="C1306" s="4" t="s">
        <v>152</v>
      </c>
      <c r="D1306" s="4" t="s">
        <v>149</v>
      </c>
      <c r="E1306" s="4">
        <v>11</v>
      </c>
      <c r="F1306" s="4">
        <v>12</v>
      </c>
      <c r="G1306" s="4">
        <v>5</v>
      </c>
      <c r="H1306" s="115"/>
      <c r="I1306" s="115"/>
      <c r="J1306" s="115"/>
      <c r="K1306" s="115">
        <v>0</v>
      </c>
      <c r="L1306" s="12">
        <f t="shared" si="88"/>
        <v>0</v>
      </c>
      <c r="M1306" s="4">
        <f t="shared" si="89"/>
        <v>0</v>
      </c>
      <c r="N1306" s="4">
        <f t="shared" si="90"/>
        <v>0</v>
      </c>
      <c r="O1306" s="13">
        <f t="shared" si="91"/>
        <v>0</v>
      </c>
    </row>
    <row r="1307" spans="2:15">
      <c r="B1307" s="12">
        <v>11</v>
      </c>
      <c r="C1307" s="4" t="s">
        <v>152</v>
      </c>
      <c r="D1307" s="4" t="s">
        <v>149</v>
      </c>
      <c r="E1307" s="4">
        <v>11</v>
      </c>
      <c r="F1307" s="4">
        <v>12</v>
      </c>
      <c r="G1307" s="4">
        <v>6</v>
      </c>
      <c r="H1307" s="115"/>
      <c r="I1307" s="115"/>
      <c r="J1307" s="115"/>
      <c r="K1307" s="115">
        <v>0</v>
      </c>
      <c r="L1307" s="12">
        <f t="shared" si="88"/>
        <v>0</v>
      </c>
      <c r="M1307" s="4">
        <f t="shared" si="89"/>
        <v>0</v>
      </c>
      <c r="N1307" s="4">
        <f t="shared" si="90"/>
        <v>0</v>
      </c>
      <c r="O1307" s="13">
        <f t="shared" si="91"/>
        <v>0</v>
      </c>
    </row>
    <row r="1308" spans="2:15">
      <c r="B1308" s="12">
        <v>11</v>
      </c>
      <c r="C1308" s="4" t="s">
        <v>152</v>
      </c>
      <c r="D1308" s="4" t="s">
        <v>149</v>
      </c>
      <c r="E1308" s="4">
        <v>11</v>
      </c>
      <c r="F1308" s="4">
        <v>12</v>
      </c>
      <c r="G1308" s="4">
        <v>7</v>
      </c>
      <c r="H1308" s="115"/>
      <c r="I1308" s="115"/>
      <c r="J1308" s="115"/>
      <c r="K1308" s="115">
        <v>0</v>
      </c>
      <c r="L1308" s="12">
        <f t="shared" si="88"/>
        <v>0</v>
      </c>
      <c r="M1308" s="4">
        <f t="shared" si="89"/>
        <v>0</v>
      </c>
      <c r="N1308" s="4">
        <f t="shared" si="90"/>
        <v>0</v>
      </c>
      <c r="O1308" s="13">
        <f t="shared" si="91"/>
        <v>0</v>
      </c>
    </row>
    <row r="1309" spans="2:15">
      <c r="B1309" s="12">
        <v>11</v>
      </c>
      <c r="C1309" s="4" t="s">
        <v>152</v>
      </c>
      <c r="D1309" s="4" t="s">
        <v>149</v>
      </c>
      <c r="E1309" s="4">
        <v>11</v>
      </c>
      <c r="F1309" s="4">
        <v>12</v>
      </c>
      <c r="G1309" s="4">
        <v>8</v>
      </c>
      <c r="H1309" s="115"/>
      <c r="I1309" s="115"/>
      <c r="J1309" s="115"/>
      <c r="K1309" s="115">
        <v>0</v>
      </c>
      <c r="L1309" s="12">
        <f t="shared" si="88"/>
        <v>0</v>
      </c>
      <c r="M1309" s="4">
        <f t="shared" si="89"/>
        <v>0</v>
      </c>
      <c r="N1309" s="4">
        <f t="shared" si="90"/>
        <v>0</v>
      </c>
      <c r="O1309" s="13">
        <f t="shared" si="91"/>
        <v>0</v>
      </c>
    </row>
    <row r="1310" spans="2:15">
      <c r="B1310" s="12">
        <v>11</v>
      </c>
      <c r="C1310" s="4" t="s">
        <v>152</v>
      </c>
      <c r="D1310" s="4" t="s">
        <v>149</v>
      </c>
      <c r="E1310" s="4">
        <v>11</v>
      </c>
      <c r="F1310" s="4">
        <v>12</v>
      </c>
      <c r="G1310" s="4">
        <v>9</v>
      </c>
      <c r="H1310" s="115"/>
      <c r="I1310" s="115"/>
      <c r="J1310" s="115"/>
      <c r="K1310" s="115">
        <v>0</v>
      </c>
      <c r="L1310" s="12">
        <f t="shared" si="88"/>
        <v>0</v>
      </c>
      <c r="M1310" s="4">
        <f t="shared" si="89"/>
        <v>0</v>
      </c>
      <c r="N1310" s="4">
        <f t="shared" si="90"/>
        <v>0</v>
      </c>
      <c r="O1310" s="13">
        <f t="shared" si="91"/>
        <v>0</v>
      </c>
    </row>
    <row r="1311" spans="2:15" ht="13.8" thickBot="1">
      <c r="B1311" s="14">
        <v>11</v>
      </c>
      <c r="C1311" s="15" t="s">
        <v>152</v>
      </c>
      <c r="D1311" s="15" t="s">
        <v>149</v>
      </c>
      <c r="E1311" s="15">
        <v>11</v>
      </c>
      <c r="F1311" s="15">
        <v>12</v>
      </c>
      <c r="G1311" s="15">
        <v>10</v>
      </c>
      <c r="H1311" s="121"/>
      <c r="I1311" s="121"/>
      <c r="J1311" s="121"/>
      <c r="K1311" s="121">
        <v>0</v>
      </c>
      <c r="L1311" s="14">
        <f t="shared" si="88"/>
        <v>0</v>
      </c>
      <c r="M1311" s="15">
        <f t="shared" si="89"/>
        <v>0</v>
      </c>
      <c r="N1311" s="15">
        <f t="shared" si="90"/>
        <v>0</v>
      </c>
      <c r="O1311" s="16">
        <f t="shared" si="91"/>
        <v>0</v>
      </c>
    </row>
    <row r="1312" spans="2:15">
      <c r="B1312" s="9">
        <v>11</v>
      </c>
      <c r="C1312" s="10" t="s">
        <v>152</v>
      </c>
      <c r="D1312" s="10" t="s">
        <v>150</v>
      </c>
      <c r="E1312" s="93">
        <v>12</v>
      </c>
      <c r="F1312" s="93">
        <v>2</v>
      </c>
      <c r="G1312" s="10">
        <v>1</v>
      </c>
      <c r="H1312" s="120">
        <v>0.46700000000001296</v>
      </c>
      <c r="I1312" s="120">
        <v>0.15000000000000568</v>
      </c>
      <c r="J1312" s="120">
        <v>1.5180000000000007</v>
      </c>
      <c r="K1312" s="120">
        <v>2.1350000000000193</v>
      </c>
      <c r="L1312" s="9">
        <f t="shared" si="88"/>
        <v>0.16643011384328651</v>
      </c>
      <c r="M1312" s="10">
        <f t="shared" si="89"/>
        <v>6.0697840353613829E-2</v>
      </c>
      <c r="N1312" s="10">
        <f t="shared" si="90"/>
        <v>0.4010557257718439</v>
      </c>
      <c r="O1312" s="11">
        <f t="shared" si="91"/>
        <v>0.4962375451667379</v>
      </c>
    </row>
    <row r="1313" spans="2:15">
      <c r="B1313" s="12">
        <v>11</v>
      </c>
      <c r="C1313" s="4" t="s">
        <v>152</v>
      </c>
      <c r="D1313" s="4" t="s">
        <v>150</v>
      </c>
      <c r="E1313" s="4">
        <v>12</v>
      </c>
      <c r="F1313" s="4">
        <v>2</v>
      </c>
      <c r="G1313" s="4">
        <v>2</v>
      </c>
      <c r="H1313" s="115">
        <v>1.4329999999999927</v>
      </c>
      <c r="I1313" s="115">
        <v>1.5490000000000208</v>
      </c>
      <c r="J1313" s="115">
        <v>1.6830000000000069</v>
      </c>
      <c r="K1313" s="115">
        <v>4.6650000000000205</v>
      </c>
      <c r="L1313" s="12">
        <f t="shared" si="88"/>
        <v>0.38614210893081719</v>
      </c>
      <c r="M1313" s="4">
        <f t="shared" si="89"/>
        <v>0.40636983546927108</v>
      </c>
      <c r="N1313" s="4">
        <f t="shared" si="90"/>
        <v>0.42862067267194015</v>
      </c>
      <c r="O1313" s="13">
        <f t="shared" si="91"/>
        <v>0.75319991419941767</v>
      </c>
    </row>
    <row r="1314" spans="2:15">
      <c r="B1314" s="12">
        <v>11</v>
      </c>
      <c r="C1314" s="4" t="s">
        <v>152</v>
      </c>
      <c r="D1314" s="4" t="s">
        <v>150</v>
      </c>
      <c r="E1314" s="4">
        <v>12</v>
      </c>
      <c r="F1314" s="4">
        <v>2</v>
      </c>
      <c r="G1314" s="4">
        <v>3</v>
      </c>
      <c r="H1314" s="115"/>
      <c r="I1314" s="115"/>
      <c r="J1314" s="115"/>
      <c r="K1314" s="115">
        <v>0</v>
      </c>
      <c r="L1314" s="12">
        <f t="shared" si="88"/>
        <v>0</v>
      </c>
      <c r="M1314" s="4">
        <f t="shared" si="89"/>
        <v>0</v>
      </c>
      <c r="N1314" s="4">
        <f t="shared" si="90"/>
        <v>0</v>
      </c>
      <c r="O1314" s="13">
        <f t="shared" si="91"/>
        <v>0</v>
      </c>
    </row>
    <row r="1315" spans="2:15">
      <c r="B1315" s="12">
        <v>11</v>
      </c>
      <c r="C1315" s="4" t="s">
        <v>152</v>
      </c>
      <c r="D1315" s="4" t="s">
        <v>150</v>
      </c>
      <c r="E1315" s="4">
        <v>12</v>
      </c>
      <c r="F1315" s="4">
        <v>2</v>
      </c>
      <c r="G1315" s="4">
        <v>4</v>
      </c>
      <c r="H1315" s="115"/>
      <c r="I1315" s="115"/>
      <c r="J1315" s="115"/>
      <c r="K1315" s="115">
        <v>0</v>
      </c>
      <c r="L1315" s="12">
        <f t="shared" si="88"/>
        <v>0</v>
      </c>
      <c r="M1315" s="4">
        <f t="shared" si="89"/>
        <v>0</v>
      </c>
      <c r="N1315" s="4">
        <f t="shared" si="90"/>
        <v>0</v>
      </c>
      <c r="O1315" s="13">
        <f t="shared" si="91"/>
        <v>0</v>
      </c>
    </row>
    <row r="1316" spans="2:15">
      <c r="B1316" s="12">
        <v>11</v>
      </c>
      <c r="C1316" s="4" t="s">
        <v>152</v>
      </c>
      <c r="D1316" s="4" t="s">
        <v>150</v>
      </c>
      <c r="E1316" s="4">
        <v>12</v>
      </c>
      <c r="F1316" s="4">
        <v>2</v>
      </c>
      <c r="G1316" s="4">
        <v>5</v>
      </c>
      <c r="H1316" s="115"/>
      <c r="I1316" s="115"/>
      <c r="J1316" s="115"/>
      <c r="K1316" s="115">
        <v>0</v>
      </c>
      <c r="L1316" s="12">
        <f t="shared" si="88"/>
        <v>0</v>
      </c>
      <c r="M1316" s="4">
        <f t="shared" si="89"/>
        <v>0</v>
      </c>
      <c r="N1316" s="4">
        <f t="shared" si="90"/>
        <v>0</v>
      </c>
      <c r="O1316" s="13">
        <f t="shared" si="91"/>
        <v>0</v>
      </c>
    </row>
    <row r="1317" spans="2:15">
      <c r="B1317" s="12">
        <v>11</v>
      </c>
      <c r="C1317" s="4" t="s">
        <v>152</v>
      </c>
      <c r="D1317" s="4" t="s">
        <v>150</v>
      </c>
      <c r="E1317" s="4">
        <v>12</v>
      </c>
      <c r="F1317" s="4">
        <v>2</v>
      </c>
      <c r="G1317" s="4">
        <v>6</v>
      </c>
      <c r="H1317" s="115"/>
      <c r="I1317" s="115"/>
      <c r="J1317" s="115"/>
      <c r="K1317" s="115">
        <v>0</v>
      </c>
      <c r="L1317" s="12">
        <f t="shared" si="88"/>
        <v>0</v>
      </c>
      <c r="M1317" s="4">
        <f t="shared" si="89"/>
        <v>0</v>
      </c>
      <c r="N1317" s="4">
        <f t="shared" si="90"/>
        <v>0</v>
      </c>
      <c r="O1317" s="13">
        <f t="shared" si="91"/>
        <v>0</v>
      </c>
    </row>
    <row r="1318" spans="2:15">
      <c r="B1318" s="12">
        <v>11</v>
      </c>
      <c r="C1318" s="4" t="s">
        <v>152</v>
      </c>
      <c r="D1318" s="4" t="s">
        <v>150</v>
      </c>
      <c r="E1318" s="4">
        <v>12</v>
      </c>
      <c r="F1318" s="4">
        <v>2</v>
      </c>
      <c r="G1318" s="4">
        <v>7</v>
      </c>
      <c r="H1318" s="115"/>
      <c r="I1318" s="115"/>
      <c r="J1318" s="115"/>
      <c r="K1318" s="115">
        <v>0</v>
      </c>
      <c r="L1318" s="12">
        <f t="shared" si="88"/>
        <v>0</v>
      </c>
      <c r="M1318" s="4">
        <f t="shared" si="89"/>
        <v>0</v>
      </c>
      <c r="N1318" s="4">
        <f t="shared" si="90"/>
        <v>0</v>
      </c>
      <c r="O1318" s="13">
        <f t="shared" si="91"/>
        <v>0</v>
      </c>
    </row>
    <row r="1319" spans="2:15">
      <c r="B1319" s="12">
        <v>11</v>
      </c>
      <c r="C1319" s="4" t="s">
        <v>152</v>
      </c>
      <c r="D1319" s="4" t="s">
        <v>150</v>
      </c>
      <c r="E1319" s="4">
        <v>12</v>
      </c>
      <c r="F1319" s="4">
        <v>2</v>
      </c>
      <c r="G1319" s="4">
        <v>8</v>
      </c>
      <c r="H1319" s="115"/>
      <c r="I1319" s="115"/>
      <c r="J1319" s="115"/>
      <c r="K1319" s="115">
        <v>0</v>
      </c>
      <c r="L1319" s="12">
        <f t="shared" ref="L1319:L1382" si="92">LOG10(H1319+1)</f>
        <v>0</v>
      </c>
      <c r="M1319" s="4">
        <f t="shared" ref="M1319:M1382" si="93">LOG10(I1319+1)</f>
        <v>0</v>
      </c>
      <c r="N1319" s="4">
        <f t="shared" ref="N1319:N1382" si="94">LOG10(J1319+1)</f>
        <v>0</v>
      </c>
      <c r="O1319" s="13">
        <f t="shared" ref="O1319:O1382" si="95">LOG10(K1319+1)</f>
        <v>0</v>
      </c>
    </row>
    <row r="1320" spans="2:15">
      <c r="B1320" s="12">
        <v>11</v>
      </c>
      <c r="C1320" s="4" t="s">
        <v>152</v>
      </c>
      <c r="D1320" s="4" t="s">
        <v>150</v>
      </c>
      <c r="E1320" s="4">
        <v>12</v>
      </c>
      <c r="F1320" s="4">
        <v>2</v>
      </c>
      <c r="G1320" s="4">
        <v>9</v>
      </c>
      <c r="H1320" s="115"/>
      <c r="I1320" s="115"/>
      <c r="J1320" s="115"/>
      <c r="K1320" s="115">
        <v>0</v>
      </c>
      <c r="L1320" s="12">
        <f t="shared" si="92"/>
        <v>0</v>
      </c>
      <c r="M1320" s="4">
        <f t="shared" si="93"/>
        <v>0</v>
      </c>
      <c r="N1320" s="4">
        <f t="shared" si="94"/>
        <v>0</v>
      </c>
      <c r="O1320" s="13">
        <f t="shared" si="95"/>
        <v>0</v>
      </c>
    </row>
    <row r="1321" spans="2:15" ht="13.8" thickBot="1">
      <c r="B1321" s="14">
        <v>11</v>
      </c>
      <c r="C1321" s="15" t="s">
        <v>152</v>
      </c>
      <c r="D1321" s="15" t="s">
        <v>150</v>
      </c>
      <c r="E1321" s="15">
        <v>12</v>
      </c>
      <c r="F1321" s="15">
        <v>2</v>
      </c>
      <c r="G1321" s="15">
        <v>10</v>
      </c>
      <c r="H1321" s="121"/>
      <c r="I1321" s="121"/>
      <c r="J1321" s="121"/>
      <c r="K1321" s="121">
        <v>0</v>
      </c>
      <c r="L1321" s="14">
        <f t="shared" si="92"/>
        <v>0</v>
      </c>
      <c r="M1321" s="15">
        <f t="shared" si="93"/>
        <v>0</v>
      </c>
      <c r="N1321" s="15">
        <f t="shared" si="94"/>
        <v>0</v>
      </c>
      <c r="O1321" s="16">
        <f t="shared" si="95"/>
        <v>0</v>
      </c>
    </row>
    <row r="1322" spans="2:15">
      <c r="B1322" s="9">
        <v>12</v>
      </c>
      <c r="C1322" s="10" t="s">
        <v>151</v>
      </c>
      <c r="D1322" s="10" t="s">
        <v>150</v>
      </c>
      <c r="E1322" s="93">
        <v>1</v>
      </c>
      <c r="F1322" s="93">
        <v>1</v>
      </c>
      <c r="G1322" s="10">
        <v>1</v>
      </c>
      <c r="H1322" s="120">
        <v>1.3639999999999901</v>
      </c>
      <c r="I1322" s="120"/>
      <c r="J1322" s="120">
        <v>1.2160000000000082</v>
      </c>
      <c r="K1322" s="120">
        <v>2.5799999999999983</v>
      </c>
      <c r="L1322" s="9">
        <f t="shared" si="92"/>
        <v>0.37364747220921596</v>
      </c>
      <c r="M1322" s="10">
        <f t="shared" si="93"/>
        <v>0</v>
      </c>
      <c r="N1322" s="10">
        <f t="shared" si="94"/>
        <v>0.34556975605639373</v>
      </c>
      <c r="O1322" s="11">
        <f t="shared" si="95"/>
        <v>0.55388302664387412</v>
      </c>
    </row>
    <row r="1323" spans="2:15">
      <c r="B1323" s="12">
        <v>12</v>
      </c>
      <c r="C1323" s="4" t="s">
        <v>151</v>
      </c>
      <c r="D1323" s="4" t="s">
        <v>150</v>
      </c>
      <c r="E1323" s="4">
        <v>1</v>
      </c>
      <c r="F1323" s="4">
        <v>1</v>
      </c>
      <c r="G1323" s="4">
        <v>2</v>
      </c>
      <c r="H1323" s="115"/>
      <c r="I1323" s="115"/>
      <c r="J1323" s="115"/>
      <c r="K1323" s="115">
        <v>0</v>
      </c>
      <c r="L1323" s="12">
        <f t="shared" si="92"/>
        <v>0</v>
      </c>
      <c r="M1323" s="4">
        <f t="shared" si="93"/>
        <v>0</v>
      </c>
      <c r="N1323" s="4">
        <f t="shared" si="94"/>
        <v>0</v>
      </c>
      <c r="O1323" s="13">
        <f t="shared" si="95"/>
        <v>0</v>
      </c>
    </row>
    <row r="1324" spans="2:15">
      <c r="B1324" s="12">
        <v>12</v>
      </c>
      <c r="C1324" s="4" t="s">
        <v>151</v>
      </c>
      <c r="D1324" s="4" t="s">
        <v>150</v>
      </c>
      <c r="E1324" s="4">
        <v>1</v>
      </c>
      <c r="F1324" s="4">
        <v>1</v>
      </c>
      <c r="G1324" s="4">
        <v>3</v>
      </c>
      <c r="H1324" s="115"/>
      <c r="I1324" s="115"/>
      <c r="J1324" s="115"/>
      <c r="K1324" s="115">
        <v>0</v>
      </c>
      <c r="L1324" s="12">
        <f t="shared" si="92"/>
        <v>0</v>
      </c>
      <c r="M1324" s="4">
        <f t="shared" si="93"/>
        <v>0</v>
      </c>
      <c r="N1324" s="4">
        <f t="shared" si="94"/>
        <v>0</v>
      </c>
      <c r="O1324" s="13">
        <f t="shared" si="95"/>
        <v>0</v>
      </c>
    </row>
    <row r="1325" spans="2:15">
      <c r="B1325" s="12">
        <v>12</v>
      </c>
      <c r="C1325" s="4" t="s">
        <v>151</v>
      </c>
      <c r="D1325" s="4" t="s">
        <v>150</v>
      </c>
      <c r="E1325" s="4">
        <v>1</v>
      </c>
      <c r="F1325" s="4">
        <v>1</v>
      </c>
      <c r="G1325" s="4">
        <v>4</v>
      </c>
      <c r="H1325" s="115"/>
      <c r="I1325" s="115"/>
      <c r="J1325" s="115"/>
      <c r="K1325" s="115">
        <v>0</v>
      </c>
      <c r="L1325" s="12">
        <f t="shared" si="92"/>
        <v>0</v>
      </c>
      <c r="M1325" s="4">
        <f t="shared" si="93"/>
        <v>0</v>
      </c>
      <c r="N1325" s="4">
        <f t="shared" si="94"/>
        <v>0</v>
      </c>
      <c r="O1325" s="13">
        <f t="shared" si="95"/>
        <v>0</v>
      </c>
    </row>
    <row r="1326" spans="2:15">
      <c r="B1326" s="12">
        <v>12</v>
      </c>
      <c r="C1326" s="4" t="s">
        <v>151</v>
      </c>
      <c r="D1326" s="4" t="s">
        <v>150</v>
      </c>
      <c r="E1326" s="4">
        <v>1</v>
      </c>
      <c r="F1326" s="4">
        <v>1</v>
      </c>
      <c r="G1326" s="4">
        <v>5</v>
      </c>
      <c r="H1326" s="115"/>
      <c r="I1326" s="115"/>
      <c r="J1326" s="115"/>
      <c r="K1326" s="115">
        <v>0</v>
      </c>
      <c r="L1326" s="12">
        <f t="shared" si="92"/>
        <v>0</v>
      </c>
      <c r="M1326" s="4">
        <f t="shared" si="93"/>
        <v>0</v>
      </c>
      <c r="N1326" s="4">
        <f t="shared" si="94"/>
        <v>0</v>
      </c>
      <c r="O1326" s="13">
        <f t="shared" si="95"/>
        <v>0</v>
      </c>
    </row>
    <row r="1327" spans="2:15">
      <c r="B1327" s="12">
        <v>12</v>
      </c>
      <c r="C1327" s="4" t="s">
        <v>151</v>
      </c>
      <c r="D1327" s="4" t="s">
        <v>150</v>
      </c>
      <c r="E1327" s="4">
        <v>1</v>
      </c>
      <c r="F1327" s="4">
        <v>1</v>
      </c>
      <c r="G1327" s="4">
        <v>6</v>
      </c>
      <c r="H1327" s="115"/>
      <c r="I1327" s="115"/>
      <c r="J1327" s="115"/>
      <c r="K1327" s="115">
        <v>0</v>
      </c>
      <c r="L1327" s="12">
        <f t="shared" si="92"/>
        <v>0</v>
      </c>
      <c r="M1327" s="4">
        <f t="shared" si="93"/>
        <v>0</v>
      </c>
      <c r="N1327" s="4">
        <f t="shared" si="94"/>
        <v>0</v>
      </c>
      <c r="O1327" s="13">
        <f t="shared" si="95"/>
        <v>0</v>
      </c>
    </row>
    <row r="1328" spans="2:15">
      <c r="B1328" s="12">
        <v>12</v>
      </c>
      <c r="C1328" s="4" t="s">
        <v>151</v>
      </c>
      <c r="D1328" s="4" t="s">
        <v>150</v>
      </c>
      <c r="E1328" s="4">
        <v>1</v>
      </c>
      <c r="F1328" s="4">
        <v>1</v>
      </c>
      <c r="G1328" s="4">
        <v>7</v>
      </c>
      <c r="H1328" s="115"/>
      <c r="I1328" s="115"/>
      <c r="J1328" s="115"/>
      <c r="K1328" s="115">
        <v>0</v>
      </c>
      <c r="L1328" s="12">
        <f t="shared" si="92"/>
        <v>0</v>
      </c>
      <c r="M1328" s="4">
        <f t="shared" si="93"/>
        <v>0</v>
      </c>
      <c r="N1328" s="4">
        <f t="shared" si="94"/>
        <v>0</v>
      </c>
      <c r="O1328" s="13">
        <f t="shared" si="95"/>
        <v>0</v>
      </c>
    </row>
    <row r="1329" spans="2:15">
      <c r="B1329" s="12">
        <v>12</v>
      </c>
      <c r="C1329" s="4" t="s">
        <v>151</v>
      </c>
      <c r="D1329" s="4" t="s">
        <v>150</v>
      </c>
      <c r="E1329" s="4">
        <v>1</v>
      </c>
      <c r="F1329" s="4">
        <v>1</v>
      </c>
      <c r="G1329" s="4">
        <v>8</v>
      </c>
      <c r="H1329" s="115"/>
      <c r="I1329" s="115"/>
      <c r="J1329" s="115"/>
      <c r="K1329" s="115">
        <v>0</v>
      </c>
      <c r="L1329" s="12">
        <f t="shared" si="92"/>
        <v>0</v>
      </c>
      <c r="M1329" s="4">
        <f t="shared" si="93"/>
        <v>0</v>
      </c>
      <c r="N1329" s="4">
        <f t="shared" si="94"/>
        <v>0</v>
      </c>
      <c r="O1329" s="13">
        <f t="shared" si="95"/>
        <v>0</v>
      </c>
    </row>
    <row r="1330" spans="2:15">
      <c r="B1330" s="12">
        <v>12</v>
      </c>
      <c r="C1330" s="4" t="s">
        <v>151</v>
      </c>
      <c r="D1330" s="4" t="s">
        <v>150</v>
      </c>
      <c r="E1330" s="4">
        <v>1</v>
      </c>
      <c r="F1330" s="4">
        <v>1</v>
      </c>
      <c r="G1330" s="4">
        <v>9</v>
      </c>
      <c r="H1330" s="115"/>
      <c r="I1330" s="115"/>
      <c r="J1330" s="115"/>
      <c r="K1330" s="115">
        <v>0</v>
      </c>
      <c r="L1330" s="12">
        <f t="shared" si="92"/>
        <v>0</v>
      </c>
      <c r="M1330" s="4">
        <f t="shared" si="93"/>
        <v>0</v>
      </c>
      <c r="N1330" s="4">
        <f t="shared" si="94"/>
        <v>0</v>
      </c>
      <c r="O1330" s="13">
        <f t="shared" si="95"/>
        <v>0</v>
      </c>
    </row>
    <row r="1331" spans="2:15" ht="13.8" thickBot="1">
      <c r="B1331" s="14">
        <v>12</v>
      </c>
      <c r="C1331" s="15" t="s">
        <v>151</v>
      </c>
      <c r="D1331" s="15" t="s">
        <v>150</v>
      </c>
      <c r="E1331" s="15">
        <v>1</v>
      </c>
      <c r="F1331" s="15">
        <v>1</v>
      </c>
      <c r="G1331" s="15">
        <v>10</v>
      </c>
      <c r="H1331" s="121"/>
      <c r="I1331" s="121"/>
      <c r="J1331" s="121"/>
      <c r="K1331" s="121">
        <v>0</v>
      </c>
      <c r="L1331" s="14">
        <f t="shared" si="92"/>
        <v>0</v>
      </c>
      <c r="M1331" s="15">
        <f t="shared" si="93"/>
        <v>0</v>
      </c>
      <c r="N1331" s="15">
        <f t="shared" si="94"/>
        <v>0</v>
      </c>
      <c r="O1331" s="16">
        <f t="shared" si="95"/>
        <v>0</v>
      </c>
    </row>
    <row r="1332" spans="2:15">
      <c r="B1332" s="9">
        <v>12</v>
      </c>
      <c r="C1332" s="10" t="s">
        <v>151</v>
      </c>
      <c r="D1332" s="10" t="s">
        <v>154</v>
      </c>
      <c r="E1332" s="93">
        <v>2</v>
      </c>
      <c r="F1332" s="93">
        <v>11</v>
      </c>
      <c r="G1332" s="10">
        <v>1</v>
      </c>
      <c r="H1332" s="120">
        <v>2.7970000000000255</v>
      </c>
      <c r="I1332" s="120">
        <v>2.0159999999997353</v>
      </c>
      <c r="J1332" s="120">
        <v>0.45000000000015916</v>
      </c>
      <c r="K1332" s="120">
        <v>5.26299999999992</v>
      </c>
      <c r="L1332" s="9">
        <f t="shared" si="92"/>
        <v>0.57944059713980012</v>
      </c>
      <c r="M1332" s="10">
        <f t="shared" si="93"/>
        <v>0.47943133719769832</v>
      </c>
      <c r="N1332" s="10">
        <f t="shared" si="94"/>
        <v>0.16136800223502257</v>
      </c>
      <c r="O1332" s="11">
        <f t="shared" si="95"/>
        <v>0.79678241170130226</v>
      </c>
    </row>
    <row r="1333" spans="2:15">
      <c r="B1333" s="12">
        <v>12</v>
      </c>
      <c r="C1333" s="4" t="s">
        <v>151</v>
      </c>
      <c r="D1333" s="4" t="s">
        <v>154</v>
      </c>
      <c r="E1333" s="4">
        <v>2</v>
      </c>
      <c r="F1333" s="4">
        <v>11</v>
      </c>
      <c r="G1333" s="4">
        <v>2</v>
      </c>
      <c r="H1333" s="115">
        <v>0.11599999999998545</v>
      </c>
      <c r="I1333" s="115"/>
      <c r="J1333" s="115"/>
      <c r="K1333" s="115">
        <v>0.11599999999998545</v>
      </c>
      <c r="L1333" s="12">
        <f t="shared" si="92"/>
        <v>4.7664194601554279E-2</v>
      </c>
      <c r="M1333" s="4">
        <f t="shared" si="93"/>
        <v>0</v>
      </c>
      <c r="N1333" s="4">
        <f t="shared" si="94"/>
        <v>0</v>
      </c>
      <c r="O1333" s="13">
        <f t="shared" si="95"/>
        <v>4.7664194601554279E-2</v>
      </c>
    </row>
    <row r="1334" spans="2:15">
      <c r="B1334" s="12">
        <v>12</v>
      </c>
      <c r="C1334" s="4" t="s">
        <v>151</v>
      </c>
      <c r="D1334" s="4" t="s">
        <v>154</v>
      </c>
      <c r="E1334" s="4">
        <v>2</v>
      </c>
      <c r="F1334" s="4">
        <v>11</v>
      </c>
      <c r="G1334" s="4">
        <v>3</v>
      </c>
      <c r="H1334" s="115">
        <v>0.1330000000000382</v>
      </c>
      <c r="I1334" s="115"/>
      <c r="J1334" s="115"/>
      <c r="K1334" s="115">
        <v>0.1330000000000382</v>
      </c>
      <c r="L1334" s="12">
        <f t="shared" si="92"/>
        <v>5.422990986341189E-2</v>
      </c>
      <c r="M1334" s="4">
        <f t="shared" si="93"/>
        <v>0</v>
      </c>
      <c r="N1334" s="4">
        <f t="shared" si="94"/>
        <v>0</v>
      </c>
      <c r="O1334" s="13">
        <f t="shared" si="95"/>
        <v>5.422990986341189E-2</v>
      </c>
    </row>
    <row r="1335" spans="2:15">
      <c r="B1335" s="12">
        <v>12</v>
      </c>
      <c r="C1335" s="4" t="s">
        <v>151</v>
      </c>
      <c r="D1335" s="4" t="s">
        <v>154</v>
      </c>
      <c r="E1335" s="4">
        <v>2</v>
      </c>
      <c r="F1335" s="4">
        <v>11</v>
      </c>
      <c r="G1335" s="4">
        <v>4</v>
      </c>
      <c r="H1335" s="115"/>
      <c r="I1335" s="115"/>
      <c r="J1335" s="115"/>
      <c r="K1335" s="115">
        <v>0</v>
      </c>
      <c r="L1335" s="12">
        <f t="shared" si="92"/>
        <v>0</v>
      </c>
      <c r="M1335" s="4">
        <f t="shared" si="93"/>
        <v>0</v>
      </c>
      <c r="N1335" s="4">
        <f t="shared" si="94"/>
        <v>0</v>
      </c>
      <c r="O1335" s="13">
        <f t="shared" si="95"/>
        <v>0</v>
      </c>
    </row>
    <row r="1336" spans="2:15">
      <c r="B1336" s="12">
        <v>12</v>
      </c>
      <c r="C1336" s="4" t="s">
        <v>151</v>
      </c>
      <c r="D1336" s="4" t="s">
        <v>154</v>
      </c>
      <c r="E1336" s="4">
        <v>2</v>
      </c>
      <c r="F1336" s="4">
        <v>11</v>
      </c>
      <c r="G1336" s="4">
        <v>5</v>
      </c>
      <c r="H1336" s="115"/>
      <c r="I1336" s="115"/>
      <c r="J1336" s="115"/>
      <c r="K1336" s="115">
        <v>0</v>
      </c>
      <c r="L1336" s="12">
        <f t="shared" si="92"/>
        <v>0</v>
      </c>
      <c r="M1336" s="4">
        <f t="shared" si="93"/>
        <v>0</v>
      </c>
      <c r="N1336" s="4">
        <f t="shared" si="94"/>
        <v>0</v>
      </c>
      <c r="O1336" s="13">
        <f t="shared" si="95"/>
        <v>0</v>
      </c>
    </row>
    <row r="1337" spans="2:15">
      <c r="B1337" s="12">
        <v>12</v>
      </c>
      <c r="C1337" s="4" t="s">
        <v>151</v>
      </c>
      <c r="D1337" s="4" t="s">
        <v>154</v>
      </c>
      <c r="E1337" s="4">
        <v>2</v>
      </c>
      <c r="F1337" s="4">
        <v>11</v>
      </c>
      <c r="G1337" s="4">
        <v>6</v>
      </c>
      <c r="H1337" s="115"/>
      <c r="I1337" s="115"/>
      <c r="J1337" s="115"/>
      <c r="K1337" s="115">
        <v>0</v>
      </c>
      <c r="L1337" s="12">
        <f t="shared" si="92"/>
        <v>0</v>
      </c>
      <c r="M1337" s="4">
        <f t="shared" si="93"/>
        <v>0</v>
      </c>
      <c r="N1337" s="4">
        <f t="shared" si="94"/>
        <v>0</v>
      </c>
      <c r="O1337" s="13">
        <f t="shared" si="95"/>
        <v>0</v>
      </c>
    </row>
    <row r="1338" spans="2:15">
      <c r="B1338" s="12">
        <v>12</v>
      </c>
      <c r="C1338" s="4" t="s">
        <v>151</v>
      </c>
      <c r="D1338" s="4" t="s">
        <v>154</v>
      </c>
      <c r="E1338" s="4">
        <v>2</v>
      </c>
      <c r="F1338" s="4">
        <v>11</v>
      </c>
      <c r="G1338" s="4">
        <v>7</v>
      </c>
      <c r="H1338" s="115"/>
      <c r="I1338" s="115"/>
      <c r="J1338" s="115"/>
      <c r="K1338" s="115">
        <v>0</v>
      </c>
      <c r="L1338" s="12">
        <f t="shared" si="92"/>
        <v>0</v>
      </c>
      <c r="M1338" s="4">
        <f t="shared" si="93"/>
        <v>0</v>
      </c>
      <c r="N1338" s="4">
        <f t="shared" si="94"/>
        <v>0</v>
      </c>
      <c r="O1338" s="13">
        <f t="shared" si="95"/>
        <v>0</v>
      </c>
    </row>
    <row r="1339" spans="2:15">
      <c r="B1339" s="12">
        <v>12</v>
      </c>
      <c r="C1339" s="4" t="s">
        <v>151</v>
      </c>
      <c r="D1339" s="4" t="s">
        <v>154</v>
      </c>
      <c r="E1339" s="4">
        <v>2</v>
      </c>
      <c r="F1339" s="4">
        <v>11</v>
      </c>
      <c r="G1339" s="4">
        <v>8</v>
      </c>
      <c r="H1339" s="115"/>
      <c r="I1339" s="115"/>
      <c r="J1339" s="115"/>
      <c r="K1339" s="115">
        <v>0</v>
      </c>
      <c r="L1339" s="12">
        <f t="shared" si="92"/>
        <v>0</v>
      </c>
      <c r="M1339" s="4">
        <f t="shared" si="93"/>
        <v>0</v>
      </c>
      <c r="N1339" s="4">
        <f t="shared" si="94"/>
        <v>0</v>
      </c>
      <c r="O1339" s="13">
        <f t="shared" si="95"/>
        <v>0</v>
      </c>
    </row>
    <row r="1340" spans="2:15">
      <c r="B1340" s="12">
        <v>12</v>
      </c>
      <c r="C1340" s="4" t="s">
        <v>151</v>
      </c>
      <c r="D1340" s="4" t="s">
        <v>154</v>
      </c>
      <c r="E1340" s="4">
        <v>2</v>
      </c>
      <c r="F1340" s="4">
        <v>11</v>
      </c>
      <c r="G1340" s="4">
        <v>9</v>
      </c>
      <c r="H1340" s="115"/>
      <c r="I1340" s="115"/>
      <c r="J1340" s="115"/>
      <c r="K1340" s="115">
        <v>0</v>
      </c>
      <c r="L1340" s="12">
        <f t="shared" si="92"/>
        <v>0</v>
      </c>
      <c r="M1340" s="4">
        <f t="shared" si="93"/>
        <v>0</v>
      </c>
      <c r="N1340" s="4">
        <f t="shared" si="94"/>
        <v>0</v>
      </c>
      <c r="O1340" s="13">
        <f t="shared" si="95"/>
        <v>0</v>
      </c>
    </row>
    <row r="1341" spans="2:15" ht="13.8" thickBot="1">
      <c r="B1341" s="14">
        <v>12</v>
      </c>
      <c r="C1341" s="15" t="s">
        <v>151</v>
      </c>
      <c r="D1341" s="15" t="s">
        <v>154</v>
      </c>
      <c r="E1341" s="15">
        <v>2</v>
      </c>
      <c r="F1341" s="15">
        <v>11</v>
      </c>
      <c r="G1341" s="15">
        <v>10</v>
      </c>
      <c r="H1341" s="121"/>
      <c r="I1341" s="121"/>
      <c r="J1341" s="121"/>
      <c r="K1341" s="121">
        <v>0</v>
      </c>
      <c r="L1341" s="14">
        <f t="shared" si="92"/>
        <v>0</v>
      </c>
      <c r="M1341" s="15">
        <f t="shared" si="93"/>
        <v>0</v>
      </c>
      <c r="N1341" s="15">
        <f t="shared" si="94"/>
        <v>0</v>
      </c>
      <c r="O1341" s="16">
        <f t="shared" si="95"/>
        <v>0</v>
      </c>
    </row>
    <row r="1342" spans="2:15">
      <c r="B1342" s="9">
        <v>12</v>
      </c>
      <c r="C1342" s="10" t="s">
        <v>151</v>
      </c>
      <c r="D1342" s="10" t="s">
        <v>150</v>
      </c>
      <c r="E1342" s="93">
        <v>3</v>
      </c>
      <c r="F1342" s="93">
        <v>3</v>
      </c>
      <c r="G1342" s="10">
        <v>1</v>
      </c>
      <c r="H1342" s="120">
        <v>2.6500000000000057</v>
      </c>
      <c r="I1342" s="120">
        <v>1.466000000000065</v>
      </c>
      <c r="J1342" s="120">
        <v>1.051000000000073</v>
      </c>
      <c r="K1342" s="120">
        <v>5.1670000000001437</v>
      </c>
      <c r="L1342" s="9">
        <f t="shared" si="92"/>
        <v>0.56229286445647542</v>
      </c>
      <c r="M1342" s="10">
        <f t="shared" si="93"/>
        <v>0.3919930722597243</v>
      </c>
      <c r="N1342" s="10">
        <f t="shared" si="94"/>
        <v>0.31196566036838175</v>
      </c>
      <c r="O1342" s="11">
        <f t="shared" si="95"/>
        <v>0.79007394842631484</v>
      </c>
    </row>
    <row r="1343" spans="2:15">
      <c r="B1343" s="12">
        <v>12</v>
      </c>
      <c r="C1343" s="4" t="s">
        <v>151</v>
      </c>
      <c r="D1343" s="4" t="s">
        <v>150</v>
      </c>
      <c r="E1343" s="4">
        <v>3</v>
      </c>
      <c r="F1343" s="4">
        <v>3</v>
      </c>
      <c r="G1343" s="4">
        <v>2</v>
      </c>
      <c r="H1343" s="115"/>
      <c r="I1343" s="115"/>
      <c r="J1343" s="115"/>
      <c r="K1343" s="115">
        <v>0</v>
      </c>
      <c r="L1343" s="12">
        <f t="shared" si="92"/>
        <v>0</v>
      </c>
      <c r="M1343" s="4">
        <f t="shared" si="93"/>
        <v>0</v>
      </c>
      <c r="N1343" s="4">
        <f t="shared" si="94"/>
        <v>0</v>
      </c>
      <c r="O1343" s="13">
        <f t="shared" si="95"/>
        <v>0</v>
      </c>
    </row>
    <row r="1344" spans="2:15">
      <c r="B1344" s="12">
        <v>12</v>
      </c>
      <c r="C1344" s="4" t="s">
        <v>151</v>
      </c>
      <c r="D1344" s="4" t="s">
        <v>150</v>
      </c>
      <c r="E1344" s="4">
        <v>3</v>
      </c>
      <c r="F1344" s="4">
        <v>3</v>
      </c>
      <c r="G1344" s="4">
        <v>3</v>
      </c>
      <c r="H1344" s="115"/>
      <c r="I1344" s="115"/>
      <c r="J1344" s="115"/>
      <c r="K1344" s="115">
        <v>0</v>
      </c>
      <c r="L1344" s="12">
        <f t="shared" si="92"/>
        <v>0</v>
      </c>
      <c r="M1344" s="4">
        <f t="shared" si="93"/>
        <v>0</v>
      </c>
      <c r="N1344" s="4">
        <f t="shared" si="94"/>
        <v>0</v>
      </c>
      <c r="O1344" s="13">
        <f t="shared" si="95"/>
        <v>0</v>
      </c>
    </row>
    <row r="1345" spans="2:15">
      <c r="B1345" s="12">
        <v>12</v>
      </c>
      <c r="C1345" s="4" t="s">
        <v>151</v>
      </c>
      <c r="D1345" s="4" t="s">
        <v>150</v>
      </c>
      <c r="E1345" s="4">
        <v>3</v>
      </c>
      <c r="F1345" s="4">
        <v>3</v>
      </c>
      <c r="G1345" s="4">
        <v>4</v>
      </c>
      <c r="H1345" s="115"/>
      <c r="I1345" s="115"/>
      <c r="J1345" s="115"/>
      <c r="K1345" s="115">
        <v>0</v>
      </c>
      <c r="L1345" s="12">
        <f t="shared" si="92"/>
        <v>0</v>
      </c>
      <c r="M1345" s="4">
        <f t="shared" si="93"/>
        <v>0</v>
      </c>
      <c r="N1345" s="4">
        <f t="shared" si="94"/>
        <v>0</v>
      </c>
      <c r="O1345" s="13">
        <f t="shared" si="95"/>
        <v>0</v>
      </c>
    </row>
    <row r="1346" spans="2:15">
      <c r="B1346" s="12">
        <v>12</v>
      </c>
      <c r="C1346" s="4" t="s">
        <v>151</v>
      </c>
      <c r="D1346" s="4" t="s">
        <v>150</v>
      </c>
      <c r="E1346" s="4">
        <v>3</v>
      </c>
      <c r="F1346" s="4">
        <v>3</v>
      </c>
      <c r="G1346" s="4">
        <v>5</v>
      </c>
      <c r="H1346" s="115"/>
      <c r="I1346" s="115"/>
      <c r="J1346" s="115"/>
      <c r="K1346" s="115">
        <v>0</v>
      </c>
      <c r="L1346" s="12">
        <f t="shared" si="92"/>
        <v>0</v>
      </c>
      <c r="M1346" s="4">
        <f t="shared" si="93"/>
        <v>0</v>
      </c>
      <c r="N1346" s="4">
        <f t="shared" si="94"/>
        <v>0</v>
      </c>
      <c r="O1346" s="13">
        <f t="shared" si="95"/>
        <v>0</v>
      </c>
    </row>
    <row r="1347" spans="2:15">
      <c r="B1347" s="12">
        <v>12</v>
      </c>
      <c r="C1347" s="4" t="s">
        <v>151</v>
      </c>
      <c r="D1347" s="4" t="s">
        <v>150</v>
      </c>
      <c r="E1347" s="4">
        <v>3</v>
      </c>
      <c r="F1347" s="4">
        <v>3</v>
      </c>
      <c r="G1347" s="4">
        <v>6</v>
      </c>
      <c r="H1347" s="115"/>
      <c r="I1347" s="115"/>
      <c r="J1347" s="115"/>
      <c r="K1347" s="115">
        <v>0</v>
      </c>
      <c r="L1347" s="12">
        <f t="shared" si="92"/>
        <v>0</v>
      </c>
      <c r="M1347" s="4">
        <f t="shared" si="93"/>
        <v>0</v>
      </c>
      <c r="N1347" s="4">
        <f t="shared" si="94"/>
        <v>0</v>
      </c>
      <c r="O1347" s="13">
        <f t="shared" si="95"/>
        <v>0</v>
      </c>
    </row>
    <row r="1348" spans="2:15">
      <c r="B1348" s="12">
        <v>12</v>
      </c>
      <c r="C1348" s="4" t="s">
        <v>151</v>
      </c>
      <c r="D1348" s="4" t="s">
        <v>150</v>
      </c>
      <c r="E1348" s="4">
        <v>3</v>
      </c>
      <c r="F1348" s="4">
        <v>3</v>
      </c>
      <c r="G1348" s="4">
        <v>7</v>
      </c>
      <c r="H1348" s="115"/>
      <c r="I1348" s="115"/>
      <c r="J1348" s="115"/>
      <c r="K1348" s="115">
        <v>0</v>
      </c>
      <c r="L1348" s="12">
        <f t="shared" si="92"/>
        <v>0</v>
      </c>
      <c r="M1348" s="4">
        <f t="shared" si="93"/>
        <v>0</v>
      </c>
      <c r="N1348" s="4">
        <f t="shared" si="94"/>
        <v>0</v>
      </c>
      <c r="O1348" s="13">
        <f t="shared" si="95"/>
        <v>0</v>
      </c>
    </row>
    <row r="1349" spans="2:15">
      <c r="B1349" s="12">
        <v>12</v>
      </c>
      <c r="C1349" s="4" t="s">
        <v>151</v>
      </c>
      <c r="D1349" s="4" t="s">
        <v>150</v>
      </c>
      <c r="E1349" s="4">
        <v>3</v>
      </c>
      <c r="F1349" s="4">
        <v>3</v>
      </c>
      <c r="G1349" s="4">
        <v>8</v>
      </c>
      <c r="H1349" s="115"/>
      <c r="I1349" s="115"/>
      <c r="J1349" s="115"/>
      <c r="K1349" s="115">
        <v>0</v>
      </c>
      <c r="L1349" s="12">
        <f t="shared" si="92"/>
        <v>0</v>
      </c>
      <c r="M1349" s="4">
        <f t="shared" si="93"/>
        <v>0</v>
      </c>
      <c r="N1349" s="4">
        <f t="shared" si="94"/>
        <v>0</v>
      </c>
      <c r="O1349" s="13">
        <f t="shared" si="95"/>
        <v>0</v>
      </c>
    </row>
    <row r="1350" spans="2:15">
      <c r="B1350" s="12">
        <v>12</v>
      </c>
      <c r="C1350" s="4" t="s">
        <v>151</v>
      </c>
      <c r="D1350" s="4" t="s">
        <v>150</v>
      </c>
      <c r="E1350" s="4">
        <v>3</v>
      </c>
      <c r="F1350" s="4">
        <v>3</v>
      </c>
      <c r="G1350" s="4">
        <v>9</v>
      </c>
      <c r="H1350" s="115"/>
      <c r="I1350" s="115"/>
      <c r="J1350" s="115"/>
      <c r="K1350" s="115">
        <v>0</v>
      </c>
      <c r="L1350" s="12">
        <f t="shared" si="92"/>
        <v>0</v>
      </c>
      <c r="M1350" s="4">
        <f t="shared" si="93"/>
        <v>0</v>
      </c>
      <c r="N1350" s="4">
        <f t="shared" si="94"/>
        <v>0</v>
      </c>
      <c r="O1350" s="13">
        <f t="shared" si="95"/>
        <v>0</v>
      </c>
    </row>
    <row r="1351" spans="2:15" ht="13.8" thickBot="1">
      <c r="B1351" s="14">
        <v>12</v>
      </c>
      <c r="C1351" s="15" t="s">
        <v>151</v>
      </c>
      <c r="D1351" s="15" t="s">
        <v>150</v>
      </c>
      <c r="E1351" s="15">
        <v>3</v>
      </c>
      <c r="F1351" s="15">
        <v>3</v>
      </c>
      <c r="G1351" s="15">
        <v>10</v>
      </c>
      <c r="H1351" s="121"/>
      <c r="I1351" s="121"/>
      <c r="J1351" s="121"/>
      <c r="K1351" s="121">
        <v>0</v>
      </c>
      <c r="L1351" s="14">
        <f t="shared" si="92"/>
        <v>0</v>
      </c>
      <c r="M1351" s="15">
        <f t="shared" si="93"/>
        <v>0</v>
      </c>
      <c r="N1351" s="15">
        <f t="shared" si="94"/>
        <v>0</v>
      </c>
      <c r="O1351" s="16">
        <f t="shared" si="95"/>
        <v>0</v>
      </c>
    </row>
    <row r="1352" spans="2:15">
      <c r="B1352" s="9">
        <v>12</v>
      </c>
      <c r="C1352" s="10" t="s">
        <v>151</v>
      </c>
      <c r="D1352" s="10" t="s">
        <v>149</v>
      </c>
      <c r="E1352" s="93">
        <v>4</v>
      </c>
      <c r="F1352" s="93">
        <v>7</v>
      </c>
      <c r="G1352" s="10">
        <v>1</v>
      </c>
      <c r="H1352" s="120">
        <v>1.2990000000001487</v>
      </c>
      <c r="I1352" s="120"/>
      <c r="J1352" s="120">
        <v>0.28299999999995862</v>
      </c>
      <c r="K1352" s="120">
        <v>1.5820000000001073</v>
      </c>
      <c r="L1352" s="9">
        <f t="shared" si="92"/>
        <v>0.36153897126930712</v>
      </c>
      <c r="M1352" s="10">
        <f t="shared" si="93"/>
        <v>0</v>
      </c>
      <c r="N1352" s="10">
        <f t="shared" si="94"/>
        <v>0.10822665637491449</v>
      </c>
      <c r="O1352" s="11">
        <f t="shared" si="95"/>
        <v>0.41195623793041958</v>
      </c>
    </row>
    <row r="1353" spans="2:15">
      <c r="B1353" s="12">
        <v>12</v>
      </c>
      <c r="C1353" s="4" t="s">
        <v>151</v>
      </c>
      <c r="D1353" s="4" t="s">
        <v>149</v>
      </c>
      <c r="E1353" s="4">
        <v>4</v>
      </c>
      <c r="F1353" s="4">
        <v>7</v>
      </c>
      <c r="G1353" s="4">
        <v>2</v>
      </c>
      <c r="H1353" s="115">
        <v>0.13400000000001455</v>
      </c>
      <c r="I1353" s="115"/>
      <c r="J1353" s="115"/>
      <c r="K1353" s="115">
        <v>0.13400000000001455</v>
      </c>
      <c r="L1353" s="12">
        <f t="shared" si="92"/>
        <v>5.4613054556893345E-2</v>
      </c>
      <c r="M1353" s="4">
        <f t="shared" si="93"/>
        <v>0</v>
      </c>
      <c r="N1353" s="4">
        <f t="shared" si="94"/>
        <v>0</v>
      </c>
      <c r="O1353" s="13">
        <f t="shared" si="95"/>
        <v>5.4613054556893345E-2</v>
      </c>
    </row>
    <row r="1354" spans="2:15">
      <c r="B1354" s="12">
        <v>12</v>
      </c>
      <c r="C1354" s="4" t="s">
        <v>151</v>
      </c>
      <c r="D1354" s="4" t="s">
        <v>149</v>
      </c>
      <c r="E1354" s="4">
        <v>4</v>
      </c>
      <c r="F1354" s="4">
        <v>7</v>
      </c>
      <c r="G1354" s="4">
        <v>3</v>
      </c>
      <c r="H1354" s="115"/>
      <c r="I1354" s="115"/>
      <c r="J1354" s="115"/>
      <c r="K1354" s="115">
        <v>0</v>
      </c>
      <c r="L1354" s="12">
        <f t="shared" si="92"/>
        <v>0</v>
      </c>
      <c r="M1354" s="4">
        <f t="shared" si="93"/>
        <v>0</v>
      </c>
      <c r="N1354" s="4">
        <f t="shared" si="94"/>
        <v>0</v>
      </c>
      <c r="O1354" s="13">
        <f t="shared" si="95"/>
        <v>0</v>
      </c>
    </row>
    <row r="1355" spans="2:15">
      <c r="B1355" s="12">
        <v>12</v>
      </c>
      <c r="C1355" s="4" t="s">
        <v>151</v>
      </c>
      <c r="D1355" s="4" t="s">
        <v>149</v>
      </c>
      <c r="E1355" s="4">
        <v>4</v>
      </c>
      <c r="F1355" s="4">
        <v>7</v>
      </c>
      <c r="G1355" s="4">
        <v>4</v>
      </c>
      <c r="H1355" s="115"/>
      <c r="I1355" s="115"/>
      <c r="J1355" s="115"/>
      <c r="K1355" s="115">
        <v>0</v>
      </c>
      <c r="L1355" s="12">
        <f t="shared" si="92"/>
        <v>0</v>
      </c>
      <c r="M1355" s="4">
        <f t="shared" si="93"/>
        <v>0</v>
      </c>
      <c r="N1355" s="4">
        <f t="shared" si="94"/>
        <v>0</v>
      </c>
      <c r="O1355" s="13">
        <f t="shared" si="95"/>
        <v>0</v>
      </c>
    </row>
    <row r="1356" spans="2:15">
      <c r="B1356" s="12">
        <v>12</v>
      </c>
      <c r="C1356" s="4" t="s">
        <v>151</v>
      </c>
      <c r="D1356" s="4" t="s">
        <v>149</v>
      </c>
      <c r="E1356" s="4">
        <v>4</v>
      </c>
      <c r="F1356" s="4">
        <v>7</v>
      </c>
      <c r="G1356" s="4">
        <v>5</v>
      </c>
      <c r="H1356" s="115"/>
      <c r="I1356" s="115"/>
      <c r="J1356" s="115"/>
      <c r="K1356" s="115">
        <v>0</v>
      </c>
      <c r="L1356" s="12">
        <f t="shared" si="92"/>
        <v>0</v>
      </c>
      <c r="M1356" s="4">
        <f t="shared" si="93"/>
        <v>0</v>
      </c>
      <c r="N1356" s="4">
        <f t="shared" si="94"/>
        <v>0</v>
      </c>
      <c r="O1356" s="13">
        <f t="shared" si="95"/>
        <v>0</v>
      </c>
    </row>
    <row r="1357" spans="2:15">
      <c r="B1357" s="12">
        <v>12</v>
      </c>
      <c r="C1357" s="4" t="s">
        <v>151</v>
      </c>
      <c r="D1357" s="4" t="s">
        <v>149</v>
      </c>
      <c r="E1357" s="4">
        <v>4</v>
      </c>
      <c r="F1357" s="4">
        <v>7</v>
      </c>
      <c r="G1357" s="4">
        <v>6</v>
      </c>
      <c r="H1357" s="115"/>
      <c r="I1357" s="115"/>
      <c r="J1357" s="115"/>
      <c r="K1357" s="115">
        <v>0</v>
      </c>
      <c r="L1357" s="12">
        <f t="shared" si="92"/>
        <v>0</v>
      </c>
      <c r="M1357" s="4">
        <f t="shared" si="93"/>
        <v>0</v>
      </c>
      <c r="N1357" s="4">
        <f t="shared" si="94"/>
        <v>0</v>
      </c>
      <c r="O1357" s="13">
        <f t="shared" si="95"/>
        <v>0</v>
      </c>
    </row>
    <row r="1358" spans="2:15">
      <c r="B1358" s="12">
        <v>12</v>
      </c>
      <c r="C1358" s="4" t="s">
        <v>151</v>
      </c>
      <c r="D1358" s="4" t="s">
        <v>149</v>
      </c>
      <c r="E1358" s="4">
        <v>4</v>
      </c>
      <c r="F1358" s="4">
        <v>7</v>
      </c>
      <c r="G1358" s="4">
        <v>7</v>
      </c>
      <c r="H1358" s="115"/>
      <c r="I1358" s="115"/>
      <c r="J1358" s="115"/>
      <c r="K1358" s="115">
        <v>0</v>
      </c>
      <c r="L1358" s="12">
        <f t="shared" si="92"/>
        <v>0</v>
      </c>
      <c r="M1358" s="4">
        <f t="shared" si="93"/>
        <v>0</v>
      </c>
      <c r="N1358" s="4">
        <f t="shared" si="94"/>
        <v>0</v>
      </c>
      <c r="O1358" s="13">
        <f t="shared" si="95"/>
        <v>0</v>
      </c>
    </row>
    <row r="1359" spans="2:15">
      <c r="B1359" s="12">
        <v>12</v>
      </c>
      <c r="C1359" s="4" t="s">
        <v>151</v>
      </c>
      <c r="D1359" s="4" t="s">
        <v>149</v>
      </c>
      <c r="E1359" s="4">
        <v>4</v>
      </c>
      <c r="F1359" s="4">
        <v>7</v>
      </c>
      <c r="G1359" s="4">
        <v>8</v>
      </c>
      <c r="H1359" s="115"/>
      <c r="I1359" s="115"/>
      <c r="J1359" s="115"/>
      <c r="K1359" s="115">
        <v>0</v>
      </c>
      <c r="L1359" s="12">
        <f t="shared" si="92"/>
        <v>0</v>
      </c>
      <c r="M1359" s="4">
        <f t="shared" si="93"/>
        <v>0</v>
      </c>
      <c r="N1359" s="4">
        <f t="shared" si="94"/>
        <v>0</v>
      </c>
      <c r="O1359" s="13">
        <f t="shared" si="95"/>
        <v>0</v>
      </c>
    </row>
    <row r="1360" spans="2:15">
      <c r="B1360" s="12">
        <v>12</v>
      </c>
      <c r="C1360" s="4" t="s">
        <v>151</v>
      </c>
      <c r="D1360" s="4" t="s">
        <v>149</v>
      </c>
      <c r="E1360" s="4">
        <v>4</v>
      </c>
      <c r="F1360" s="4">
        <v>7</v>
      </c>
      <c r="G1360" s="4">
        <v>9</v>
      </c>
      <c r="H1360" s="115"/>
      <c r="I1360" s="115"/>
      <c r="J1360" s="115"/>
      <c r="K1360" s="115">
        <v>0</v>
      </c>
      <c r="L1360" s="12">
        <f t="shared" si="92"/>
        <v>0</v>
      </c>
      <c r="M1360" s="4">
        <f t="shared" si="93"/>
        <v>0</v>
      </c>
      <c r="N1360" s="4">
        <f t="shared" si="94"/>
        <v>0</v>
      </c>
      <c r="O1360" s="13">
        <f t="shared" si="95"/>
        <v>0</v>
      </c>
    </row>
    <row r="1361" spans="2:15" ht="13.8" thickBot="1">
      <c r="B1361" s="14">
        <v>12</v>
      </c>
      <c r="C1361" s="15" t="s">
        <v>151</v>
      </c>
      <c r="D1361" s="15" t="s">
        <v>149</v>
      </c>
      <c r="E1361" s="15">
        <v>4</v>
      </c>
      <c r="F1361" s="15">
        <v>7</v>
      </c>
      <c r="G1361" s="15">
        <v>10</v>
      </c>
      <c r="H1361" s="121"/>
      <c r="I1361" s="121"/>
      <c r="J1361" s="121"/>
      <c r="K1361" s="121">
        <v>0</v>
      </c>
      <c r="L1361" s="14">
        <f t="shared" si="92"/>
        <v>0</v>
      </c>
      <c r="M1361" s="15">
        <f t="shared" si="93"/>
        <v>0</v>
      </c>
      <c r="N1361" s="15">
        <f t="shared" si="94"/>
        <v>0</v>
      </c>
      <c r="O1361" s="16">
        <f t="shared" si="95"/>
        <v>0</v>
      </c>
    </row>
    <row r="1362" spans="2:15">
      <c r="B1362" s="9">
        <v>12</v>
      </c>
      <c r="C1362" s="10" t="s">
        <v>151</v>
      </c>
      <c r="D1362" s="10" t="s">
        <v>154</v>
      </c>
      <c r="E1362" s="93">
        <v>5</v>
      </c>
      <c r="F1362" s="93">
        <v>9</v>
      </c>
      <c r="G1362" s="10">
        <v>1</v>
      </c>
      <c r="H1362" s="120">
        <v>1.2510000000000332</v>
      </c>
      <c r="I1362" s="120"/>
      <c r="J1362" s="120"/>
      <c r="K1362" s="120">
        <v>1.2510000000000332</v>
      </c>
      <c r="L1362" s="9">
        <f t="shared" si="92"/>
        <v>0.3523754950005264</v>
      </c>
      <c r="M1362" s="10">
        <f t="shared" si="93"/>
        <v>0</v>
      </c>
      <c r="N1362" s="10">
        <f t="shared" si="94"/>
        <v>0</v>
      </c>
      <c r="O1362" s="11">
        <f t="shared" si="95"/>
        <v>0.3523754950005264</v>
      </c>
    </row>
    <row r="1363" spans="2:15">
      <c r="B1363" s="12">
        <v>12</v>
      </c>
      <c r="C1363" s="4" t="s">
        <v>151</v>
      </c>
      <c r="D1363" s="4" t="s">
        <v>154</v>
      </c>
      <c r="E1363" s="4">
        <v>5</v>
      </c>
      <c r="F1363" s="4">
        <v>9</v>
      </c>
      <c r="G1363" s="4">
        <v>2</v>
      </c>
      <c r="H1363" s="115">
        <v>1.1500000000000341</v>
      </c>
      <c r="I1363" s="115">
        <v>0.56700000000000728</v>
      </c>
      <c r="J1363" s="115"/>
      <c r="K1363" s="115">
        <v>1.7170000000000414</v>
      </c>
      <c r="L1363" s="12">
        <f t="shared" si="92"/>
        <v>0.33243845991561222</v>
      </c>
      <c r="M1363" s="4">
        <f t="shared" si="93"/>
        <v>0.19506899646859216</v>
      </c>
      <c r="N1363" s="4">
        <f t="shared" si="94"/>
        <v>0</v>
      </c>
      <c r="O1363" s="13">
        <f t="shared" si="95"/>
        <v>0.43408963841789738</v>
      </c>
    </row>
    <row r="1364" spans="2:15">
      <c r="B1364" s="12">
        <v>12</v>
      </c>
      <c r="C1364" s="4" t="s">
        <v>151</v>
      </c>
      <c r="D1364" s="4" t="s">
        <v>154</v>
      </c>
      <c r="E1364" s="4">
        <v>5</v>
      </c>
      <c r="F1364" s="4">
        <v>9</v>
      </c>
      <c r="G1364" s="4">
        <v>3</v>
      </c>
      <c r="H1364" s="115"/>
      <c r="I1364" s="115"/>
      <c r="J1364" s="115"/>
      <c r="K1364" s="115">
        <v>0</v>
      </c>
      <c r="L1364" s="12">
        <f t="shared" si="92"/>
        <v>0</v>
      </c>
      <c r="M1364" s="4">
        <f t="shared" si="93"/>
        <v>0</v>
      </c>
      <c r="N1364" s="4">
        <f t="shared" si="94"/>
        <v>0</v>
      </c>
      <c r="O1364" s="13">
        <f t="shared" si="95"/>
        <v>0</v>
      </c>
    </row>
    <row r="1365" spans="2:15">
      <c r="B1365" s="12">
        <v>12</v>
      </c>
      <c r="C1365" s="4" t="s">
        <v>151</v>
      </c>
      <c r="D1365" s="4" t="s">
        <v>154</v>
      </c>
      <c r="E1365" s="4">
        <v>5</v>
      </c>
      <c r="F1365" s="4">
        <v>9</v>
      </c>
      <c r="G1365" s="4">
        <v>4</v>
      </c>
      <c r="H1365" s="115"/>
      <c r="I1365" s="115"/>
      <c r="J1365" s="115"/>
      <c r="K1365" s="115">
        <v>0</v>
      </c>
      <c r="L1365" s="12">
        <f t="shared" si="92"/>
        <v>0</v>
      </c>
      <c r="M1365" s="4">
        <f t="shared" si="93"/>
        <v>0</v>
      </c>
      <c r="N1365" s="4">
        <f t="shared" si="94"/>
        <v>0</v>
      </c>
      <c r="O1365" s="13">
        <f t="shared" si="95"/>
        <v>0</v>
      </c>
    </row>
    <row r="1366" spans="2:15">
      <c r="B1366" s="12">
        <v>12</v>
      </c>
      <c r="C1366" s="4" t="s">
        <v>151</v>
      </c>
      <c r="D1366" s="4" t="s">
        <v>154</v>
      </c>
      <c r="E1366" s="4">
        <v>5</v>
      </c>
      <c r="F1366" s="4">
        <v>9</v>
      </c>
      <c r="G1366" s="4">
        <v>5</v>
      </c>
      <c r="H1366" s="115"/>
      <c r="I1366" s="115"/>
      <c r="J1366" s="115"/>
      <c r="K1366" s="115">
        <v>0</v>
      </c>
      <c r="L1366" s="12">
        <f t="shared" si="92"/>
        <v>0</v>
      </c>
      <c r="M1366" s="4">
        <f t="shared" si="93"/>
        <v>0</v>
      </c>
      <c r="N1366" s="4">
        <f t="shared" si="94"/>
        <v>0</v>
      </c>
      <c r="O1366" s="13">
        <f t="shared" si="95"/>
        <v>0</v>
      </c>
    </row>
    <row r="1367" spans="2:15">
      <c r="B1367" s="12">
        <v>12</v>
      </c>
      <c r="C1367" s="4" t="s">
        <v>151</v>
      </c>
      <c r="D1367" s="4" t="s">
        <v>154</v>
      </c>
      <c r="E1367" s="4">
        <v>5</v>
      </c>
      <c r="F1367" s="4">
        <v>9</v>
      </c>
      <c r="G1367" s="4">
        <v>6</v>
      </c>
      <c r="H1367" s="115"/>
      <c r="I1367" s="115"/>
      <c r="J1367" s="115"/>
      <c r="K1367" s="115">
        <v>0</v>
      </c>
      <c r="L1367" s="12">
        <f t="shared" si="92"/>
        <v>0</v>
      </c>
      <c r="M1367" s="4">
        <f t="shared" si="93"/>
        <v>0</v>
      </c>
      <c r="N1367" s="4">
        <f t="shared" si="94"/>
        <v>0</v>
      </c>
      <c r="O1367" s="13">
        <f t="shared" si="95"/>
        <v>0</v>
      </c>
    </row>
    <row r="1368" spans="2:15">
      <c r="B1368" s="12">
        <v>12</v>
      </c>
      <c r="C1368" s="4" t="s">
        <v>151</v>
      </c>
      <c r="D1368" s="4" t="s">
        <v>154</v>
      </c>
      <c r="E1368" s="4">
        <v>5</v>
      </c>
      <c r="F1368" s="4">
        <v>9</v>
      </c>
      <c r="G1368" s="4">
        <v>7</v>
      </c>
      <c r="H1368" s="115"/>
      <c r="I1368" s="115"/>
      <c r="J1368" s="115"/>
      <c r="K1368" s="115">
        <v>0</v>
      </c>
      <c r="L1368" s="12">
        <f t="shared" si="92"/>
        <v>0</v>
      </c>
      <c r="M1368" s="4">
        <f t="shared" si="93"/>
        <v>0</v>
      </c>
      <c r="N1368" s="4">
        <f t="shared" si="94"/>
        <v>0</v>
      </c>
      <c r="O1368" s="13">
        <f t="shared" si="95"/>
        <v>0</v>
      </c>
    </row>
    <row r="1369" spans="2:15">
      <c r="B1369" s="12">
        <v>12</v>
      </c>
      <c r="C1369" s="4" t="s">
        <v>151</v>
      </c>
      <c r="D1369" s="4" t="s">
        <v>154</v>
      </c>
      <c r="E1369" s="4">
        <v>5</v>
      </c>
      <c r="F1369" s="4">
        <v>9</v>
      </c>
      <c r="G1369" s="4">
        <v>8</v>
      </c>
      <c r="H1369" s="115"/>
      <c r="I1369" s="115"/>
      <c r="J1369" s="115"/>
      <c r="K1369" s="115">
        <v>0</v>
      </c>
      <c r="L1369" s="12">
        <f t="shared" si="92"/>
        <v>0</v>
      </c>
      <c r="M1369" s="4">
        <f t="shared" si="93"/>
        <v>0</v>
      </c>
      <c r="N1369" s="4">
        <f t="shared" si="94"/>
        <v>0</v>
      </c>
      <c r="O1369" s="13">
        <f t="shared" si="95"/>
        <v>0</v>
      </c>
    </row>
    <row r="1370" spans="2:15">
      <c r="B1370" s="12">
        <v>12</v>
      </c>
      <c r="C1370" s="4" t="s">
        <v>151</v>
      </c>
      <c r="D1370" s="4" t="s">
        <v>154</v>
      </c>
      <c r="E1370" s="4">
        <v>5</v>
      </c>
      <c r="F1370" s="4">
        <v>9</v>
      </c>
      <c r="G1370" s="4">
        <v>9</v>
      </c>
      <c r="H1370" s="115"/>
      <c r="I1370" s="115"/>
      <c r="J1370" s="115"/>
      <c r="K1370" s="115">
        <v>0</v>
      </c>
      <c r="L1370" s="12">
        <f t="shared" si="92"/>
        <v>0</v>
      </c>
      <c r="M1370" s="4">
        <f t="shared" si="93"/>
        <v>0</v>
      </c>
      <c r="N1370" s="4">
        <f t="shared" si="94"/>
        <v>0</v>
      </c>
      <c r="O1370" s="13">
        <f t="shared" si="95"/>
        <v>0</v>
      </c>
    </row>
    <row r="1371" spans="2:15" ht="13.8" thickBot="1">
      <c r="B1371" s="14">
        <v>12</v>
      </c>
      <c r="C1371" s="15" t="s">
        <v>151</v>
      </c>
      <c r="D1371" s="15" t="s">
        <v>154</v>
      </c>
      <c r="E1371" s="15">
        <v>5</v>
      </c>
      <c r="F1371" s="15">
        <v>9</v>
      </c>
      <c r="G1371" s="15">
        <v>10</v>
      </c>
      <c r="H1371" s="121"/>
      <c r="I1371" s="121"/>
      <c r="J1371" s="121"/>
      <c r="K1371" s="121">
        <v>0</v>
      </c>
      <c r="L1371" s="14">
        <f t="shared" si="92"/>
        <v>0</v>
      </c>
      <c r="M1371" s="15">
        <f t="shared" si="93"/>
        <v>0</v>
      </c>
      <c r="N1371" s="15">
        <f t="shared" si="94"/>
        <v>0</v>
      </c>
      <c r="O1371" s="16">
        <f t="shared" si="95"/>
        <v>0</v>
      </c>
    </row>
    <row r="1372" spans="2:15">
      <c r="B1372" s="9">
        <v>12</v>
      </c>
      <c r="C1372" s="10" t="s">
        <v>151</v>
      </c>
      <c r="D1372" s="10" t="s">
        <v>149</v>
      </c>
      <c r="E1372" s="93">
        <v>6</v>
      </c>
      <c r="F1372" s="93">
        <v>5</v>
      </c>
      <c r="G1372" s="10">
        <v>1</v>
      </c>
      <c r="H1372" s="120">
        <v>6.4659999999999513</v>
      </c>
      <c r="I1372" s="120">
        <v>0.28299999999995862</v>
      </c>
      <c r="J1372" s="120">
        <v>0.1169999999999618</v>
      </c>
      <c r="K1372" s="120">
        <v>6.8659999999998718</v>
      </c>
      <c r="L1372" s="9">
        <f t="shared" si="92"/>
        <v>0.87308798559028289</v>
      </c>
      <c r="M1372" s="10">
        <f t="shared" si="93"/>
        <v>0.10822665637491449</v>
      </c>
      <c r="N1372" s="10">
        <f t="shared" si="94"/>
        <v>4.8053173115594205E-2</v>
      </c>
      <c r="O1372" s="11">
        <f t="shared" si="95"/>
        <v>0.89575394207372083</v>
      </c>
    </row>
    <row r="1373" spans="2:15">
      <c r="B1373" s="12">
        <v>12</v>
      </c>
      <c r="C1373" s="4" t="s">
        <v>151</v>
      </c>
      <c r="D1373" s="4" t="s">
        <v>149</v>
      </c>
      <c r="E1373" s="4">
        <v>6</v>
      </c>
      <c r="F1373" s="4">
        <v>5</v>
      </c>
      <c r="G1373" s="4">
        <v>2</v>
      </c>
      <c r="H1373" s="115"/>
      <c r="I1373" s="115"/>
      <c r="J1373" s="115"/>
      <c r="K1373" s="115">
        <v>0</v>
      </c>
      <c r="L1373" s="12">
        <f t="shared" si="92"/>
        <v>0</v>
      </c>
      <c r="M1373" s="4">
        <f t="shared" si="93"/>
        <v>0</v>
      </c>
      <c r="N1373" s="4">
        <f t="shared" si="94"/>
        <v>0</v>
      </c>
      <c r="O1373" s="13">
        <f t="shared" si="95"/>
        <v>0</v>
      </c>
    </row>
    <row r="1374" spans="2:15">
      <c r="B1374" s="12">
        <v>12</v>
      </c>
      <c r="C1374" s="4" t="s">
        <v>151</v>
      </c>
      <c r="D1374" s="4" t="s">
        <v>149</v>
      </c>
      <c r="E1374" s="4">
        <v>6</v>
      </c>
      <c r="F1374" s="4">
        <v>5</v>
      </c>
      <c r="G1374" s="4">
        <v>3</v>
      </c>
      <c r="H1374" s="115"/>
      <c r="I1374" s="115"/>
      <c r="J1374" s="115"/>
      <c r="K1374" s="115">
        <v>0</v>
      </c>
      <c r="L1374" s="12">
        <f t="shared" si="92"/>
        <v>0</v>
      </c>
      <c r="M1374" s="4">
        <f t="shared" si="93"/>
        <v>0</v>
      </c>
      <c r="N1374" s="4">
        <f t="shared" si="94"/>
        <v>0</v>
      </c>
      <c r="O1374" s="13">
        <f t="shared" si="95"/>
        <v>0</v>
      </c>
    </row>
    <row r="1375" spans="2:15">
      <c r="B1375" s="12">
        <v>12</v>
      </c>
      <c r="C1375" s="4" t="s">
        <v>151</v>
      </c>
      <c r="D1375" s="4" t="s">
        <v>149</v>
      </c>
      <c r="E1375" s="4">
        <v>6</v>
      </c>
      <c r="F1375" s="4">
        <v>5</v>
      </c>
      <c r="G1375" s="4">
        <v>4</v>
      </c>
      <c r="H1375" s="115"/>
      <c r="I1375" s="115"/>
      <c r="J1375" s="115"/>
      <c r="K1375" s="115">
        <v>0</v>
      </c>
      <c r="L1375" s="12">
        <f t="shared" si="92"/>
        <v>0</v>
      </c>
      <c r="M1375" s="4">
        <f t="shared" si="93"/>
        <v>0</v>
      </c>
      <c r="N1375" s="4">
        <f t="shared" si="94"/>
        <v>0</v>
      </c>
      <c r="O1375" s="13">
        <f t="shared" si="95"/>
        <v>0</v>
      </c>
    </row>
    <row r="1376" spans="2:15">
      <c r="B1376" s="12">
        <v>12</v>
      </c>
      <c r="C1376" s="4" t="s">
        <v>151</v>
      </c>
      <c r="D1376" s="4" t="s">
        <v>149</v>
      </c>
      <c r="E1376" s="4">
        <v>6</v>
      </c>
      <c r="F1376" s="4">
        <v>5</v>
      </c>
      <c r="G1376" s="4">
        <v>5</v>
      </c>
      <c r="H1376" s="115"/>
      <c r="I1376" s="115"/>
      <c r="J1376" s="115"/>
      <c r="K1376" s="115">
        <v>0</v>
      </c>
      <c r="L1376" s="12">
        <f t="shared" si="92"/>
        <v>0</v>
      </c>
      <c r="M1376" s="4">
        <f t="shared" si="93"/>
        <v>0</v>
      </c>
      <c r="N1376" s="4">
        <f t="shared" si="94"/>
        <v>0</v>
      </c>
      <c r="O1376" s="13">
        <f t="shared" si="95"/>
        <v>0</v>
      </c>
    </row>
    <row r="1377" spans="2:15">
      <c r="B1377" s="12">
        <v>12</v>
      </c>
      <c r="C1377" s="4" t="s">
        <v>151</v>
      </c>
      <c r="D1377" s="4" t="s">
        <v>149</v>
      </c>
      <c r="E1377" s="4">
        <v>6</v>
      </c>
      <c r="F1377" s="4">
        <v>5</v>
      </c>
      <c r="G1377" s="4">
        <v>6</v>
      </c>
      <c r="H1377" s="115"/>
      <c r="I1377" s="115"/>
      <c r="J1377" s="115"/>
      <c r="K1377" s="115">
        <v>0</v>
      </c>
      <c r="L1377" s="12">
        <f t="shared" si="92"/>
        <v>0</v>
      </c>
      <c r="M1377" s="4">
        <f t="shared" si="93"/>
        <v>0</v>
      </c>
      <c r="N1377" s="4">
        <f t="shared" si="94"/>
        <v>0</v>
      </c>
      <c r="O1377" s="13">
        <f t="shared" si="95"/>
        <v>0</v>
      </c>
    </row>
    <row r="1378" spans="2:15">
      <c r="B1378" s="12">
        <v>12</v>
      </c>
      <c r="C1378" s="4" t="s">
        <v>151</v>
      </c>
      <c r="D1378" s="4" t="s">
        <v>149</v>
      </c>
      <c r="E1378" s="4">
        <v>6</v>
      </c>
      <c r="F1378" s="4">
        <v>5</v>
      </c>
      <c r="G1378" s="4">
        <v>7</v>
      </c>
      <c r="H1378" s="115"/>
      <c r="I1378" s="115"/>
      <c r="J1378" s="115"/>
      <c r="K1378" s="115">
        <v>0</v>
      </c>
      <c r="L1378" s="12">
        <f t="shared" si="92"/>
        <v>0</v>
      </c>
      <c r="M1378" s="4">
        <f t="shared" si="93"/>
        <v>0</v>
      </c>
      <c r="N1378" s="4">
        <f t="shared" si="94"/>
        <v>0</v>
      </c>
      <c r="O1378" s="13">
        <f t="shared" si="95"/>
        <v>0</v>
      </c>
    </row>
    <row r="1379" spans="2:15">
      <c r="B1379" s="12">
        <v>12</v>
      </c>
      <c r="C1379" s="4" t="s">
        <v>151</v>
      </c>
      <c r="D1379" s="4" t="s">
        <v>149</v>
      </c>
      <c r="E1379" s="4">
        <v>6</v>
      </c>
      <c r="F1379" s="4">
        <v>5</v>
      </c>
      <c r="G1379" s="4">
        <v>8</v>
      </c>
      <c r="H1379" s="115"/>
      <c r="I1379" s="115"/>
      <c r="J1379" s="115"/>
      <c r="K1379" s="115">
        <v>0</v>
      </c>
      <c r="L1379" s="12">
        <f t="shared" si="92"/>
        <v>0</v>
      </c>
      <c r="M1379" s="4">
        <f t="shared" si="93"/>
        <v>0</v>
      </c>
      <c r="N1379" s="4">
        <f t="shared" si="94"/>
        <v>0</v>
      </c>
      <c r="O1379" s="13">
        <f t="shared" si="95"/>
        <v>0</v>
      </c>
    </row>
    <row r="1380" spans="2:15">
      <c r="B1380" s="12">
        <v>12</v>
      </c>
      <c r="C1380" s="4" t="s">
        <v>151</v>
      </c>
      <c r="D1380" s="4" t="s">
        <v>149</v>
      </c>
      <c r="E1380" s="4">
        <v>6</v>
      </c>
      <c r="F1380" s="4">
        <v>5</v>
      </c>
      <c r="G1380" s="4">
        <v>9</v>
      </c>
      <c r="H1380" s="115"/>
      <c r="I1380" s="115"/>
      <c r="J1380" s="115"/>
      <c r="K1380" s="115">
        <v>0</v>
      </c>
      <c r="L1380" s="12">
        <f t="shared" si="92"/>
        <v>0</v>
      </c>
      <c r="M1380" s="4">
        <f t="shared" si="93"/>
        <v>0</v>
      </c>
      <c r="N1380" s="4">
        <f t="shared" si="94"/>
        <v>0</v>
      </c>
      <c r="O1380" s="13">
        <f t="shared" si="95"/>
        <v>0</v>
      </c>
    </row>
    <row r="1381" spans="2:15" ht="13.8" thickBot="1">
      <c r="B1381" s="14">
        <v>12</v>
      </c>
      <c r="C1381" s="15" t="s">
        <v>151</v>
      </c>
      <c r="D1381" s="15" t="s">
        <v>149</v>
      </c>
      <c r="E1381" s="15">
        <v>6</v>
      </c>
      <c r="F1381" s="15">
        <v>5</v>
      </c>
      <c r="G1381" s="15">
        <v>10</v>
      </c>
      <c r="H1381" s="121"/>
      <c r="I1381" s="121"/>
      <c r="J1381" s="121"/>
      <c r="K1381" s="121">
        <v>0</v>
      </c>
      <c r="L1381" s="14">
        <f t="shared" si="92"/>
        <v>0</v>
      </c>
      <c r="M1381" s="15">
        <f t="shared" si="93"/>
        <v>0</v>
      </c>
      <c r="N1381" s="15">
        <f t="shared" si="94"/>
        <v>0</v>
      </c>
      <c r="O1381" s="16">
        <f t="shared" si="95"/>
        <v>0</v>
      </c>
    </row>
    <row r="1382" spans="2:15">
      <c r="B1382" s="9">
        <v>12</v>
      </c>
      <c r="C1382" s="10" t="s">
        <v>152</v>
      </c>
      <c r="D1382" s="10" t="s">
        <v>154</v>
      </c>
      <c r="E1382" s="93">
        <v>7</v>
      </c>
      <c r="F1382" s="93">
        <v>10</v>
      </c>
      <c r="G1382" s="10">
        <v>1</v>
      </c>
      <c r="H1382" s="120">
        <v>1.16700000000003</v>
      </c>
      <c r="I1382" s="120">
        <v>0.14999999999997726</v>
      </c>
      <c r="J1382" s="120"/>
      <c r="K1382" s="120">
        <v>1.3170000000000073</v>
      </c>
      <c r="L1382" s="9">
        <f t="shared" si="92"/>
        <v>0.33585891131982398</v>
      </c>
      <c r="M1382" s="10">
        <f t="shared" si="93"/>
        <v>6.0697840353603094E-2</v>
      </c>
      <c r="N1382" s="10">
        <f t="shared" si="94"/>
        <v>0</v>
      </c>
      <c r="O1382" s="11">
        <f t="shared" si="95"/>
        <v>0.36492603378997696</v>
      </c>
    </row>
    <row r="1383" spans="2:15">
      <c r="B1383" s="12">
        <v>12</v>
      </c>
      <c r="C1383" s="4" t="s">
        <v>152</v>
      </c>
      <c r="D1383" s="4" t="s">
        <v>154</v>
      </c>
      <c r="E1383" s="4">
        <v>7</v>
      </c>
      <c r="F1383" s="4">
        <v>10</v>
      </c>
      <c r="G1383" s="4">
        <v>2</v>
      </c>
      <c r="H1383" s="115"/>
      <c r="I1383" s="115"/>
      <c r="J1383" s="115"/>
      <c r="K1383" s="115">
        <v>0</v>
      </c>
      <c r="L1383" s="12">
        <f t="shared" ref="L1383:L1446" si="96">LOG10(H1383+1)</f>
        <v>0</v>
      </c>
      <c r="M1383" s="4">
        <f t="shared" ref="M1383:M1446" si="97">LOG10(I1383+1)</f>
        <v>0</v>
      </c>
      <c r="N1383" s="4">
        <f t="shared" ref="N1383:N1446" si="98">LOG10(J1383+1)</f>
        <v>0</v>
      </c>
      <c r="O1383" s="13">
        <f t="shared" ref="O1383:O1446" si="99">LOG10(K1383+1)</f>
        <v>0</v>
      </c>
    </row>
    <row r="1384" spans="2:15">
      <c r="B1384" s="12">
        <v>12</v>
      </c>
      <c r="C1384" s="4" t="s">
        <v>152</v>
      </c>
      <c r="D1384" s="4" t="s">
        <v>154</v>
      </c>
      <c r="E1384" s="4">
        <v>7</v>
      </c>
      <c r="F1384" s="4">
        <v>10</v>
      </c>
      <c r="G1384" s="4">
        <v>3</v>
      </c>
      <c r="H1384" s="115"/>
      <c r="I1384" s="115"/>
      <c r="J1384" s="115"/>
      <c r="K1384" s="115">
        <v>0</v>
      </c>
      <c r="L1384" s="12">
        <f t="shared" si="96"/>
        <v>0</v>
      </c>
      <c r="M1384" s="4">
        <f t="shared" si="97"/>
        <v>0</v>
      </c>
      <c r="N1384" s="4">
        <f t="shared" si="98"/>
        <v>0</v>
      </c>
      <c r="O1384" s="13">
        <f t="shared" si="99"/>
        <v>0</v>
      </c>
    </row>
    <row r="1385" spans="2:15">
      <c r="B1385" s="12">
        <v>12</v>
      </c>
      <c r="C1385" s="4" t="s">
        <v>152</v>
      </c>
      <c r="D1385" s="4" t="s">
        <v>154</v>
      </c>
      <c r="E1385" s="4">
        <v>7</v>
      </c>
      <c r="F1385" s="4">
        <v>10</v>
      </c>
      <c r="G1385" s="4">
        <v>4</v>
      </c>
      <c r="H1385" s="115"/>
      <c r="I1385" s="115"/>
      <c r="J1385" s="115"/>
      <c r="K1385" s="115">
        <v>0</v>
      </c>
      <c r="L1385" s="12">
        <f t="shared" si="96"/>
        <v>0</v>
      </c>
      <c r="M1385" s="4">
        <f t="shared" si="97"/>
        <v>0</v>
      </c>
      <c r="N1385" s="4">
        <f t="shared" si="98"/>
        <v>0</v>
      </c>
      <c r="O1385" s="13">
        <f t="shared" si="99"/>
        <v>0</v>
      </c>
    </row>
    <row r="1386" spans="2:15">
      <c r="B1386" s="12">
        <v>12</v>
      </c>
      <c r="C1386" s="4" t="s">
        <v>152</v>
      </c>
      <c r="D1386" s="4" t="s">
        <v>154</v>
      </c>
      <c r="E1386" s="4">
        <v>7</v>
      </c>
      <c r="F1386" s="4">
        <v>10</v>
      </c>
      <c r="G1386" s="4">
        <v>5</v>
      </c>
      <c r="H1386" s="115"/>
      <c r="I1386" s="115"/>
      <c r="J1386" s="115"/>
      <c r="K1386" s="115">
        <v>0</v>
      </c>
      <c r="L1386" s="12">
        <f t="shared" si="96"/>
        <v>0</v>
      </c>
      <c r="M1386" s="4">
        <f t="shared" si="97"/>
        <v>0</v>
      </c>
      <c r="N1386" s="4">
        <f t="shared" si="98"/>
        <v>0</v>
      </c>
      <c r="O1386" s="13">
        <f t="shared" si="99"/>
        <v>0</v>
      </c>
    </row>
    <row r="1387" spans="2:15">
      <c r="B1387" s="12">
        <v>12</v>
      </c>
      <c r="C1387" s="4" t="s">
        <v>152</v>
      </c>
      <c r="D1387" s="4" t="s">
        <v>154</v>
      </c>
      <c r="E1387" s="4">
        <v>7</v>
      </c>
      <c r="F1387" s="4">
        <v>10</v>
      </c>
      <c r="G1387" s="4">
        <v>6</v>
      </c>
      <c r="H1387" s="115"/>
      <c r="I1387" s="115"/>
      <c r="J1387" s="115"/>
      <c r="K1387" s="115">
        <v>0</v>
      </c>
      <c r="L1387" s="12">
        <f t="shared" si="96"/>
        <v>0</v>
      </c>
      <c r="M1387" s="4">
        <f t="shared" si="97"/>
        <v>0</v>
      </c>
      <c r="N1387" s="4">
        <f t="shared" si="98"/>
        <v>0</v>
      </c>
      <c r="O1387" s="13">
        <f t="shared" si="99"/>
        <v>0</v>
      </c>
    </row>
    <row r="1388" spans="2:15">
      <c r="B1388" s="12">
        <v>12</v>
      </c>
      <c r="C1388" s="4" t="s">
        <v>152</v>
      </c>
      <c r="D1388" s="4" t="s">
        <v>154</v>
      </c>
      <c r="E1388" s="4">
        <v>7</v>
      </c>
      <c r="F1388" s="4">
        <v>10</v>
      </c>
      <c r="G1388" s="4">
        <v>7</v>
      </c>
      <c r="H1388" s="115"/>
      <c r="I1388" s="115"/>
      <c r="J1388" s="115"/>
      <c r="K1388" s="115">
        <v>0</v>
      </c>
      <c r="L1388" s="12">
        <f t="shared" si="96"/>
        <v>0</v>
      </c>
      <c r="M1388" s="4">
        <f t="shared" si="97"/>
        <v>0</v>
      </c>
      <c r="N1388" s="4">
        <f t="shared" si="98"/>
        <v>0</v>
      </c>
      <c r="O1388" s="13">
        <f t="shared" si="99"/>
        <v>0</v>
      </c>
    </row>
    <row r="1389" spans="2:15">
      <c r="B1389" s="12">
        <v>12</v>
      </c>
      <c r="C1389" s="4" t="s">
        <v>152</v>
      </c>
      <c r="D1389" s="4" t="s">
        <v>154</v>
      </c>
      <c r="E1389" s="4">
        <v>7</v>
      </c>
      <c r="F1389" s="4">
        <v>10</v>
      </c>
      <c r="G1389" s="4">
        <v>8</v>
      </c>
      <c r="H1389" s="115"/>
      <c r="I1389" s="115"/>
      <c r="J1389" s="115"/>
      <c r="K1389" s="115">
        <v>0</v>
      </c>
      <c r="L1389" s="12">
        <f t="shared" si="96"/>
        <v>0</v>
      </c>
      <c r="M1389" s="4">
        <f t="shared" si="97"/>
        <v>0</v>
      </c>
      <c r="N1389" s="4">
        <f t="shared" si="98"/>
        <v>0</v>
      </c>
      <c r="O1389" s="13">
        <f t="shared" si="99"/>
        <v>0</v>
      </c>
    </row>
    <row r="1390" spans="2:15">
      <c r="B1390" s="12">
        <v>12</v>
      </c>
      <c r="C1390" s="4" t="s">
        <v>152</v>
      </c>
      <c r="D1390" s="4" t="s">
        <v>154</v>
      </c>
      <c r="E1390" s="4">
        <v>7</v>
      </c>
      <c r="F1390" s="4">
        <v>10</v>
      </c>
      <c r="G1390" s="4">
        <v>9</v>
      </c>
      <c r="H1390" s="115"/>
      <c r="I1390" s="115"/>
      <c r="J1390" s="115"/>
      <c r="K1390" s="115">
        <v>0</v>
      </c>
      <c r="L1390" s="12">
        <f t="shared" si="96"/>
        <v>0</v>
      </c>
      <c r="M1390" s="4">
        <f t="shared" si="97"/>
        <v>0</v>
      </c>
      <c r="N1390" s="4">
        <f t="shared" si="98"/>
        <v>0</v>
      </c>
      <c r="O1390" s="13">
        <f t="shared" si="99"/>
        <v>0</v>
      </c>
    </row>
    <row r="1391" spans="2:15" ht="13.8" thickBot="1">
      <c r="B1391" s="14">
        <v>12</v>
      </c>
      <c r="C1391" s="15" t="s">
        <v>152</v>
      </c>
      <c r="D1391" s="15" t="s">
        <v>154</v>
      </c>
      <c r="E1391" s="15">
        <v>7</v>
      </c>
      <c r="F1391" s="15">
        <v>10</v>
      </c>
      <c r="G1391" s="15">
        <v>10</v>
      </c>
      <c r="H1391" s="121"/>
      <c r="I1391" s="121"/>
      <c r="J1391" s="121"/>
      <c r="K1391" s="121">
        <v>0</v>
      </c>
      <c r="L1391" s="14">
        <f t="shared" si="96"/>
        <v>0</v>
      </c>
      <c r="M1391" s="15">
        <f t="shared" si="97"/>
        <v>0</v>
      </c>
      <c r="N1391" s="15">
        <f t="shared" si="98"/>
        <v>0</v>
      </c>
      <c r="O1391" s="16">
        <f t="shared" si="99"/>
        <v>0</v>
      </c>
    </row>
    <row r="1392" spans="2:15">
      <c r="B1392" s="9">
        <v>12</v>
      </c>
      <c r="C1392" s="10" t="s">
        <v>152</v>
      </c>
      <c r="D1392" s="10" t="s">
        <v>150</v>
      </c>
      <c r="E1392" s="93">
        <v>8</v>
      </c>
      <c r="F1392" s="93">
        <v>2</v>
      </c>
      <c r="G1392" s="10">
        <v>1</v>
      </c>
      <c r="H1392" s="120">
        <v>2.0359999999999729</v>
      </c>
      <c r="I1392" s="120"/>
      <c r="J1392" s="120">
        <v>0.7470000000000141</v>
      </c>
      <c r="K1392" s="120">
        <v>2.782999999999987</v>
      </c>
      <c r="L1392" s="9">
        <f t="shared" si="96"/>
        <v>0.48230176722343887</v>
      </c>
      <c r="M1392" s="10">
        <f t="shared" si="97"/>
        <v>0</v>
      </c>
      <c r="N1392" s="10">
        <f t="shared" si="98"/>
        <v>0.24229290498293443</v>
      </c>
      <c r="O1392" s="11">
        <f t="shared" si="99"/>
        <v>0.57783634129274253</v>
      </c>
    </row>
    <row r="1393" spans="2:15">
      <c r="B1393" s="12">
        <v>12</v>
      </c>
      <c r="C1393" s="4" t="s">
        <v>152</v>
      </c>
      <c r="D1393" s="4" t="s">
        <v>150</v>
      </c>
      <c r="E1393" s="4">
        <v>8</v>
      </c>
      <c r="F1393" s="4">
        <v>2</v>
      </c>
      <c r="G1393" s="4">
        <v>2</v>
      </c>
      <c r="H1393" s="115"/>
      <c r="I1393" s="115"/>
      <c r="J1393" s="115"/>
      <c r="K1393" s="115">
        <v>0</v>
      </c>
      <c r="L1393" s="12">
        <f t="shared" si="96"/>
        <v>0</v>
      </c>
      <c r="M1393" s="4">
        <f t="shared" si="97"/>
        <v>0</v>
      </c>
      <c r="N1393" s="4">
        <f t="shared" si="98"/>
        <v>0</v>
      </c>
      <c r="O1393" s="13">
        <f t="shared" si="99"/>
        <v>0</v>
      </c>
    </row>
    <row r="1394" spans="2:15">
      <c r="B1394" s="12">
        <v>12</v>
      </c>
      <c r="C1394" s="4" t="s">
        <v>152</v>
      </c>
      <c r="D1394" s="4" t="s">
        <v>150</v>
      </c>
      <c r="E1394" s="4">
        <v>8</v>
      </c>
      <c r="F1394" s="4">
        <v>2</v>
      </c>
      <c r="G1394" s="4">
        <v>3</v>
      </c>
      <c r="H1394" s="115"/>
      <c r="I1394" s="115"/>
      <c r="J1394" s="115"/>
      <c r="K1394" s="115">
        <v>0</v>
      </c>
      <c r="L1394" s="12">
        <f t="shared" si="96"/>
        <v>0</v>
      </c>
      <c r="M1394" s="4">
        <f t="shared" si="97"/>
        <v>0</v>
      </c>
      <c r="N1394" s="4">
        <f t="shared" si="98"/>
        <v>0</v>
      </c>
      <c r="O1394" s="13">
        <f t="shared" si="99"/>
        <v>0</v>
      </c>
    </row>
    <row r="1395" spans="2:15">
      <c r="B1395" s="12">
        <v>12</v>
      </c>
      <c r="C1395" s="4" t="s">
        <v>152</v>
      </c>
      <c r="D1395" s="4" t="s">
        <v>150</v>
      </c>
      <c r="E1395" s="4">
        <v>8</v>
      </c>
      <c r="F1395" s="4">
        <v>2</v>
      </c>
      <c r="G1395" s="4">
        <v>4</v>
      </c>
      <c r="H1395" s="115"/>
      <c r="I1395" s="115"/>
      <c r="J1395" s="115"/>
      <c r="K1395" s="115">
        <v>0</v>
      </c>
      <c r="L1395" s="12">
        <f t="shared" si="96"/>
        <v>0</v>
      </c>
      <c r="M1395" s="4">
        <f t="shared" si="97"/>
        <v>0</v>
      </c>
      <c r="N1395" s="4">
        <f t="shared" si="98"/>
        <v>0</v>
      </c>
      <c r="O1395" s="13">
        <f t="shared" si="99"/>
        <v>0</v>
      </c>
    </row>
    <row r="1396" spans="2:15">
      <c r="B1396" s="12">
        <v>12</v>
      </c>
      <c r="C1396" s="4" t="s">
        <v>152</v>
      </c>
      <c r="D1396" s="4" t="s">
        <v>150</v>
      </c>
      <c r="E1396" s="4">
        <v>8</v>
      </c>
      <c r="F1396" s="4">
        <v>2</v>
      </c>
      <c r="G1396" s="4">
        <v>5</v>
      </c>
      <c r="H1396" s="115"/>
      <c r="I1396" s="115"/>
      <c r="J1396" s="115"/>
      <c r="K1396" s="115">
        <v>0</v>
      </c>
      <c r="L1396" s="12">
        <f t="shared" si="96"/>
        <v>0</v>
      </c>
      <c r="M1396" s="4">
        <f t="shared" si="97"/>
        <v>0</v>
      </c>
      <c r="N1396" s="4">
        <f t="shared" si="98"/>
        <v>0</v>
      </c>
      <c r="O1396" s="13">
        <f t="shared" si="99"/>
        <v>0</v>
      </c>
    </row>
    <row r="1397" spans="2:15">
      <c r="B1397" s="12">
        <v>12</v>
      </c>
      <c r="C1397" s="4" t="s">
        <v>152</v>
      </c>
      <c r="D1397" s="4" t="s">
        <v>150</v>
      </c>
      <c r="E1397" s="4">
        <v>8</v>
      </c>
      <c r="F1397" s="4">
        <v>2</v>
      </c>
      <c r="G1397" s="4">
        <v>6</v>
      </c>
      <c r="H1397" s="115"/>
      <c r="I1397" s="115"/>
      <c r="J1397" s="115"/>
      <c r="K1397" s="115">
        <v>0</v>
      </c>
      <c r="L1397" s="12">
        <f t="shared" si="96"/>
        <v>0</v>
      </c>
      <c r="M1397" s="4">
        <f t="shared" si="97"/>
        <v>0</v>
      </c>
      <c r="N1397" s="4">
        <f t="shared" si="98"/>
        <v>0</v>
      </c>
      <c r="O1397" s="13">
        <f t="shared" si="99"/>
        <v>0</v>
      </c>
    </row>
    <row r="1398" spans="2:15">
      <c r="B1398" s="12">
        <v>12</v>
      </c>
      <c r="C1398" s="4" t="s">
        <v>152</v>
      </c>
      <c r="D1398" s="4" t="s">
        <v>150</v>
      </c>
      <c r="E1398" s="4">
        <v>8</v>
      </c>
      <c r="F1398" s="4">
        <v>2</v>
      </c>
      <c r="G1398" s="4">
        <v>7</v>
      </c>
      <c r="H1398" s="115"/>
      <c r="I1398" s="115"/>
      <c r="J1398" s="115"/>
      <c r="K1398" s="115">
        <v>0</v>
      </c>
      <c r="L1398" s="12">
        <f t="shared" si="96"/>
        <v>0</v>
      </c>
      <c r="M1398" s="4">
        <f t="shared" si="97"/>
        <v>0</v>
      </c>
      <c r="N1398" s="4">
        <f t="shared" si="98"/>
        <v>0</v>
      </c>
      <c r="O1398" s="13">
        <f t="shared" si="99"/>
        <v>0</v>
      </c>
    </row>
    <row r="1399" spans="2:15">
      <c r="B1399" s="12">
        <v>12</v>
      </c>
      <c r="C1399" s="4" t="s">
        <v>152</v>
      </c>
      <c r="D1399" s="4" t="s">
        <v>150</v>
      </c>
      <c r="E1399" s="4">
        <v>8</v>
      </c>
      <c r="F1399" s="4">
        <v>2</v>
      </c>
      <c r="G1399" s="4">
        <v>8</v>
      </c>
      <c r="H1399" s="115"/>
      <c r="I1399" s="115"/>
      <c r="J1399" s="115"/>
      <c r="K1399" s="115">
        <v>0</v>
      </c>
      <c r="L1399" s="12">
        <f t="shared" si="96"/>
        <v>0</v>
      </c>
      <c r="M1399" s="4">
        <f t="shared" si="97"/>
        <v>0</v>
      </c>
      <c r="N1399" s="4">
        <f t="shared" si="98"/>
        <v>0</v>
      </c>
      <c r="O1399" s="13">
        <f t="shared" si="99"/>
        <v>0</v>
      </c>
    </row>
    <row r="1400" spans="2:15">
      <c r="B1400" s="12">
        <v>12</v>
      </c>
      <c r="C1400" s="4" t="s">
        <v>152</v>
      </c>
      <c r="D1400" s="4" t="s">
        <v>150</v>
      </c>
      <c r="E1400" s="4">
        <v>8</v>
      </c>
      <c r="F1400" s="4">
        <v>2</v>
      </c>
      <c r="G1400" s="4">
        <v>9</v>
      </c>
      <c r="H1400" s="115"/>
      <c r="I1400" s="115"/>
      <c r="J1400" s="115"/>
      <c r="K1400" s="115">
        <v>0</v>
      </c>
      <c r="L1400" s="12">
        <f t="shared" si="96"/>
        <v>0</v>
      </c>
      <c r="M1400" s="4">
        <f t="shared" si="97"/>
        <v>0</v>
      </c>
      <c r="N1400" s="4">
        <f t="shared" si="98"/>
        <v>0</v>
      </c>
      <c r="O1400" s="13">
        <f t="shared" si="99"/>
        <v>0</v>
      </c>
    </row>
    <row r="1401" spans="2:15" ht="13.8" thickBot="1">
      <c r="B1401" s="14">
        <v>12</v>
      </c>
      <c r="C1401" s="15" t="s">
        <v>152</v>
      </c>
      <c r="D1401" s="15" t="s">
        <v>150</v>
      </c>
      <c r="E1401" s="15">
        <v>8</v>
      </c>
      <c r="F1401" s="15">
        <v>2</v>
      </c>
      <c r="G1401" s="15">
        <v>10</v>
      </c>
      <c r="H1401" s="121"/>
      <c r="I1401" s="121"/>
      <c r="J1401" s="121"/>
      <c r="K1401" s="121">
        <v>0</v>
      </c>
      <c r="L1401" s="14">
        <f t="shared" si="96"/>
        <v>0</v>
      </c>
      <c r="M1401" s="15">
        <f t="shared" si="97"/>
        <v>0</v>
      </c>
      <c r="N1401" s="15">
        <f t="shared" si="98"/>
        <v>0</v>
      </c>
      <c r="O1401" s="16">
        <f t="shared" si="99"/>
        <v>0</v>
      </c>
    </row>
    <row r="1402" spans="2:15">
      <c r="B1402" s="9">
        <v>12</v>
      </c>
      <c r="C1402" s="10" t="s">
        <v>152</v>
      </c>
      <c r="D1402" s="10" t="s">
        <v>149</v>
      </c>
      <c r="E1402" s="93">
        <v>9</v>
      </c>
      <c r="F1402" s="93">
        <v>6</v>
      </c>
      <c r="G1402" s="10">
        <v>1</v>
      </c>
      <c r="H1402" s="120">
        <v>3.0839999999999463</v>
      </c>
      <c r="I1402" s="120">
        <v>0.31600000000003092</v>
      </c>
      <c r="J1402" s="120">
        <v>0.11700000000001864</v>
      </c>
      <c r="K1402" s="120">
        <v>3.5169999999999959</v>
      </c>
      <c r="L1402" s="9">
        <f t="shared" si="96"/>
        <v>0.61108573341486694</v>
      </c>
      <c r="M1402" s="10">
        <f t="shared" si="97"/>
        <v>0.11925588927794689</v>
      </c>
      <c r="N1402" s="10">
        <f t="shared" si="98"/>
        <v>4.8053173115616306E-2</v>
      </c>
      <c r="O1402" s="11">
        <f t="shared" si="99"/>
        <v>0.65485009056139376</v>
      </c>
    </row>
    <row r="1403" spans="2:15">
      <c r="B1403" s="12">
        <v>12</v>
      </c>
      <c r="C1403" s="4" t="s">
        <v>152</v>
      </c>
      <c r="D1403" s="4" t="s">
        <v>149</v>
      </c>
      <c r="E1403" s="4">
        <v>9</v>
      </c>
      <c r="F1403" s="4">
        <v>6</v>
      </c>
      <c r="G1403" s="4">
        <v>2</v>
      </c>
      <c r="H1403" s="115">
        <v>0.43200000000001637</v>
      </c>
      <c r="I1403" s="115"/>
      <c r="J1403" s="115"/>
      <c r="K1403" s="115">
        <v>0.43200000000001637</v>
      </c>
      <c r="L1403" s="12">
        <f t="shared" si="96"/>
        <v>0.15594301797184171</v>
      </c>
      <c r="M1403" s="4">
        <f t="shared" si="97"/>
        <v>0</v>
      </c>
      <c r="N1403" s="4">
        <f t="shared" si="98"/>
        <v>0</v>
      </c>
      <c r="O1403" s="13">
        <f t="shared" si="99"/>
        <v>0.15594301797184171</v>
      </c>
    </row>
    <row r="1404" spans="2:15">
      <c r="B1404" s="12">
        <v>12</v>
      </c>
      <c r="C1404" s="4" t="s">
        <v>152</v>
      </c>
      <c r="D1404" s="4" t="s">
        <v>149</v>
      </c>
      <c r="E1404" s="4">
        <v>9</v>
      </c>
      <c r="F1404" s="4">
        <v>6</v>
      </c>
      <c r="G1404" s="4">
        <v>3</v>
      </c>
      <c r="H1404" s="115"/>
      <c r="I1404" s="115"/>
      <c r="J1404" s="115"/>
      <c r="K1404" s="115">
        <v>0</v>
      </c>
      <c r="L1404" s="12">
        <f t="shared" si="96"/>
        <v>0</v>
      </c>
      <c r="M1404" s="4">
        <f t="shared" si="97"/>
        <v>0</v>
      </c>
      <c r="N1404" s="4">
        <f t="shared" si="98"/>
        <v>0</v>
      </c>
      <c r="O1404" s="13">
        <f t="shared" si="99"/>
        <v>0</v>
      </c>
    </row>
    <row r="1405" spans="2:15">
      <c r="B1405" s="12">
        <v>12</v>
      </c>
      <c r="C1405" s="4" t="s">
        <v>152</v>
      </c>
      <c r="D1405" s="4" t="s">
        <v>149</v>
      </c>
      <c r="E1405" s="4">
        <v>9</v>
      </c>
      <c r="F1405" s="4">
        <v>6</v>
      </c>
      <c r="G1405" s="4">
        <v>4</v>
      </c>
      <c r="H1405" s="115"/>
      <c r="I1405" s="115"/>
      <c r="J1405" s="115"/>
      <c r="K1405" s="115">
        <v>0</v>
      </c>
      <c r="L1405" s="12">
        <f t="shared" si="96"/>
        <v>0</v>
      </c>
      <c r="M1405" s="4">
        <f t="shared" si="97"/>
        <v>0</v>
      </c>
      <c r="N1405" s="4">
        <f t="shared" si="98"/>
        <v>0</v>
      </c>
      <c r="O1405" s="13">
        <f t="shared" si="99"/>
        <v>0</v>
      </c>
    </row>
    <row r="1406" spans="2:15">
      <c r="B1406" s="12">
        <v>12</v>
      </c>
      <c r="C1406" s="4" t="s">
        <v>152</v>
      </c>
      <c r="D1406" s="4" t="s">
        <v>149</v>
      </c>
      <c r="E1406" s="4">
        <v>9</v>
      </c>
      <c r="F1406" s="4">
        <v>6</v>
      </c>
      <c r="G1406" s="4">
        <v>5</v>
      </c>
      <c r="H1406" s="115"/>
      <c r="I1406" s="115"/>
      <c r="J1406" s="115"/>
      <c r="K1406" s="115">
        <v>0</v>
      </c>
      <c r="L1406" s="12">
        <f t="shared" si="96"/>
        <v>0</v>
      </c>
      <c r="M1406" s="4">
        <f t="shared" si="97"/>
        <v>0</v>
      </c>
      <c r="N1406" s="4">
        <f t="shared" si="98"/>
        <v>0</v>
      </c>
      <c r="O1406" s="13">
        <f t="shared" si="99"/>
        <v>0</v>
      </c>
    </row>
    <row r="1407" spans="2:15">
      <c r="B1407" s="12">
        <v>12</v>
      </c>
      <c r="C1407" s="4" t="s">
        <v>152</v>
      </c>
      <c r="D1407" s="4" t="s">
        <v>149</v>
      </c>
      <c r="E1407" s="4">
        <v>9</v>
      </c>
      <c r="F1407" s="4">
        <v>6</v>
      </c>
      <c r="G1407" s="4">
        <v>6</v>
      </c>
      <c r="H1407" s="115"/>
      <c r="I1407" s="115"/>
      <c r="J1407" s="115"/>
      <c r="K1407" s="115">
        <v>0</v>
      </c>
      <c r="L1407" s="12">
        <f t="shared" si="96"/>
        <v>0</v>
      </c>
      <c r="M1407" s="4">
        <f t="shared" si="97"/>
        <v>0</v>
      </c>
      <c r="N1407" s="4">
        <f t="shared" si="98"/>
        <v>0</v>
      </c>
      <c r="O1407" s="13">
        <f t="shared" si="99"/>
        <v>0</v>
      </c>
    </row>
    <row r="1408" spans="2:15">
      <c r="B1408" s="12">
        <v>12</v>
      </c>
      <c r="C1408" s="4" t="s">
        <v>152</v>
      </c>
      <c r="D1408" s="4" t="s">
        <v>149</v>
      </c>
      <c r="E1408" s="4">
        <v>9</v>
      </c>
      <c r="F1408" s="4">
        <v>6</v>
      </c>
      <c r="G1408" s="4">
        <v>7</v>
      </c>
      <c r="H1408" s="115"/>
      <c r="I1408" s="115"/>
      <c r="J1408" s="115"/>
      <c r="K1408" s="115">
        <v>0</v>
      </c>
      <c r="L1408" s="12">
        <f t="shared" si="96"/>
        <v>0</v>
      </c>
      <c r="M1408" s="4">
        <f t="shared" si="97"/>
        <v>0</v>
      </c>
      <c r="N1408" s="4">
        <f t="shared" si="98"/>
        <v>0</v>
      </c>
      <c r="O1408" s="13">
        <f t="shared" si="99"/>
        <v>0</v>
      </c>
    </row>
    <row r="1409" spans="2:15">
      <c r="B1409" s="12">
        <v>12</v>
      </c>
      <c r="C1409" s="4" t="s">
        <v>152</v>
      </c>
      <c r="D1409" s="4" t="s">
        <v>149</v>
      </c>
      <c r="E1409" s="4">
        <v>9</v>
      </c>
      <c r="F1409" s="4">
        <v>6</v>
      </c>
      <c r="G1409" s="4">
        <v>8</v>
      </c>
      <c r="H1409" s="115"/>
      <c r="I1409" s="115"/>
      <c r="J1409" s="115"/>
      <c r="K1409" s="115">
        <v>0</v>
      </c>
      <c r="L1409" s="12">
        <f t="shared" si="96"/>
        <v>0</v>
      </c>
      <c r="M1409" s="4">
        <f t="shared" si="97"/>
        <v>0</v>
      </c>
      <c r="N1409" s="4">
        <f t="shared" si="98"/>
        <v>0</v>
      </c>
      <c r="O1409" s="13">
        <f t="shared" si="99"/>
        <v>0</v>
      </c>
    </row>
    <row r="1410" spans="2:15">
      <c r="B1410" s="12">
        <v>12</v>
      </c>
      <c r="C1410" s="4" t="s">
        <v>152</v>
      </c>
      <c r="D1410" s="4" t="s">
        <v>149</v>
      </c>
      <c r="E1410" s="4">
        <v>9</v>
      </c>
      <c r="F1410" s="4">
        <v>6</v>
      </c>
      <c r="G1410" s="4">
        <v>9</v>
      </c>
      <c r="H1410" s="115"/>
      <c r="I1410" s="115"/>
      <c r="J1410" s="115"/>
      <c r="K1410" s="115">
        <v>0</v>
      </c>
      <c r="L1410" s="12">
        <f t="shared" si="96"/>
        <v>0</v>
      </c>
      <c r="M1410" s="4">
        <f t="shared" si="97"/>
        <v>0</v>
      </c>
      <c r="N1410" s="4">
        <f t="shared" si="98"/>
        <v>0</v>
      </c>
      <c r="O1410" s="13">
        <f t="shared" si="99"/>
        <v>0</v>
      </c>
    </row>
    <row r="1411" spans="2:15" ht="13.8" thickBot="1">
      <c r="B1411" s="14">
        <v>12</v>
      </c>
      <c r="C1411" s="15" t="s">
        <v>152</v>
      </c>
      <c r="D1411" s="15" t="s">
        <v>149</v>
      </c>
      <c r="E1411" s="15">
        <v>9</v>
      </c>
      <c r="F1411" s="15">
        <v>6</v>
      </c>
      <c r="G1411" s="15">
        <v>10</v>
      </c>
      <c r="H1411" s="121"/>
      <c r="I1411" s="121"/>
      <c r="J1411" s="121"/>
      <c r="K1411" s="121">
        <v>0</v>
      </c>
      <c r="L1411" s="14">
        <f t="shared" si="96"/>
        <v>0</v>
      </c>
      <c r="M1411" s="15">
        <f t="shared" si="97"/>
        <v>0</v>
      </c>
      <c r="N1411" s="15">
        <f t="shared" si="98"/>
        <v>0</v>
      </c>
      <c r="O1411" s="16">
        <f t="shared" si="99"/>
        <v>0</v>
      </c>
    </row>
    <row r="1412" spans="2:15">
      <c r="B1412" s="9">
        <v>12</v>
      </c>
      <c r="C1412" s="10" t="s">
        <v>152</v>
      </c>
      <c r="D1412" s="10" t="s">
        <v>150</v>
      </c>
      <c r="E1412" s="93">
        <v>10</v>
      </c>
      <c r="F1412" s="93">
        <v>4</v>
      </c>
      <c r="G1412" s="10">
        <v>1</v>
      </c>
      <c r="H1412" s="120">
        <v>1.4989999999999952</v>
      </c>
      <c r="I1412" s="120">
        <v>1.0669999999999504</v>
      </c>
      <c r="J1412" s="120">
        <v>1.8679999999999666</v>
      </c>
      <c r="K1412" s="120">
        <v>4.4339999999999122</v>
      </c>
      <c r="L1412" s="9">
        <f t="shared" si="96"/>
        <v>0.39776625612644922</v>
      </c>
      <c r="M1412" s="10">
        <f t="shared" si="97"/>
        <v>0.31534047662727782</v>
      </c>
      <c r="N1412" s="10">
        <f t="shared" si="98"/>
        <v>0.45757914699575747</v>
      </c>
      <c r="O1412" s="11">
        <f t="shared" si="99"/>
        <v>0.73511963408186498</v>
      </c>
    </row>
    <row r="1413" spans="2:15">
      <c r="B1413" s="12">
        <v>12</v>
      </c>
      <c r="C1413" s="4" t="s">
        <v>152</v>
      </c>
      <c r="D1413" s="4" t="s">
        <v>150</v>
      </c>
      <c r="E1413" s="4">
        <v>10</v>
      </c>
      <c r="F1413" s="4">
        <v>4</v>
      </c>
      <c r="G1413" s="4">
        <v>2</v>
      </c>
      <c r="H1413" s="115"/>
      <c r="I1413" s="115"/>
      <c r="J1413" s="115"/>
      <c r="K1413" s="115">
        <v>0</v>
      </c>
      <c r="L1413" s="12">
        <f t="shared" si="96"/>
        <v>0</v>
      </c>
      <c r="M1413" s="4">
        <f t="shared" si="97"/>
        <v>0</v>
      </c>
      <c r="N1413" s="4">
        <f t="shared" si="98"/>
        <v>0</v>
      </c>
      <c r="O1413" s="13">
        <f t="shared" si="99"/>
        <v>0</v>
      </c>
    </row>
    <row r="1414" spans="2:15">
      <c r="B1414" s="12">
        <v>12</v>
      </c>
      <c r="C1414" s="4" t="s">
        <v>152</v>
      </c>
      <c r="D1414" s="4" t="s">
        <v>150</v>
      </c>
      <c r="E1414" s="4">
        <v>10</v>
      </c>
      <c r="F1414" s="4">
        <v>4</v>
      </c>
      <c r="G1414" s="4">
        <v>3</v>
      </c>
      <c r="H1414" s="115"/>
      <c r="I1414" s="115"/>
      <c r="J1414" s="115"/>
      <c r="K1414" s="115">
        <v>0</v>
      </c>
      <c r="L1414" s="12">
        <f t="shared" si="96"/>
        <v>0</v>
      </c>
      <c r="M1414" s="4">
        <f t="shared" si="97"/>
        <v>0</v>
      </c>
      <c r="N1414" s="4">
        <f t="shared" si="98"/>
        <v>0</v>
      </c>
      <c r="O1414" s="13">
        <f t="shared" si="99"/>
        <v>0</v>
      </c>
    </row>
    <row r="1415" spans="2:15">
      <c r="B1415" s="12">
        <v>12</v>
      </c>
      <c r="C1415" s="4" t="s">
        <v>152</v>
      </c>
      <c r="D1415" s="4" t="s">
        <v>150</v>
      </c>
      <c r="E1415" s="4">
        <v>10</v>
      </c>
      <c r="F1415" s="4">
        <v>4</v>
      </c>
      <c r="G1415" s="4">
        <v>4</v>
      </c>
      <c r="H1415" s="115"/>
      <c r="I1415" s="115"/>
      <c r="J1415" s="115"/>
      <c r="K1415" s="115">
        <v>0</v>
      </c>
      <c r="L1415" s="12">
        <f t="shared" si="96"/>
        <v>0</v>
      </c>
      <c r="M1415" s="4">
        <f t="shared" si="97"/>
        <v>0</v>
      </c>
      <c r="N1415" s="4">
        <f t="shared" si="98"/>
        <v>0</v>
      </c>
      <c r="O1415" s="13">
        <f t="shared" si="99"/>
        <v>0</v>
      </c>
    </row>
    <row r="1416" spans="2:15">
      <c r="B1416" s="12">
        <v>12</v>
      </c>
      <c r="C1416" s="4" t="s">
        <v>152</v>
      </c>
      <c r="D1416" s="4" t="s">
        <v>150</v>
      </c>
      <c r="E1416" s="4">
        <v>10</v>
      </c>
      <c r="F1416" s="4">
        <v>4</v>
      </c>
      <c r="G1416" s="4">
        <v>5</v>
      </c>
      <c r="H1416" s="115"/>
      <c r="I1416" s="115"/>
      <c r="J1416" s="115"/>
      <c r="K1416" s="115">
        <v>0</v>
      </c>
      <c r="L1416" s="12">
        <f t="shared" si="96"/>
        <v>0</v>
      </c>
      <c r="M1416" s="4">
        <f t="shared" si="97"/>
        <v>0</v>
      </c>
      <c r="N1416" s="4">
        <f t="shared" si="98"/>
        <v>0</v>
      </c>
      <c r="O1416" s="13">
        <f t="shared" si="99"/>
        <v>0</v>
      </c>
    </row>
    <row r="1417" spans="2:15">
      <c r="B1417" s="12">
        <v>12</v>
      </c>
      <c r="C1417" s="4" t="s">
        <v>152</v>
      </c>
      <c r="D1417" s="4" t="s">
        <v>150</v>
      </c>
      <c r="E1417" s="4">
        <v>10</v>
      </c>
      <c r="F1417" s="4">
        <v>4</v>
      </c>
      <c r="G1417" s="4">
        <v>6</v>
      </c>
      <c r="H1417" s="115"/>
      <c r="I1417" s="115"/>
      <c r="J1417" s="115"/>
      <c r="K1417" s="115">
        <v>0</v>
      </c>
      <c r="L1417" s="12">
        <f t="shared" si="96"/>
        <v>0</v>
      </c>
      <c r="M1417" s="4">
        <f t="shared" si="97"/>
        <v>0</v>
      </c>
      <c r="N1417" s="4">
        <f t="shared" si="98"/>
        <v>0</v>
      </c>
      <c r="O1417" s="13">
        <f t="shared" si="99"/>
        <v>0</v>
      </c>
    </row>
    <row r="1418" spans="2:15">
      <c r="B1418" s="12">
        <v>12</v>
      </c>
      <c r="C1418" s="4" t="s">
        <v>152</v>
      </c>
      <c r="D1418" s="4" t="s">
        <v>150</v>
      </c>
      <c r="E1418" s="4">
        <v>10</v>
      </c>
      <c r="F1418" s="4">
        <v>4</v>
      </c>
      <c r="G1418" s="4">
        <v>7</v>
      </c>
      <c r="H1418" s="115"/>
      <c r="I1418" s="115"/>
      <c r="J1418" s="115"/>
      <c r="K1418" s="115">
        <v>0</v>
      </c>
      <c r="L1418" s="12">
        <f t="shared" si="96"/>
        <v>0</v>
      </c>
      <c r="M1418" s="4">
        <f t="shared" si="97"/>
        <v>0</v>
      </c>
      <c r="N1418" s="4">
        <f t="shared" si="98"/>
        <v>0</v>
      </c>
      <c r="O1418" s="13">
        <f t="shared" si="99"/>
        <v>0</v>
      </c>
    </row>
    <row r="1419" spans="2:15">
      <c r="B1419" s="12">
        <v>12</v>
      </c>
      <c r="C1419" s="4" t="s">
        <v>152</v>
      </c>
      <c r="D1419" s="4" t="s">
        <v>150</v>
      </c>
      <c r="E1419" s="4">
        <v>10</v>
      </c>
      <c r="F1419" s="4">
        <v>4</v>
      </c>
      <c r="G1419" s="4">
        <v>8</v>
      </c>
      <c r="H1419" s="115"/>
      <c r="I1419" s="115"/>
      <c r="J1419" s="115"/>
      <c r="K1419" s="115">
        <v>0</v>
      </c>
      <c r="L1419" s="12">
        <f t="shared" si="96"/>
        <v>0</v>
      </c>
      <c r="M1419" s="4">
        <f t="shared" si="97"/>
        <v>0</v>
      </c>
      <c r="N1419" s="4">
        <f t="shared" si="98"/>
        <v>0</v>
      </c>
      <c r="O1419" s="13">
        <f t="shared" si="99"/>
        <v>0</v>
      </c>
    </row>
    <row r="1420" spans="2:15">
      <c r="B1420" s="12">
        <v>12</v>
      </c>
      <c r="C1420" s="4" t="s">
        <v>152</v>
      </c>
      <c r="D1420" s="4" t="s">
        <v>150</v>
      </c>
      <c r="E1420" s="4">
        <v>10</v>
      </c>
      <c r="F1420" s="4">
        <v>4</v>
      </c>
      <c r="G1420" s="4">
        <v>9</v>
      </c>
      <c r="H1420" s="115"/>
      <c r="I1420" s="115"/>
      <c r="J1420" s="115"/>
      <c r="K1420" s="115">
        <v>0</v>
      </c>
      <c r="L1420" s="12">
        <f t="shared" si="96"/>
        <v>0</v>
      </c>
      <c r="M1420" s="4">
        <f t="shared" si="97"/>
        <v>0</v>
      </c>
      <c r="N1420" s="4">
        <f t="shared" si="98"/>
        <v>0</v>
      </c>
      <c r="O1420" s="13">
        <f t="shared" si="99"/>
        <v>0</v>
      </c>
    </row>
    <row r="1421" spans="2:15" ht="13.8" thickBot="1">
      <c r="B1421" s="14">
        <v>12</v>
      </c>
      <c r="C1421" s="15" t="s">
        <v>152</v>
      </c>
      <c r="D1421" s="15" t="s">
        <v>150</v>
      </c>
      <c r="E1421" s="15">
        <v>10</v>
      </c>
      <c r="F1421" s="15">
        <v>4</v>
      </c>
      <c r="G1421" s="15">
        <v>10</v>
      </c>
      <c r="H1421" s="121"/>
      <c r="I1421" s="121"/>
      <c r="J1421" s="121"/>
      <c r="K1421" s="121">
        <v>0</v>
      </c>
      <c r="L1421" s="14">
        <f t="shared" si="96"/>
        <v>0</v>
      </c>
      <c r="M1421" s="15">
        <f t="shared" si="97"/>
        <v>0</v>
      </c>
      <c r="N1421" s="15">
        <f t="shared" si="98"/>
        <v>0</v>
      </c>
      <c r="O1421" s="16">
        <f t="shared" si="99"/>
        <v>0</v>
      </c>
    </row>
    <row r="1422" spans="2:15">
      <c r="B1422" s="9">
        <v>12</v>
      </c>
      <c r="C1422" s="10" t="s">
        <v>152</v>
      </c>
      <c r="D1422" s="10" t="s">
        <v>154</v>
      </c>
      <c r="E1422" s="93">
        <v>11</v>
      </c>
      <c r="F1422" s="93">
        <v>12</v>
      </c>
      <c r="G1422" s="10">
        <v>1</v>
      </c>
      <c r="H1422" s="120">
        <v>0.66800000000000637</v>
      </c>
      <c r="I1422" s="120">
        <v>0.15000000000009095</v>
      </c>
      <c r="J1422" s="120"/>
      <c r="K1422" s="120">
        <v>0.81800000000009732</v>
      </c>
      <c r="L1422" s="9">
        <f t="shared" si="96"/>
        <v>0.22219604630172157</v>
      </c>
      <c r="M1422" s="10">
        <f t="shared" si="97"/>
        <v>6.0697840353646032E-2</v>
      </c>
      <c r="N1422" s="10">
        <f t="shared" si="98"/>
        <v>0</v>
      </c>
      <c r="O1422" s="11">
        <f t="shared" si="99"/>
        <v>0.25959387888597191</v>
      </c>
    </row>
    <row r="1423" spans="2:15">
      <c r="B1423" s="12">
        <v>12</v>
      </c>
      <c r="C1423" s="4" t="s">
        <v>152</v>
      </c>
      <c r="D1423" s="4" t="s">
        <v>154</v>
      </c>
      <c r="E1423" s="4">
        <v>11</v>
      </c>
      <c r="F1423" s="4">
        <v>12</v>
      </c>
      <c r="G1423" s="4">
        <v>2</v>
      </c>
      <c r="H1423" s="115">
        <v>0.1330000000000382</v>
      </c>
      <c r="I1423" s="115"/>
      <c r="J1423" s="115"/>
      <c r="K1423" s="115">
        <v>0.1330000000000382</v>
      </c>
      <c r="L1423" s="12">
        <f t="shared" si="96"/>
        <v>5.422990986341189E-2</v>
      </c>
      <c r="M1423" s="4">
        <f t="shared" si="97"/>
        <v>0</v>
      </c>
      <c r="N1423" s="4">
        <f t="shared" si="98"/>
        <v>0</v>
      </c>
      <c r="O1423" s="13">
        <f t="shared" si="99"/>
        <v>5.422990986341189E-2</v>
      </c>
    </row>
    <row r="1424" spans="2:15">
      <c r="B1424" s="12">
        <v>12</v>
      </c>
      <c r="C1424" s="4" t="s">
        <v>152</v>
      </c>
      <c r="D1424" s="4" t="s">
        <v>154</v>
      </c>
      <c r="E1424" s="4">
        <v>11</v>
      </c>
      <c r="F1424" s="4">
        <v>12</v>
      </c>
      <c r="G1424" s="4">
        <v>3</v>
      </c>
      <c r="H1424" s="115"/>
      <c r="I1424" s="115"/>
      <c r="J1424" s="115"/>
      <c r="K1424" s="115">
        <v>0</v>
      </c>
      <c r="L1424" s="12">
        <f t="shared" si="96"/>
        <v>0</v>
      </c>
      <c r="M1424" s="4">
        <f t="shared" si="97"/>
        <v>0</v>
      </c>
      <c r="N1424" s="4">
        <f t="shared" si="98"/>
        <v>0</v>
      </c>
      <c r="O1424" s="13">
        <f t="shared" si="99"/>
        <v>0</v>
      </c>
    </row>
    <row r="1425" spans="2:15">
      <c r="B1425" s="12">
        <v>12</v>
      </c>
      <c r="C1425" s="4" t="s">
        <v>152</v>
      </c>
      <c r="D1425" s="4" t="s">
        <v>154</v>
      </c>
      <c r="E1425" s="4">
        <v>11</v>
      </c>
      <c r="F1425" s="4">
        <v>12</v>
      </c>
      <c r="G1425" s="4">
        <v>4</v>
      </c>
      <c r="H1425" s="115"/>
      <c r="I1425" s="115"/>
      <c r="J1425" s="115"/>
      <c r="K1425" s="115">
        <v>0</v>
      </c>
      <c r="L1425" s="12">
        <f t="shared" si="96"/>
        <v>0</v>
      </c>
      <c r="M1425" s="4">
        <f t="shared" si="97"/>
        <v>0</v>
      </c>
      <c r="N1425" s="4">
        <f t="shared" si="98"/>
        <v>0</v>
      </c>
      <c r="O1425" s="13">
        <f t="shared" si="99"/>
        <v>0</v>
      </c>
    </row>
    <row r="1426" spans="2:15">
      <c r="B1426" s="12">
        <v>12</v>
      </c>
      <c r="C1426" s="4" t="s">
        <v>152</v>
      </c>
      <c r="D1426" s="4" t="s">
        <v>154</v>
      </c>
      <c r="E1426" s="4">
        <v>11</v>
      </c>
      <c r="F1426" s="4">
        <v>12</v>
      </c>
      <c r="G1426" s="4">
        <v>5</v>
      </c>
      <c r="H1426" s="115"/>
      <c r="I1426" s="115"/>
      <c r="J1426" s="115"/>
      <c r="K1426" s="115">
        <v>0</v>
      </c>
      <c r="L1426" s="12">
        <f t="shared" si="96"/>
        <v>0</v>
      </c>
      <c r="M1426" s="4">
        <f t="shared" si="97"/>
        <v>0</v>
      </c>
      <c r="N1426" s="4">
        <f t="shared" si="98"/>
        <v>0</v>
      </c>
      <c r="O1426" s="13">
        <f t="shared" si="99"/>
        <v>0</v>
      </c>
    </row>
    <row r="1427" spans="2:15">
      <c r="B1427" s="12">
        <v>12</v>
      </c>
      <c r="C1427" s="4" t="s">
        <v>152</v>
      </c>
      <c r="D1427" s="4" t="s">
        <v>154</v>
      </c>
      <c r="E1427" s="4">
        <v>11</v>
      </c>
      <c r="F1427" s="4">
        <v>12</v>
      </c>
      <c r="G1427" s="4">
        <v>6</v>
      </c>
      <c r="H1427" s="115"/>
      <c r="I1427" s="115"/>
      <c r="J1427" s="115"/>
      <c r="K1427" s="115">
        <v>0</v>
      </c>
      <c r="L1427" s="12">
        <f t="shared" si="96"/>
        <v>0</v>
      </c>
      <c r="M1427" s="4">
        <f t="shared" si="97"/>
        <v>0</v>
      </c>
      <c r="N1427" s="4">
        <f t="shared" si="98"/>
        <v>0</v>
      </c>
      <c r="O1427" s="13">
        <f t="shared" si="99"/>
        <v>0</v>
      </c>
    </row>
    <row r="1428" spans="2:15">
      <c r="B1428" s="12">
        <v>12</v>
      </c>
      <c r="C1428" s="4" t="s">
        <v>152</v>
      </c>
      <c r="D1428" s="4" t="s">
        <v>154</v>
      </c>
      <c r="E1428" s="4">
        <v>11</v>
      </c>
      <c r="F1428" s="4">
        <v>12</v>
      </c>
      <c r="G1428" s="4">
        <v>7</v>
      </c>
      <c r="H1428" s="115"/>
      <c r="I1428" s="115"/>
      <c r="J1428" s="115"/>
      <c r="K1428" s="115">
        <v>0</v>
      </c>
      <c r="L1428" s="12">
        <f t="shared" si="96"/>
        <v>0</v>
      </c>
      <c r="M1428" s="4">
        <f t="shared" si="97"/>
        <v>0</v>
      </c>
      <c r="N1428" s="4">
        <f t="shared" si="98"/>
        <v>0</v>
      </c>
      <c r="O1428" s="13">
        <f t="shared" si="99"/>
        <v>0</v>
      </c>
    </row>
    <row r="1429" spans="2:15">
      <c r="B1429" s="12">
        <v>12</v>
      </c>
      <c r="C1429" s="4" t="s">
        <v>152</v>
      </c>
      <c r="D1429" s="4" t="s">
        <v>154</v>
      </c>
      <c r="E1429" s="4">
        <v>11</v>
      </c>
      <c r="F1429" s="4">
        <v>12</v>
      </c>
      <c r="G1429" s="4">
        <v>8</v>
      </c>
      <c r="H1429" s="115"/>
      <c r="I1429" s="115"/>
      <c r="J1429" s="115"/>
      <c r="K1429" s="115">
        <v>0</v>
      </c>
      <c r="L1429" s="12">
        <f t="shared" si="96"/>
        <v>0</v>
      </c>
      <c r="M1429" s="4">
        <f t="shared" si="97"/>
        <v>0</v>
      </c>
      <c r="N1429" s="4">
        <f t="shared" si="98"/>
        <v>0</v>
      </c>
      <c r="O1429" s="13">
        <f t="shared" si="99"/>
        <v>0</v>
      </c>
    </row>
    <row r="1430" spans="2:15">
      <c r="B1430" s="12">
        <v>12</v>
      </c>
      <c r="C1430" s="4" t="s">
        <v>152</v>
      </c>
      <c r="D1430" s="4" t="s">
        <v>154</v>
      </c>
      <c r="E1430" s="4">
        <v>11</v>
      </c>
      <c r="F1430" s="4">
        <v>12</v>
      </c>
      <c r="G1430" s="4">
        <v>9</v>
      </c>
      <c r="H1430" s="115"/>
      <c r="I1430" s="115"/>
      <c r="J1430" s="115"/>
      <c r="K1430" s="115">
        <v>0</v>
      </c>
      <c r="L1430" s="12">
        <f t="shared" si="96"/>
        <v>0</v>
      </c>
      <c r="M1430" s="4">
        <f t="shared" si="97"/>
        <v>0</v>
      </c>
      <c r="N1430" s="4">
        <f t="shared" si="98"/>
        <v>0</v>
      </c>
      <c r="O1430" s="13">
        <f t="shared" si="99"/>
        <v>0</v>
      </c>
    </row>
    <row r="1431" spans="2:15" ht="13.8" thickBot="1">
      <c r="B1431" s="14">
        <v>12</v>
      </c>
      <c r="C1431" s="15" t="s">
        <v>152</v>
      </c>
      <c r="D1431" s="15" t="s">
        <v>154</v>
      </c>
      <c r="E1431" s="15">
        <v>11</v>
      </c>
      <c r="F1431" s="15">
        <v>12</v>
      </c>
      <c r="G1431" s="15">
        <v>10</v>
      </c>
      <c r="H1431" s="121"/>
      <c r="I1431" s="121"/>
      <c r="J1431" s="121"/>
      <c r="K1431" s="121">
        <v>0</v>
      </c>
      <c r="L1431" s="14">
        <f t="shared" si="96"/>
        <v>0</v>
      </c>
      <c r="M1431" s="15">
        <f t="shared" si="97"/>
        <v>0</v>
      </c>
      <c r="N1431" s="15">
        <f t="shared" si="98"/>
        <v>0</v>
      </c>
      <c r="O1431" s="16">
        <f t="shared" si="99"/>
        <v>0</v>
      </c>
    </row>
    <row r="1432" spans="2:15">
      <c r="B1432" s="9">
        <v>12</v>
      </c>
      <c r="C1432" s="10" t="s">
        <v>152</v>
      </c>
      <c r="D1432" s="10" t="s">
        <v>149</v>
      </c>
      <c r="E1432" s="93">
        <v>12</v>
      </c>
      <c r="F1432" s="93">
        <v>8</v>
      </c>
      <c r="G1432" s="10">
        <v>1</v>
      </c>
      <c r="H1432" s="120">
        <v>1.3170000000000641</v>
      </c>
      <c r="I1432" s="120"/>
      <c r="J1432" s="120">
        <v>0.30100000000004457</v>
      </c>
      <c r="K1432" s="120">
        <v>1.6180000000001087</v>
      </c>
      <c r="L1432" s="9">
        <f t="shared" si="96"/>
        <v>0.36492603378998761</v>
      </c>
      <c r="M1432" s="10">
        <f t="shared" si="97"/>
        <v>0</v>
      </c>
      <c r="N1432" s="10">
        <f t="shared" si="98"/>
        <v>0.11427729656160113</v>
      </c>
      <c r="O1432" s="11">
        <f t="shared" si="99"/>
        <v>0.41796964221475502</v>
      </c>
    </row>
    <row r="1433" spans="2:15">
      <c r="B1433" s="12">
        <v>12</v>
      </c>
      <c r="C1433" s="4" t="s">
        <v>152</v>
      </c>
      <c r="D1433" s="4" t="s">
        <v>149</v>
      </c>
      <c r="E1433" s="4">
        <v>12</v>
      </c>
      <c r="F1433" s="4">
        <v>8</v>
      </c>
      <c r="G1433" s="4">
        <v>2</v>
      </c>
      <c r="H1433" s="115"/>
      <c r="I1433" s="115">
        <v>0.11600000000004229</v>
      </c>
      <c r="J1433" s="115"/>
      <c r="K1433" s="115">
        <v>0.11600000000004229</v>
      </c>
      <c r="L1433" s="12">
        <f t="shared" si="96"/>
        <v>0</v>
      </c>
      <c r="M1433" s="4">
        <f t="shared" si="97"/>
        <v>4.76641946015764E-2</v>
      </c>
      <c r="N1433" s="4">
        <f t="shared" si="98"/>
        <v>0</v>
      </c>
      <c r="O1433" s="13">
        <f t="shared" si="99"/>
        <v>4.76641946015764E-2</v>
      </c>
    </row>
    <row r="1434" spans="2:15">
      <c r="B1434" s="12">
        <v>12</v>
      </c>
      <c r="C1434" s="4" t="s">
        <v>152</v>
      </c>
      <c r="D1434" s="4" t="s">
        <v>149</v>
      </c>
      <c r="E1434" s="4">
        <v>12</v>
      </c>
      <c r="F1434" s="4">
        <v>8</v>
      </c>
      <c r="G1434" s="4">
        <v>3</v>
      </c>
      <c r="H1434" s="115"/>
      <c r="I1434" s="115"/>
      <c r="J1434" s="115"/>
      <c r="K1434" s="115">
        <v>0</v>
      </c>
      <c r="L1434" s="12">
        <f t="shared" si="96"/>
        <v>0</v>
      </c>
      <c r="M1434" s="4">
        <f t="shared" si="97"/>
        <v>0</v>
      </c>
      <c r="N1434" s="4">
        <f t="shared" si="98"/>
        <v>0</v>
      </c>
      <c r="O1434" s="13">
        <f t="shared" si="99"/>
        <v>0</v>
      </c>
    </row>
    <row r="1435" spans="2:15">
      <c r="B1435" s="12">
        <v>12</v>
      </c>
      <c r="C1435" s="4" t="s">
        <v>152</v>
      </c>
      <c r="D1435" s="4" t="s">
        <v>149</v>
      </c>
      <c r="E1435" s="4">
        <v>12</v>
      </c>
      <c r="F1435" s="4">
        <v>8</v>
      </c>
      <c r="G1435" s="4">
        <v>4</v>
      </c>
      <c r="H1435" s="115"/>
      <c r="I1435" s="115"/>
      <c r="J1435" s="115"/>
      <c r="K1435" s="115">
        <v>0</v>
      </c>
      <c r="L1435" s="12">
        <f t="shared" si="96"/>
        <v>0</v>
      </c>
      <c r="M1435" s="4">
        <f t="shared" si="97"/>
        <v>0</v>
      </c>
      <c r="N1435" s="4">
        <f t="shared" si="98"/>
        <v>0</v>
      </c>
      <c r="O1435" s="13">
        <f t="shared" si="99"/>
        <v>0</v>
      </c>
    </row>
    <row r="1436" spans="2:15">
      <c r="B1436" s="12">
        <v>12</v>
      </c>
      <c r="C1436" s="4" t="s">
        <v>152</v>
      </c>
      <c r="D1436" s="4" t="s">
        <v>149</v>
      </c>
      <c r="E1436" s="4">
        <v>12</v>
      </c>
      <c r="F1436" s="4">
        <v>8</v>
      </c>
      <c r="G1436" s="4">
        <v>5</v>
      </c>
      <c r="H1436" s="115"/>
      <c r="I1436" s="115"/>
      <c r="J1436" s="115"/>
      <c r="K1436" s="115">
        <v>0</v>
      </c>
      <c r="L1436" s="12">
        <f t="shared" si="96"/>
        <v>0</v>
      </c>
      <c r="M1436" s="4">
        <f t="shared" si="97"/>
        <v>0</v>
      </c>
      <c r="N1436" s="4">
        <f t="shared" si="98"/>
        <v>0</v>
      </c>
      <c r="O1436" s="13">
        <f t="shared" si="99"/>
        <v>0</v>
      </c>
    </row>
    <row r="1437" spans="2:15">
      <c r="B1437" s="12">
        <v>12</v>
      </c>
      <c r="C1437" s="4" t="s">
        <v>152</v>
      </c>
      <c r="D1437" s="4" t="s">
        <v>149</v>
      </c>
      <c r="E1437" s="4">
        <v>12</v>
      </c>
      <c r="F1437" s="4">
        <v>8</v>
      </c>
      <c r="G1437" s="4">
        <v>6</v>
      </c>
      <c r="H1437" s="115"/>
      <c r="I1437" s="115"/>
      <c r="J1437" s="115"/>
      <c r="K1437" s="115">
        <v>0</v>
      </c>
      <c r="L1437" s="12">
        <f t="shared" si="96"/>
        <v>0</v>
      </c>
      <c r="M1437" s="4">
        <f t="shared" si="97"/>
        <v>0</v>
      </c>
      <c r="N1437" s="4">
        <f t="shared" si="98"/>
        <v>0</v>
      </c>
      <c r="O1437" s="13">
        <f t="shared" si="99"/>
        <v>0</v>
      </c>
    </row>
    <row r="1438" spans="2:15">
      <c r="B1438" s="12">
        <v>12</v>
      </c>
      <c r="C1438" s="4" t="s">
        <v>152</v>
      </c>
      <c r="D1438" s="4" t="s">
        <v>149</v>
      </c>
      <c r="E1438" s="4">
        <v>12</v>
      </c>
      <c r="F1438" s="4">
        <v>8</v>
      </c>
      <c r="G1438" s="4">
        <v>7</v>
      </c>
      <c r="H1438" s="115"/>
      <c r="I1438" s="115"/>
      <c r="J1438" s="115"/>
      <c r="K1438" s="115">
        <v>0</v>
      </c>
      <c r="L1438" s="12">
        <f t="shared" si="96"/>
        <v>0</v>
      </c>
      <c r="M1438" s="4">
        <f t="shared" si="97"/>
        <v>0</v>
      </c>
      <c r="N1438" s="4">
        <f t="shared" si="98"/>
        <v>0</v>
      </c>
      <c r="O1438" s="13">
        <f t="shared" si="99"/>
        <v>0</v>
      </c>
    </row>
    <row r="1439" spans="2:15">
      <c r="B1439" s="12">
        <v>12</v>
      </c>
      <c r="C1439" s="4" t="s">
        <v>152</v>
      </c>
      <c r="D1439" s="4" t="s">
        <v>149</v>
      </c>
      <c r="E1439" s="4">
        <v>12</v>
      </c>
      <c r="F1439" s="4">
        <v>8</v>
      </c>
      <c r="G1439" s="4">
        <v>8</v>
      </c>
      <c r="H1439" s="115"/>
      <c r="I1439" s="115"/>
      <c r="J1439" s="115"/>
      <c r="K1439" s="115">
        <v>0</v>
      </c>
      <c r="L1439" s="12">
        <f t="shared" si="96"/>
        <v>0</v>
      </c>
      <c r="M1439" s="4">
        <f t="shared" si="97"/>
        <v>0</v>
      </c>
      <c r="N1439" s="4">
        <f t="shared" si="98"/>
        <v>0</v>
      </c>
      <c r="O1439" s="13">
        <f t="shared" si="99"/>
        <v>0</v>
      </c>
    </row>
    <row r="1440" spans="2:15">
      <c r="B1440" s="12">
        <v>12</v>
      </c>
      <c r="C1440" s="4" t="s">
        <v>152</v>
      </c>
      <c r="D1440" s="4" t="s">
        <v>149</v>
      </c>
      <c r="E1440" s="4">
        <v>12</v>
      </c>
      <c r="F1440" s="4">
        <v>8</v>
      </c>
      <c r="G1440" s="4">
        <v>9</v>
      </c>
      <c r="H1440" s="115"/>
      <c r="I1440" s="115"/>
      <c r="J1440" s="115"/>
      <c r="K1440" s="115">
        <v>0</v>
      </c>
      <c r="L1440" s="12">
        <f t="shared" si="96"/>
        <v>0</v>
      </c>
      <c r="M1440" s="4">
        <f t="shared" si="97"/>
        <v>0</v>
      </c>
      <c r="N1440" s="4">
        <f t="shared" si="98"/>
        <v>0</v>
      </c>
      <c r="O1440" s="13">
        <f t="shared" si="99"/>
        <v>0</v>
      </c>
    </row>
    <row r="1441" spans="2:15" ht="13.8" thickBot="1">
      <c r="B1441" s="14">
        <v>12</v>
      </c>
      <c r="C1441" s="15" t="s">
        <v>152</v>
      </c>
      <c r="D1441" s="15" t="s">
        <v>149</v>
      </c>
      <c r="E1441" s="15">
        <v>12</v>
      </c>
      <c r="F1441" s="15">
        <v>8</v>
      </c>
      <c r="G1441" s="15">
        <v>10</v>
      </c>
      <c r="H1441" s="121"/>
      <c r="I1441" s="121"/>
      <c r="J1441" s="121"/>
      <c r="K1441" s="121">
        <v>0</v>
      </c>
      <c r="L1441" s="14">
        <f t="shared" si="96"/>
        <v>0</v>
      </c>
      <c r="M1441" s="15">
        <f t="shared" si="97"/>
        <v>0</v>
      </c>
      <c r="N1441" s="15">
        <f t="shared" si="98"/>
        <v>0</v>
      </c>
      <c r="O1441" s="16">
        <f t="shared" si="99"/>
        <v>0</v>
      </c>
    </row>
    <row r="1442" spans="2:15">
      <c r="B1442" s="9">
        <v>13</v>
      </c>
      <c r="C1442" s="10" t="s">
        <v>151</v>
      </c>
      <c r="D1442" s="10" t="s">
        <v>150</v>
      </c>
      <c r="E1442" s="93">
        <v>1</v>
      </c>
      <c r="F1442" s="93">
        <v>12</v>
      </c>
      <c r="G1442" s="10">
        <v>1</v>
      </c>
      <c r="H1442" s="120">
        <v>1.6330000000002656</v>
      </c>
      <c r="I1442" s="120">
        <v>0.21600000000000819</v>
      </c>
      <c r="J1442" s="120">
        <v>5.9670000000000982</v>
      </c>
      <c r="K1442" s="120">
        <v>7.816000000000372</v>
      </c>
      <c r="L1442" s="9">
        <f t="shared" si="96"/>
        <v>0.42045085910611196</v>
      </c>
      <c r="M1442" s="10">
        <f t="shared" si="97"/>
        <v>8.4933574936719061E-2</v>
      </c>
      <c r="N1442" s="10">
        <f t="shared" si="98"/>
        <v>0.84304581053457539</v>
      </c>
      <c r="O1442" s="11">
        <f t="shared" si="99"/>
        <v>0.94527158150772816</v>
      </c>
    </row>
    <row r="1443" spans="2:15">
      <c r="B1443" s="12">
        <v>13</v>
      </c>
      <c r="C1443" s="4" t="s">
        <v>151</v>
      </c>
      <c r="D1443" s="4" t="s">
        <v>150</v>
      </c>
      <c r="E1443" s="4">
        <v>1</v>
      </c>
      <c r="F1443" s="4">
        <v>12</v>
      </c>
      <c r="G1443" s="4">
        <v>2</v>
      </c>
      <c r="H1443" s="115">
        <v>0.20000000000004547</v>
      </c>
      <c r="I1443" s="115"/>
      <c r="J1443" s="115"/>
      <c r="K1443" s="115">
        <v>0.20000000000004547</v>
      </c>
      <c r="L1443" s="12">
        <f t="shared" si="96"/>
        <v>7.918124604764129E-2</v>
      </c>
      <c r="M1443" s="4">
        <f t="shared" si="97"/>
        <v>0</v>
      </c>
      <c r="N1443" s="4">
        <f t="shared" si="98"/>
        <v>0</v>
      </c>
      <c r="O1443" s="13">
        <f t="shared" si="99"/>
        <v>7.918124604764129E-2</v>
      </c>
    </row>
    <row r="1444" spans="2:15">
      <c r="B1444" s="12">
        <v>13</v>
      </c>
      <c r="C1444" s="4" t="s">
        <v>151</v>
      </c>
      <c r="D1444" s="4" t="s">
        <v>150</v>
      </c>
      <c r="E1444" s="4">
        <v>1</v>
      </c>
      <c r="F1444" s="4">
        <v>12</v>
      </c>
      <c r="G1444" s="4">
        <v>3</v>
      </c>
      <c r="H1444" s="115"/>
      <c r="I1444" s="115"/>
      <c r="J1444" s="115"/>
      <c r="K1444" s="115">
        <v>0</v>
      </c>
      <c r="L1444" s="12">
        <f t="shared" si="96"/>
        <v>0</v>
      </c>
      <c r="M1444" s="4">
        <f t="shared" si="97"/>
        <v>0</v>
      </c>
      <c r="N1444" s="4">
        <f t="shared" si="98"/>
        <v>0</v>
      </c>
      <c r="O1444" s="13">
        <f t="shared" si="99"/>
        <v>0</v>
      </c>
    </row>
    <row r="1445" spans="2:15">
      <c r="B1445" s="12">
        <v>13</v>
      </c>
      <c r="C1445" s="4" t="s">
        <v>151</v>
      </c>
      <c r="D1445" s="4" t="s">
        <v>150</v>
      </c>
      <c r="E1445" s="4">
        <v>1</v>
      </c>
      <c r="F1445" s="4">
        <v>12</v>
      </c>
      <c r="G1445" s="4">
        <v>4</v>
      </c>
      <c r="H1445" s="115"/>
      <c r="I1445" s="115"/>
      <c r="J1445" s="115"/>
      <c r="K1445" s="115">
        <v>0</v>
      </c>
      <c r="L1445" s="12">
        <f t="shared" si="96"/>
        <v>0</v>
      </c>
      <c r="M1445" s="4">
        <f t="shared" si="97"/>
        <v>0</v>
      </c>
      <c r="N1445" s="4">
        <f t="shared" si="98"/>
        <v>0</v>
      </c>
      <c r="O1445" s="13">
        <f t="shared" si="99"/>
        <v>0</v>
      </c>
    </row>
    <row r="1446" spans="2:15">
      <c r="B1446" s="12">
        <v>13</v>
      </c>
      <c r="C1446" s="4" t="s">
        <v>151</v>
      </c>
      <c r="D1446" s="4" t="s">
        <v>150</v>
      </c>
      <c r="E1446" s="4">
        <v>1</v>
      </c>
      <c r="F1446" s="4">
        <v>12</v>
      </c>
      <c r="G1446" s="4">
        <v>5</v>
      </c>
      <c r="H1446" s="115"/>
      <c r="I1446" s="115"/>
      <c r="J1446" s="115"/>
      <c r="K1446" s="115">
        <v>0</v>
      </c>
      <c r="L1446" s="12">
        <f t="shared" si="96"/>
        <v>0</v>
      </c>
      <c r="M1446" s="4">
        <f t="shared" si="97"/>
        <v>0</v>
      </c>
      <c r="N1446" s="4">
        <f t="shared" si="98"/>
        <v>0</v>
      </c>
      <c r="O1446" s="13">
        <f t="shared" si="99"/>
        <v>0</v>
      </c>
    </row>
    <row r="1447" spans="2:15">
      <c r="B1447" s="12">
        <v>13</v>
      </c>
      <c r="C1447" s="4" t="s">
        <v>151</v>
      </c>
      <c r="D1447" s="4" t="s">
        <v>150</v>
      </c>
      <c r="E1447" s="4">
        <v>1</v>
      </c>
      <c r="F1447" s="4">
        <v>12</v>
      </c>
      <c r="G1447" s="4">
        <v>6</v>
      </c>
      <c r="H1447" s="115"/>
      <c r="I1447" s="115"/>
      <c r="J1447" s="115"/>
      <c r="K1447" s="115">
        <v>0</v>
      </c>
      <c r="L1447" s="12">
        <f t="shared" ref="L1447:L1510" si="100">LOG10(H1447+1)</f>
        <v>0</v>
      </c>
      <c r="M1447" s="4">
        <f t="shared" ref="M1447:M1510" si="101">LOG10(I1447+1)</f>
        <v>0</v>
      </c>
      <c r="N1447" s="4">
        <f t="shared" ref="N1447:N1510" si="102">LOG10(J1447+1)</f>
        <v>0</v>
      </c>
      <c r="O1447" s="13">
        <f t="shared" ref="O1447:O1510" si="103">LOG10(K1447+1)</f>
        <v>0</v>
      </c>
    </row>
    <row r="1448" spans="2:15">
      <c r="B1448" s="12">
        <v>13</v>
      </c>
      <c r="C1448" s="4" t="s">
        <v>151</v>
      </c>
      <c r="D1448" s="4" t="s">
        <v>150</v>
      </c>
      <c r="E1448" s="4">
        <v>1</v>
      </c>
      <c r="F1448" s="4">
        <v>12</v>
      </c>
      <c r="G1448" s="4">
        <v>7</v>
      </c>
      <c r="H1448" s="115"/>
      <c r="I1448" s="115"/>
      <c r="J1448" s="115"/>
      <c r="K1448" s="115">
        <v>0</v>
      </c>
      <c r="L1448" s="12">
        <f t="shared" si="100"/>
        <v>0</v>
      </c>
      <c r="M1448" s="4">
        <f t="shared" si="101"/>
        <v>0</v>
      </c>
      <c r="N1448" s="4">
        <f t="shared" si="102"/>
        <v>0</v>
      </c>
      <c r="O1448" s="13">
        <f t="shared" si="103"/>
        <v>0</v>
      </c>
    </row>
    <row r="1449" spans="2:15">
      <c r="B1449" s="12">
        <v>13</v>
      </c>
      <c r="C1449" s="4" t="s">
        <v>151</v>
      </c>
      <c r="D1449" s="4" t="s">
        <v>150</v>
      </c>
      <c r="E1449" s="4">
        <v>1</v>
      </c>
      <c r="F1449" s="4">
        <v>12</v>
      </c>
      <c r="G1449" s="4">
        <v>8</v>
      </c>
      <c r="H1449" s="115"/>
      <c r="I1449" s="115"/>
      <c r="J1449" s="115"/>
      <c r="K1449" s="115">
        <v>0</v>
      </c>
      <c r="L1449" s="12">
        <f t="shared" si="100"/>
        <v>0</v>
      </c>
      <c r="M1449" s="4">
        <f t="shared" si="101"/>
        <v>0</v>
      </c>
      <c r="N1449" s="4">
        <f t="shared" si="102"/>
        <v>0</v>
      </c>
      <c r="O1449" s="13">
        <f t="shared" si="103"/>
        <v>0</v>
      </c>
    </row>
    <row r="1450" spans="2:15">
      <c r="B1450" s="12">
        <v>13</v>
      </c>
      <c r="C1450" s="4" t="s">
        <v>151</v>
      </c>
      <c r="D1450" s="4" t="s">
        <v>150</v>
      </c>
      <c r="E1450" s="4">
        <v>1</v>
      </c>
      <c r="F1450" s="4">
        <v>12</v>
      </c>
      <c r="G1450" s="4">
        <v>9</v>
      </c>
      <c r="H1450" s="115"/>
      <c r="I1450" s="115"/>
      <c r="J1450" s="115"/>
      <c r="K1450" s="115">
        <v>0</v>
      </c>
      <c r="L1450" s="12">
        <f t="shared" si="100"/>
        <v>0</v>
      </c>
      <c r="M1450" s="4">
        <f t="shared" si="101"/>
        <v>0</v>
      </c>
      <c r="N1450" s="4">
        <f t="shared" si="102"/>
        <v>0</v>
      </c>
      <c r="O1450" s="13">
        <f t="shared" si="103"/>
        <v>0</v>
      </c>
    </row>
    <row r="1451" spans="2:15" ht="13.8" thickBot="1">
      <c r="B1451" s="14">
        <v>13</v>
      </c>
      <c r="C1451" s="15" t="s">
        <v>151</v>
      </c>
      <c r="D1451" s="15" t="s">
        <v>150</v>
      </c>
      <c r="E1451" s="15">
        <v>1</v>
      </c>
      <c r="F1451" s="15">
        <v>12</v>
      </c>
      <c r="G1451" s="15">
        <v>10</v>
      </c>
      <c r="H1451" s="121"/>
      <c r="I1451" s="121"/>
      <c r="J1451" s="121"/>
      <c r="K1451" s="121">
        <v>0</v>
      </c>
      <c r="L1451" s="14">
        <f t="shared" si="100"/>
        <v>0</v>
      </c>
      <c r="M1451" s="15">
        <f t="shared" si="101"/>
        <v>0</v>
      </c>
      <c r="N1451" s="15">
        <f t="shared" si="102"/>
        <v>0</v>
      </c>
      <c r="O1451" s="16">
        <f t="shared" si="103"/>
        <v>0</v>
      </c>
    </row>
    <row r="1452" spans="2:15">
      <c r="B1452" s="9">
        <v>13</v>
      </c>
      <c r="C1452" s="10" t="s">
        <v>151</v>
      </c>
      <c r="D1452" s="10" t="s">
        <v>149</v>
      </c>
      <c r="E1452" s="93">
        <v>2</v>
      </c>
      <c r="F1452" s="93">
        <v>6</v>
      </c>
      <c r="G1452" s="10">
        <v>1</v>
      </c>
      <c r="H1452" s="120">
        <v>1.4809999999999377</v>
      </c>
      <c r="I1452" s="120">
        <v>0.23399999999998045</v>
      </c>
      <c r="J1452" s="120">
        <v>0.19999999999998863</v>
      </c>
      <c r="K1452" s="120">
        <v>1.9149999999999068</v>
      </c>
      <c r="L1452" s="9">
        <f t="shared" si="100"/>
        <v>0.39462676427219823</v>
      </c>
      <c r="M1452" s="10">
        <f t="shared" si="101"/>
        <v>9.1315159697216E-2</v>
      </c>
      <c r="N1452" s="10">
        <f t="shared" si="102"/>
        <v>7.918124604762071E-2</v>
      </c>
      <c r="O1452" s="11">
        <f t="shared" si="103"/>
        <v>0.464638559095019</v>
      </c>
    </row>
    <row r="1453" spans="2:15">
      <c r="B1453" s="12">
        <v>13</v>
      </c>
      <c r="C1453" s="4" t="s">
        <v>151</v>
      </c>
      <c r="D1453" s="4" t="s">
        <v>149</v>
      </c>
      <c r="E1453" s="4">
        <v>2</v>
      </c>
      <c r="F1453" s="4">
        <v>6</v>
      </c>
      <c r="G1453" s="4">
        <v>2</v>
      </c>
      <c r="H1453" s="115">
        <v>1.58299999999997</v>
      </c>
      <c r="I1453" s="115">
        <v>0.69999999999993179</v>
      </c>
      <c r="J1453" s="115">
        <v>1.3330000000000837</v>
      </c>
      <c r="K1453" s="115">
        <v>3.6159999999999854</v>
      </c>
      <c r="L1453" s="12">
        <f t="shared" si="100"/>
        <v>0.41212440617331214</v>
      </c>
      <c r="M1453" s="4">
        <f t="shared" si="101"/>
        <v>0.23044892137825651</v>
      </c>
      <c r="N1453" s="4">
        <f t="shared" si="102"/>
        <v>0.36791473879376818</v>
      </c>
      <c r="O1453" s="13">
        <f t="shared" si="103"/>
        <v>0.66426580014767367</v>
      </c>
    </row>
    <row r="1454" spans="2:15">
      <c r="B1454" s="12">
        <v>13</v>
      </c>
      <c r="C1454" s="4" t="s">
        <v>151</v>
      </c>
      <c r="D1454" s="4" t="s">
        <v>149</v>
      </c>
      <c r="E1454" s="4">
        <v>2</v>
      </c>
      <c r="F1454" s="4">
        <v>6</v>
      </c>
      <c r="G1454" s="4">
        <v>3</v>
      </c>
      <c r="H1454" s="115"/>
      <c r="I1454" s="115"/>
      <c r="J1454" s="115"/>
      <c r="K1454" s="115">
        <v>0</v>
      </c>
      <c r="L1454" s="12">
        <f t="shared" si="100"/>
        <v>0</v>
      </c>
      <c r="M1454" s="4">
        <f t="shared" si="101"/>
        <v>0</v>
      </c>
      <c r="N1454" s="4">
        <f t="shared" si="102"/>
        <v>0</v>
      </c>
      <c r="O1454" s="13">
        <f t="shared" si="103"/>
        <v>0</v>
      </c>
    </row>
    <row r="1455" spans="2:15">
      <c r="B1455" s="12">
        <v>13</v>
      </c>
      <c r="C1455" s="4" t="s">
        <v>151</v>
      </c>
      <c r="D1455" s="4" t="s">
        <v>149</v>
      </c>
      <c r="E1455" s="4">
        <v>2</v>
      </c>
      <c r="F1455" s="4">
        <v>6</v>
      </c>
      <c r="G1455" s="4">
        <v>4</v>
      </c>
      <c r="H1455" s="115"/>
      <c r="I1455" s="115"/>
      <c r="J1455" s="115"/>
      <c r="K1455" s="115">
        <v>0</v>
      </c>
      <c r="L1455" s="12">
        <f t="shared" si="100"/>
        <v>0</v>
      </c>
      <c r="M1455" s="4">
        <f t="shared" si="101"/>
        <v>0</v>
      </c>
      <c r="N1455" s="4">
        <f t="shared" si="102"/>
        <v>0</v>
      </c>
      <c r="O1455" s="13">
        <f t="shared" si="103"/>
        <v>0</v>
      </c>
    </row>
    <row r="1456" spans="2:15">
      <c r="B1456" s="12">
        <v>13</v>
      </c>
      <c r="C1456" s="4" t="s">
        <v>151</v>
      </c>
      <c r="D1456" s="4" t="s">
        <v>149</v>
      </c>
      <c r="E1456" s="4">
        <v>2</v>
      </c>
      <c r="F1456" s="4">
        <v>6</v>
      </c>
      <c r="G1456" s="4">
        <v>5</v>
      </c>
      <c r="H1456" s="115"/>
      <c r="I1456" s="115"/>
      <c r="J1456" s="115"/>
      <c r="K1456" s="115">
        <v>0</v>
      </c>
      <c r="L1456" s="12">
        <f t="shared" si="100"/>
        <v>0</v>
      </c>
      <c r="M1456" s="4">
        <f t="shared" si="101"/>
        <v>0</v>
      </c>
      <c r="N1456" s="4">
        <f t="shared" si="102"/>
        <v>0</v>
      </c>
      <c r="O1456" s="13">
        <f t="shared" si="103"/>
        <v>0</v>
      </c>
    </row>
    <row r="1457" spans="2:15">
      <c r="B1457" s="12">
        <v>13</v>
      </c>
      <c r="C1457" s="4" t="s">
        <v>151</v>
      </c>
      <c r="D1457" s="4" t="s">
        <v>149</v>
      </c>
      <c r="E1457" s="4">
        <v>2</v>
      </c>
      <c r="F1457" s="4">
        <v>6</v>
      </c>
      <c r="G1457" s="4">
        <v>6</v>
      </c>
      <c r="H1457" s="115"/>
      <c r="I1457" s="115"/>
      <c r="J1457" s="115"/>
      <c r="K1457" s="115">
        <v>0</v>
      </c>
      <c r="L1457" s="12">
        <f t="shared" si="100"/>
        <v>0</v>
      </c>
      <c r="M1457" s="4">
        <f t="shared" si="101"/>
        <v>0</v>
      </c>
      <c r="N1457" s="4">
        <f t="shared" si="102"/>
        <v>0</v>
      </c>
      <c r="O1457" s="13">
        <f t="shared" si="103"/>
        <v>0</v>
      </c>
    </row>
    <row r="1458" spans="2:15">
      <c r="B1458" s="12">
        <v>13</v>
      </c>
      <c r="C1458" s="4" t="s">
        <v>151</v>
      </c>
      <c r="D1458" s="4" t="s">
        <v>149</v>
      </c>
      <c r="E1458" s="4">
        <v>2</v>
      </c>
      <c r="F1458" s="4">
        <v>6</v>
      </c>
      <c r="G1458" s="4">
        <v>7</v>
      </c>
      <c r="H1458" s="115"/>
      <c r="I1458" s="115"/>
      <c r="J1458" s="115"/>
      <c r="K1458" s="115">
        <v>0</v>
      </c>
      <c r="L1458" s="12">
        <f t="shared" si="100"/>
        <v>0</v>
      </c>
      <c r="M1458" s="4">
        <f t="shared" si="101"/>
        <v>0</v>
      </c>
      <c r="N1458" s="4">
        <f t="shared" si="102"/>
        <v>0</v>
      </c>
      <c r="O1458" s="13">
        <f t="shared" si="103"/>
        <v>0</v>
      </c>
    </row>
    <row r="1459" spans="2:15">
      <c r="B1459" s="12">
        <v>13</v>
      </c>
      <c r="C1459" s="4" t="s">
        <v>151</v>
      </c>
      <c r="D1459" s="4" t="s">
        <v>149</v>
      </c>
      <c r="E1459" s="4">
        <v>2</v>
      </c>
      <c r="F1459" s="4">
        <v>6</v>
      </c>
      <c r="G1459" s="4">
        <v>8</v>
      </c>
      <c r="H1459" s="115"/>
      <c r="I1459" s="115"/>
      <c r="J1459" s="115"/>
      <c r="K1459" s="115">
        <v>0</v>
      </c>
      <c r="L1459" s="12">
        <f t="shared" si="100"/>
        <v>0</v>
      </c>
      <c r="M1459" s="4">
        <f t="shared" si="101"/>
        <v>0</v>
      </c>
      <c r="N1459" s="4">
        <f t="shared" si="102"/>
        <v>0</v>
      </c>
      <c r="O1459" s="13">
        <f t="shared" si="103"/>
        <v>0</v>
      </c>
    </row>
    <row r="1460" spans="2:15">
      <c r="B1460" s="12">
        <v>13</v>
      </c>
      <c r="C1460" s="4" t="s">
        <v>151</v>
      </c>
      <c r="D1460" s="4" t="s">
        <v>149</v>
      </c>
      <c r="E1460" s="4">
        <v>2</v>
      </c>
      <c r="F1460" s="4">
        <v>6</v>
      </c>
      <c r="G1460" s="4">
        <v>9</v>
      </c>
      <c r="H1460" s="115"/>
      <c r="I1460" s="115"/>
      <c r="J1460" s="115"/>
      <c r="K1460" s="115">
        <v>0</v>
      </c>
      <c r="L1460" s="12">
        <f t="shared" si="100"/>
        <v>0</v>
      </c>
      <c r="M1460" s="4">
        <f t="shared" si="101"/>
        <v>0</v>
      </c>
      <c r="N1460" s="4">
        <f t="shared" si="102"/>
        <v>0</v>
      </c>
      <c r="O1460" s="13">
        <f t="shared" si="103"/>
        <v>0</v>
      </c>
    </row>
    <row r="1461" spans="2:15" ht="13.8" thickBot="1">
      <c r="B1461" s="14">
        <v>13</v>
      </c>
      <c r="C1461" s="15" t="s">
        <v>151</v>
      </c>
      <c r="D1461" s="15" t="s">
        <v>149</v>
      </c>
      <c r="E1461" s="15">
        <v>2</v>
      </c>
      <c r="F1461" s="15">
        <v>6</v>
      </c>
      <c r="G1461" s="15">
        <v>10</v>
      </c>
      <c r="H1461" s="121"/>
      <c r="I1461" s="121"/>
      <c r="J1461" s="121"/>
      <c r="K1461" s="121">
        <v>0</v>
      </c>
      <c r="L1461" s="14">
        <f t="shared" si="100"/>
        <v>0</v>
      </c>
      <c r="M1461" s="15">
        <f t="shared" si="101"/>
        <v>0</v>
      </c>
      <c r="N1461" s="15">
        <f t="shared" si="102"/>
        <v>0</v>
      </c>
      <c r="O1461" s="16">
        <f t="shared" si="103"/>
        <v>0</v>
      </c>
    </row>
    <row r="1462" spans="2:15">
      <c r="B1462" s="9">
        <v>13</v>
      </c>
      <c r="C1462" s="10" t="s">
        <v>151</v>
      </c>
      <c r="D1462" s="10" t="s">
        <v>154</v>
      </c>
      <c r="E1462" s="93">
        <v>3</v>
      </c>
      <c r="F1462" s="93">
        <v>2</v>
      </c>
      <c r="G1462" s="10">
        <v>1</v>
      </c>
      <c r="H1462" s="120">
        <v>0.10099999999999909</v>
      </c>
      <c r="I1462" s="120">
        <v>0.73300000000003251</v>
      </c>
      <c r="J1462" s="120">
        <v>9.9999999999994316E-2</v>
      </c>
      <c r="K1462" s="120">
        <v>0.93400000000002592</v>
      </c>
      <c r="L1462" s="9">
        <f t="shared" si="100"/>
        <v>4.1787318971751419E-2</v>
      </c>
      <c r="M1462" s="10">
        <f t="shared" si="101"/>
        <v>0.23879856271392516</v>
      </c>
      <c r="N1462" s="10">
        <f t="shared" si="102"/>
        <v>4.1392685158222794E-2</v>
      </c>
      <c r="O1462" s="11">
        <f t="shared" si="103"/>
        <v>0.28645646974698868</v>
      </c>
    </row>
    <row r="1463" spans="2:15">
      <c r="B1463" s="12">
        <v>13</v>
      </c>
      <c r="C1463" s="4" t="s">
        <v>151</v>
      </c>
      <c r="D1463" s="4" t="s">
        <v>154</v>
      </c>
      <c r="E1463" s="4">
        <v>3</v>
      </c>
      <c r="F1463" s="4">
        <v>2</v>
      </c>
      <c r="G1463" s="4">
        <v>2</v>
      </c>
      <c r="H1463" s="115">
        <v>1.1170000000000755</v>
      </c>
      <c r="I1463" s="115">
        <v>0.91700000000000159</v>
      </c>
      <c r="J1463" s="115"/>
      <c r="K1463" s="115">
        <v>2.0340000000000771</v>
      </c>
      <c r="L1463" s="12">
        <f t="shared" si="100"/>
        <v>0.32572085801942746</v>
      </c>
      <c r="M1463" s="4">
        <f t="shared" si="101"/>
        <v>0.28262211287806294</v>
      </c>
      <c r="N1463" s="4">
        <f t="shared" si="102"/>
        <v>0</v>
      </c>
      <c r="O1463" s="13">
        <f t="shared" si="103"/>
        <v>0.48201557645072274</v>
      </c>
    </row>
    <row r="1464" spans="2:15">
      <c r="B1464" s="12">
        <v>13</v>
      </c>
      <c r="C1464" s="4" t="s">
        <v>151</v>
      </c>
      <c r="D1464" s="4" t="s">
        <v>154</v>
      </c>
      <c r="E1464" s="4">
        <v>3</v>
      </c>
      <c r="F1464" s="4">
        <v>2</v>
      </c>
      <c r="G1464" s="4">
        <v>3</v>
      </c>
      <c r="H1464" s="115">
        <v>0.11600000000001387</v>
      </c>
      <c r="I1464" s="115">
        <v>1.7489999999999668</v>
      </c>
      <c r="J1464" s="115"/>
      <c r="K1464" s="115">
        <v>1.8649999999999807</v>
      </c>
      <c r="L1464" s="12">
        <f t="shared" si="100"/>
        <v>4.7664194601565339E-2</v>
      </c>
      <c r="M1464" s="4">
        <f t="shared" si="101"/>
        <v>0.43917473984346322</v>
      </c>
      <c r="N1464" s="4">
        <f t="shared" si="102"/>
        <v>0</v>
      </c>
      <c r="O1464" s="13">
        <f t="shared" si="103"/>
        <v>0.45712462630340583</v>
      </c>
    </row>
    <row r="1465" spans="2:15">
      <c r="B1465" s="12">
        <v>13</v>
      </c>
      <c r="C1465" s="4" t="s">
        <v>151</v>
      </c>
      <c r="D1465" s="4" t="s">
        <v>154</v>
      </c>
      <c r="E1465" s="4">
        <v>3</v>
      </c>
      <c r="F1465" s="4">
        <v>2</v>
      </c>
      <c r="G1465" s="4">
        <v>4</v>
      </c>
      <c r="H1465" s="115"/>
      <c r="I1465" s="115">
        <v>0.40100000000001046</v>
      </c>
      <c r="J1465" s="115">
        <v>0.53399999999999181</v>
      </c>
      <c r="K1465" s="115">
        <v>0.93500000000000227</v>
      </c>
      <c r="L1465" s="12">
        <f t="shared" si="100"/>
        <v>0</v>
      </c>
      <c r="M1465" s="4">
        <f t="shared" si="101"/>
        <v>0.14643813528577784</v>
      </c>
      <c r="N1465" s="4">
        <f t="shared" si="102"/>
        <v>0.18582535961295985</v>
      </c>
      <c r="O1465" s="13">
        <f t="shared" si="103"/>
        <v>0.2866809693549307</v>
      </c>
    </row>
    <row r="1466" spans="2:15">
      <c r="B1466" s="12">
        <v>13</v>
      </c>
      <c r="C1466" s="4" t="s">
        <v>151</v>
      </c>
      <c r="D1466" s="4" t="s">
        <v>154</v>
      </c>
      <c r="E1466" s="4">
        <v>3</v>
      </c>
      <c r="F1466" s="4">
        <v>2</v>
      </c>
      <c r="G1466" s="4">
        <v>5</v>
      </c>
      <c r="H1466" s="115">
        <v>0.98399999999998045</v>
      </c>
      <c r="I1466" s="115">
        <v>0.39900000000000091</v>
      </c>
      <c r="J1466" s="115">
        <v>1.1850000000000023</v>
      </c>
      <c r="K1466" s="115">
        <v>2.5679999999999836</v>
      </c>
      <c r="L1466" s="12">
        <f t="shared" si="100"/>
        <v>0.29754166781815555</v>
      </c>
      <c r="M1466" s="4">
        <f t="shared" si="101"/>
        <v>0.1458177144918279</v>
      </c>
      <c r="N1466" s="4">
        <f t="shared" si="102"/>
        <v>0.33945144130644112</v>
      </c>
      <c r="O1466" s="13">
        <f t="shared" si="103"/>
        <v>0.55242484570408346</v>
      </c>
    </row>
    <row r="1467" spans="2:15">
      <c r="B1467" s="12">
        <v>13</v>
      </c>
      <c r="C1467" s="4" t="s">
        <v>151</v>
      </c>
      <c r="D1467" s="4" t="s">
        <v>154</v>
      </c>
      <c r="E1467" s="4">
        <v>3</v>
      </c>
      <c r="F1467" s="4">
        <v>2</v>
      </c>
      <c r="G1467" s="4">
        <v>6</v>
      </c>
      <c r="H1467" s="115">
        <v>0.30000000000001137</v>
      </c>
      <c r="I1467" s="115">
        <v>0.71699999999998454</v>
      </c>
      <c r="J1467" s="115"/>
      <c r="K1467" s="115">
        <v>1.0169999999999959</v>
      </c>
      <c r="L1467" s="12">
        <f t="shared" si="100"/>
        <v>0.11394335230684056</v>
      </c>
      <c r="M1467" s="4">
        <f t="shared" si="101"/>
        <v>0.23477029516091258</v>
      </c>
      <c r="N1467" s="4">
        <f t="shared" si="102"/>
        <v>0</v>
      </c>
      <c r="O1467" s="13">
        <f t="shared" si="103"/>
        <v>0.30470589821276456</v>
      </c>
    </row>
    <row r="1468" spans="2:15">
      <c r="B1468" s="12">
        <v>13</v>
      </c>
      <c r="C1468" s="4" t="s">
        <v>151</v>
      </c>
      <c r="D1468" s="4" t="s">
        <v>154</v>
      </c>
      <c r="E1468" s="4">
        <v>3</v>
      </c>
      <c r="F1468" s="4">
        <v>2</v>
      </c>
      <c r="G1468" s="4">
        <v>7</v>
      </c>
      <c r="H1468" s="115"/>
      <c r="I1468" s="115"/>
      <c r="J1468" s="115"/>
      <c r="K1468" s="115">
        <v>0</v>
      </c>
      <c r="L1468" s="12">
        <f t="shared" si="100"/>
        <v>0</v>
      </c>
      <c r="M1468" s="4">
        <f t="shared" si="101"/>
        <v>0</v>
      </c>
      <c r="N1468" s="4">
        <f t="shared" si="102"/>
        <v>0</v>
      </c>
      <c r="O1468" s="13">
        <f t="shared" si="103"/>
        <v>0</v>
      </c>
    </row>
    <row r="1469" spans="2:15">
      <c r="B1469" s="12">
        <v>13</v>
      </c>
      <c r="C1469" s="4" t="s">
        <v>151</v>
      </c>
      <c r="D1469" s="4" t="s">
        <v>154</v>
      </c>
      <c r="E1469" s="4">
        <v>3</v>
      </c>
      <c r="F1469" s="4">
        <v>2</v>
      </c>
      <c r="G1469" s="4">
        <v>8</v>
      </c>
      <c r="H1469" s="115"/>
      <c r="I1469" s="115"/>
      <c r="J1469" s="115"/>
      <c r="K1469" s="115">
        <v>0</v>
      </c>
      <c r="L1469" s="12">
        <f t="shared" si="100"/>
        <v>0</v>
      </c>
      <c r="M1469" s="4">
        <f t="shared" si="101"/>
        <v>0</v>
      </c>
      <c r="N1469" s="4">
        <f t="shared" si="102"/>
        <v>0</v>
      </c>
      <c r="O1469" s="13">
        <f t="shared" si="103"/>
        <v>0</v>
      </c>
    </row>
    <row r="1470" spans="2:15">
      <c r="B1470" s="12">
        <v>13</v>
      </c>
      <c r="C1470" s="4" t="s">
        <v>151</v>
      </c>
      <c r="D1470" s="4" t="s">
        <v>154</v>
      </c>
      <c r="E1470" s="4">
        <v>3</v>
      </c>
      <c r="F1470" s="4">
        <v>2</v>
      </c>
      <c r="G1470" s="4">
        <v>9</v>
      </c>
      <c r="H1470" s="115"/>
      <c r="I1470" s="115"/>
      <c r="J1470" s="115"/>
      <c r="K1470" s="115">
        <v>0</v>
      </c>
      <c r="L1470" s="12">
        <f t="shared" si="100"/>
        <v>0</v>
      </c>
      <c r="M1470" s="4">
        <f t="shared" si="101"/>
        <v>0</v>
      </c>
      <c r="N1470" s="4">
        <f t="shared" si="102"/>
        <v>0</v>
      </c>
      <c r="O1470" s="13">
        <f t="shared" si="103"/>
        <v>0</v>
      </c>
    </row>
    <row r="1471" spans="2:15" ht="13.8" thickBot="1">
      <c r="B1471" s="14">
        <v>13</v>
      </c>
      <c r="C1471" s="15" t="s">
        <v>151</v>
      </c>
      <c r="D1471" s="15" t="s">
        <v>154</v>
      </c>
      <c r="E1471" s="15">
        <v>3</v>
      </c>
      <c r="F1471" s="15">
        <v>2</v>
      </c>
      <c r="G1471" s="15">
        <v>10</v>
      </c>
      <c r="H1471" s="121"/>
      <c r="I1471" s="121"/>
      <c r="J1471" s="121"/>
      <c r="K1471" s="121">
        <v>0</v>
      </c>
      <c r="L1471" s="14">
        <f t="shared" si="100"/>
        <v>0</v>
      </c>
      <c r="M1471" s="15">
        <f t="shared" si="101"/>
        <v>0</v>
      </c>
      <c r="N1471" s="15">
        <f t="shared" si="102"/>
        <v>0</v>
      </c>
      <c r="O1471" s="16">
        <f t="shared" si="103"/>
        <v>0</v>
      </c>
    </row>
    <row r="1472" spans="2:15">
      <c r="B1472" s="9">
        <v>13</v>
      </c>
      <c r="C1472" s="10" t="s">
        <v>151</v>
      </c>
      <c r="D1472" s="10" t="s">
        <v>149</v>
      </c>
      <c r="E1472" s="93">
        <v>4</v>
      </c>
      <c r="F1472" s="93">
        <v>8</v>
      </c>
      <c r="G1472" s="10">
        <v>1</v>
      </c>
      <c r="H1472" s="120">
        <v>1.6330000000001519</v>
      </c>
      <c r="I1472" s="120">
        <v>1.7670000000000528</v>
      </c>
      <c r="J1472" s="120">
        <v>1.3319999999999936</v>
      </c>
      <c r="K1472" s="120">
        <v>4.7320000000001983</v>
      </c>
      <c r="L1472" s="9">
        <f t="shared" si="100"/>
        <v>0.4204508591060932</v>
      </c>
      <c r="M1472" s="10">
        <f t="shared" si="101"/>
        <v>0.44200915914096028</v>
      </c>
      <c r="N1472" s="10">
        <f t="shared" si="102"/>
        <v>0.36772854608697531</v>
      </c>
      <c r="O1472" s="11">
        <f t="shared" si="103"/>
        <v>0.75830618172532194</v>
      </c>
    </row>
    <row r="1473" spans="2:15">
      <c r="B1473" s="12">
        <v>13</v>
      </c>
      <c r="C1473" s="4" t="s">
        <v>151</v>
      </c>
      <c r="D1473" s="4" t="s">
        <v>149</v>
      </c>
      <c r="E1473" s="4">
        <v>4</v>
      </c>
      <c r="F1473" s="4">
        <v>8</v>
      </c>
      <c r="G1473" s="4">
        <v>2</v>
      </c>
      <c r="H1473" s="115">
        <v>2.3339999999998327</v>
      </c>
      <c r="I1473" s="115">
        <v>1.6160000000000991</v>
      </c>
      <c r="J1473" s="115">
        <v>2.317000000000121</v>
      </c>
      <c r="K1473" s="115">
        <v>6.2670000000000528</v>
      </c>
      <c r="L1473" s="12">
        <f t="shared" si="100"/>
        <v>0.52296559549196475</v>
      </c>
      <c r="M1473" s="4">
        <f t="shared" si="101"/>
        <v>0.4176377396522461</v>
      </c>
      <c r="N1473" s="4">
        <f t="shared" si="102"/>
        <v>0.52074547151949813</v>
      </c>
      <c r="O1473" s="13">
        <f t="shared" si="103"/>
        <v>0.86135516019326319</v>
      </c>
    </row>
    <row r="1474" spans="2:15">
      <c r="B1474" s="12">
        <v>13</v>
      </c>
      <c r="C1474" s="4" t="s">
        <v>151</v>
      </c>
      <c r="D1474" s="4" t="s">
        <v>149</v>
      </c>
      <c r="E1474" s="4">
        <v>4</v>
      </c>
      <c r="F1474" s="4">
        <v>8</v>
      </c>
      <c r="G1474" s="4">
        <v>3</v>
      </c>
      <c r="H1474" s="115">
        <v>3.779999999999859</v>
      </c>
      <c r="I1474" s="115">
        <v>0.46600000000000819</v>
      </c>
      <c r="J1474" s="115">
        <v>0.35000000000002274</v>
      </c>
      <c r="K1474" s="115">
        <v>4.59599999999989</v>
      </c>
      <c r="L1474" s="12">
        <f t="shared" si="100"/>
        <v>0.67942789661210612</v>
      </c>
      <c r="M1474" s="4">
        <f t="shared" si="101"/>
        <v>0.16613397030511157</v>
      </c>
      <c r="N1474" s="4">
        <f t="shared" si="102"/>
        <v>0.13033376849501344</v>
      </c>
      <c r="O1474" s="13">
        <f t="shared" si="103"/>
        <v>0.74787770581978152</v>
      </c>
    </row>
    <row r="1475" spans="2:15">
      <c r="B1475" s="12">
        <v>13</v>
      </c>
      <c r="C1475" s="4" t="s">
        <v>151</v>
      </c>
      <c r="D1475" s="4" t="s">
        <v>149</v>
      </c>
      <c r="E1475" s="4">
        <v>4</v>
      </c>
      <c r="F1475" s="4">
        <v>8</v>
      </c>
      <c r="G1475" s="4">
        <v>4</v>
      </c>
      <c r="H1475" s="115"/>
      <c r="I1475" s="115"/>
      <c r="J1475" s="115"/>
      <c r="K1475" s="115">
        <v>0</v>
      </c>
      <c r="L1475" s="12">
        <f t="shared" si="100"/>
        <v>0</v>
      </c>
      <c r="M1475" s="4">
        <f t="shared" si="101"/>
        <v>0</v>
      </c>
      <c r="N1475" s="4">
        <f t="shared" si="102"/>
        <v>0</v>
      </c>
      <c r="O1475" s="13">
        <f t="shared" si="103"/>
        <v>0</v>
      </c>
    </row>
    <row r="1476" spans="2:15">
      <c r="B1476" s="12">
        <v>13</v>
      </c>
      <c r="C1476" s="4" t="s">
        <v>151</v>
      </c>
      <c r="D1476" s="4" t="s">
        <v>149</v>
      </c>
      <c r="E1476" s="4">
        <v>4</v>
      </c>
      <c r="F1476" s="4">
        <v>8</v>
      </c>
      <c r="G1476" s="4">
        <v>5</v>
      </c>
      <c r="H1476" s="115"/>
      <c r="I1476" s="115"/>
      <c r="J1476" s="115"/>
      <c r="K1476" s="115">
        <v>0</v>
      </c>
      <c r="L1476" s="12">
        <f t="shared" si="100"/>
        <v>0</v>
      </c>
      <c r="M1476" s="4">
        <f t="shared" si="101"/>
        <v>0</v>
      </c>
      <c r="N1476" s="4">
        <f t="shared" si="102"/>
        <v>0</v>
      </c>
      <c r="O1476" s="13">
        <f t="shared" si="103"/>
        <v>0</v>
      </c>
    </row>
    <row r="1477" spans="2:15">
      <c r="B1477" s="12">
        <v>13</v>
      </c>
      <c r="C1477" s="4" t="s">
        <v>151</v>
      </c>
      <c r="D1477" s="4" t="s">
        <v>149</v>
      </c>
      <c r="E1477" s="4">
        <v>4</v>
      </c>
      <c r="F1477" s="4">
        <v>8</v>
      </c>
      <c r="G1477" s="4">
        <v>6</v>
      </c>
      <c r="H1477" s="115"/>
      <c r="I1477" s="115"/>
      <c r="J1477" s="115"/>
      <c r="K1477" s="115">
        <v>0</v>
      </c>
      <c r="L1477" s="12">
        <f t="shared" si="100"/>
        <v>0</v>
      </c>
      <c r="M1477" s="4">
        <f t="shared" si="101"/>
        <v>0</v>
      </c>
      <c r="N1477" s="4">
        <f t="shared" si="102"/>
        <v>0</v>
      </c>
      <c r="O1477" s="13">
        <f t="shared" si="103"/>
        <v>0</v>
      </c>
    </row>
    <row r="1478" spans="2:15">
      <c r="B1478" s="12">
        <v>13</v>
      </c>
      <c r="C1478" s="4" t="s">
        <v>151</v>
      </c>
      <c r="D1478" s="4" t="s">
        <v>149</v>
      </c>
      <c r="E1478" s="4">
        <v>4</v>
      </c>
      <c r="F1478" s="4">
        <v>8</v>
      </c>
      <c r="G1478" s="4">
        <v>7</v>
      </c>
      <c r="H1478" s="115"/>
      <c r="I1478" s="115"/>
      <c r="J1478" s="115"/>
      <c r="K1478" s="115">
        <v>0</v>
      </c>
      <c r="L1478" s="12">
        <f t="shared" si="100"/>
        <v>0</v>
      </c>
      <c r="M1478" s="4">
        <f t="shared" si="101"/>
        <v>0</v>
      </c>
      <c r="N1478" s="4">
        <f t="shared" si="102"/>
        <v>0</v>
      </c>
      <c r="O1478" s="13">
        <f t="shared" si="103"/>
        <v>0</v>
      </c>
    </row>
    <row r="1479" spans="2:15">
      <c r="B1479" s="12">
        <v>13</v>
      </c>
      <c r="C1479" s="4" t="s">
        <v>151</v>
      </c>
      <c r="D1479" s="4" t="s">
        <v>149</v>
      </c>
      <c r="E1479" s="4">
        <v>4</v>
      </c>
      <c r="F1479" s="4">
        <v>8</v>
      </c>
      <c r="G1479" s="4">
        <v>8</v>
      </c>
      <c r="H1479" s="115"/>
      <c r="I1479" s="115"/>
      <c r="J1479" s="115"/>
      <c r="K1479" s="115">
        <v>0</v>
      </c>
      <c r="L1479" s="12">
        <f t="shared" si="100"/>
        <v>0</v>
      </c>
      <c r="M1479" s="4">
        <f t="shared" si="101"/>
        <v>0</v>
      </c>
      <c r="N1479" s="4">
        <f t="shared" si="102"/>
        <v>0</v>
      </c>
      <c r="O1479" s="13">
        <f t="shared" si="103"/>
        <v>0</v>
      </c>
    </row>
    <row r="1480" spans="2:15">
      <c r="B1480" s="12">
        <v>13</v>
      </c>
      <c r="C1480" s="4" t="s">
        <v>151</v>
      </c>
      <c r="D1480" s="4" t="s">
        <v>149</v>
      </c>
      <c r="E1480" s="4">
        <v>4</v>
      </c>
      <c r="F1480" s="4">
        <v>8</v>
      </c>
      <c r="G1480" s="4">
        <v>9</v>
      </c>
      <c r="H1480" s="115"/>
      <c r="I1480" s="115"/>
      <c r="J1480" s="115"/>
      <c r="K1480" s="115">
        <v>0</v>
      </c>
      <c r="L1480" s="12">
        <f t="shared" si="100"/>
        <v>0</v>
      </c>
      <c r="M1480" s="4">
        <f t="shared" si="101"/>
        <v>0</v>
      </c>
      <c r="N1480" s="4">
        <f t="shared" si="102"/>
        <v>0</v>
      </c>
      <c r="O1480" s="13">
        <f t="shared" si="103"/>
        <v>0</v>
      </c>
    </row>
    <row r="1481" spans="2:15" ht="13.8" thickBot="1">
      <c r="B1481" s="14">
        <v>13</v>
      </c>
      <c r="C1481" s="15" t="s">
        <v>151</v>
      </c>
      <c r="D1481" s="15" t="s">
        <v>149</v>
      </c>
      <c r="E1481" s="15">
        <v>4</v>
      </c>
      <c r="F1481" s="15">
        <v>8</v>
      </c>
      <c r="G1481" s="15">
        <v>10</v>
      </c>
      <c r="H1481" s="121"/>
      <c r="I1481" s="121"/>
      <c r="J1481" s="121"/>
      <c r="K1481" s="121">
        <v>0</v>
      </c>
      <c r="L1481" s="14">
        <f t="shared" si="100"/>
        <v>0</v>
      </c>
      <c r="M1481" s="15">
        <f t="shared" si="101"/>
        <v>0</v>
      </c>
      <c r="N1481" s="15">
        <f t="shared" si="102"/>
        <v>0</v>
      </c>
      <c r="O1481" s="16">
        <f t="shared" si="103"/>
        <v>0</v>
      </c>
    </row>
    <row r="1482" spans="2:15">
      <c r="B1482" s="9">
        <v>13</v>
      </c>
      <c r="C1482" s="10" t="s">
        <v>151</v>
      </c>
      <c r="D1482" s="10" t="s">
        <v>150</v>
      </c>
      <c r="E1482" s="93">
        <v>5</v>
      </c>
      <c r="F1482" s="93">
        <v>10</v>
      </c>
      <c r="G1482" s="10">
        <v>1</v>
      </c>
      <c r="H1482" s="120">
        <v>0.78300000000012915</v>
      </c>
      <c r="I1482" s="120"/>
      <c r="J1482" s="120">
        <v>1.1499999999999773</v>
      </c>
      <c r="K1482" s="120">
        <v>1.9330000000001064</v>
      </c>
      <c r="L1482" s="9">
        <f t="shared" si="100"/>
        <v>0.25115134317538607</v>
      </c>
      <c r="M1482" s="10">
        <f t="shared" si="101"/>
        <v>0</v>
      </c>
      <c r="N1482" s="10">
        <f t="shared" si="102"/>
        <v>0.33243845991560073</v>
      </c>
      <c r="O1482" s="11">
        <f t="shared" si="103"/>
        <v>0.46731206298056788</v>
      </c>
    </row>
    <row r="1483" spans="2:15">
      <c r="B1483" s="12">
        <v>13</v>
      </c>
      <c r="C1483" s="4" t="s">
        <v>151</v>
      </c>
      <c r="D1483" s="4" t="s">
        <v>150</v>
      </c>
      <c r="E1483" s="4">
        <v>5</v>
      </c>
      <c r="F1483" s="4">
        <v>10</v>
      </c>
      <c r="G1483" s="4">
        <v>2</v>
      </c>
      <c r="H1483" s="115">
        <v>1.5020000000001801</v>
      </c>
      <c r="I1483" s="115"/>
      <c r="J1483" s="115">
        <v>6.2830000000000155</v>
      </c>
      <c r="K1483" s="115">
        <v>7.7850000000001955</v>
      </c>
      <c r="L1483" s="12">
        <f t="shared" si="100"/>
        <v>0.3982873053574324</v>
      </c>
      <c r="M1483" s="4">
        <f t="shared" si="101"/>
        <v>0</v>
      </c>
      <c r="N1483" s="4">
        <f t="shared" si="102"/>
        <v>0.86231030995427138</v>
      </c>
      <c r="O1483" s="13">
        <f t="shared" si="103"/>
        <v>0.94374176583132341</v>
      </c>
    </row>
    <row r="1484" spans="2:15">
      <c r="B1484" s="12">
        <v>13</v>
      </c>
      <c r="C1484" s="4" t="s">
        <v>151</v>
      </c>
      <c r="D1484" s="4" t="s">
        <v>150</v>
      </c>
      <c r="E1484" s="4">
        <v>5</v>
      </c>
      <c r="F1484" s="4">
        <v>10</v>
      </c>
      <c r="G1484" s="4">
        <v>3</v>
      </c>
      <c r="H1484" s="115"/>
      <c r="I1484" s="115"/>
      <c r="J1484" s="115"/>
      <c r="K1484" s="115">
        <v>0</v>
      </c>
      <c r="L1484" s="12">
        <f t="shared" si="100"/>
        <v>0</v>
      </c>
      <c r="M1484" s="4">
        <f t="shared" si="101"/>
        <v>0</v>
      </c>
      <c r="N1484" s="4">
        <f t="shared" si="102"/>
        <v>0</v>
      </c>
      <c r="O1484" s="13">
        <f t="shared" si="103"/>
        <v>0</v>
      </c>
    </row>
    <row r="1485" spans="2:15">
      <c r="B1485" s="12">
        <v>13</v>
      </c>
      <c r="C1485" s="4" t="s">
        <v>151</v>
      </c>
      <c r="D1485" s="4" t="s">
        <v>150</v>
      </c>
      <c r="E1485" s="4">
        <v>5</v>
      </c>
      <c r="F1485" s="4">
        <v>10</v>
      </c>
      <c r="G1485" s="4">
        <v>4</v>
      </c>
      <c r="H1485" s="115"/>
      <c r="I1485" s="115"/>
      <c r="J1485" s="115"/>
      <c r="K1485" s="115">
        <v>0</v>
      </c>
      <c r="L1485" s="12">
        <f t="shared" si="100"/>
        <v>0</v>
      </c>
      <c r="M1485" s="4">
        <f t="shared" si="101"/>
        <v>0</v>
      </c>
      <c r="N1485" s="4">
        <f t="shared" si="102"/>
        <v>0</v>
      </c>
      <c r="O1485" s="13">
        <f t="shared" si="103"/>
        <v>0</v>
      </c>
    </row>
    <row r="1486" spans="2:15">
      <c r="B1486" s="12">
        <v>13</v>
      </c>
      <c r="C1486" s="4" t="s">
        <v>151</v>
      </c>
      <c r="D1486" s="4" t="s">
        <v>150</v>
      </c>
      <c r="E1486" s="4">
        <v>5</v>
      </c>
      <c r="F1486" s="4">
        <v>10</v>
      </c>
      <c r="G1486" s="4">
        <v>5</v>
      </c>
      <c r="H1486" s="115"/>
      <c r="I1486" s="115"/>
      <c r="J1486" s="115"/>
      <c r="K1486" s="115">
        <v>0</v>
      </c>
      <c r="L1486" s="12">
        <f t="shared" si="100"/>
        <v>0</v>
      </c>
      <c r="M1486" s="4">
        <f t="shared" si="101"/>
        <v>0</v>
      </c>
      <c r="N1486" s="4">
        <f t="shared" si="102"/>
        <v>0</v>
      </c>
      <c r="O1486" s="13">
        <f t="shared" si="103"/>
        <v>0</v>
      </c>
    </row>
    <row r="1487" spans="2:15">
      <c r="B1487" s="12">
        <v>13</v>
      </c>
      <c r="C1487" s="4" t="s">
        <v>151</v>
      </c>
      <c r="D1487" s="4" t="s">
        <v>150</v>
      </c>
      <c r="E1487" s="4">
        <v>5</v>
      </c>
      <c r="F1487" s="4">
        <v>10</v>
      </c>
      <c r="G1487" s="4">
        <v>6</v>
      </c>
      <c r="H1487" s="115"/>
      <c r="I1487" s="115"/>
      <c r="J1487" s="115"/>
      <c r="K1487" s="115">
        <v>0</v>
      </c>
      <c r="L1487" s="12">
        <f t="shared" si="100"/>
        <v>0</v>
      </c>
      <c r="M1487" s="4">
        <f t="shared" si="101"/>
        <v>0</v>
      </c>
      <c r="N1487" s="4">
        <f t="shared" si="102"/>
        <v>0</v>
      </c>
      <c r="O1487" s="13">
        <f t="shared" si="103"/>
        <v>0</v>
      </c>
    </row>
    <row r="1488" spans="2:15">
      <c r="B1488" s="12">
        <v>13</v>
      </c>
      <c r="C1488" s="4" t="s">
        <v>151</v>
      </c>
      <c r="D1488" s="4" t="s">
        <v>150</v>
      </c>
      <c r="E1488" s="4">
        <v>5</v>
      </c>
      <c r="F1488" s="4">
        <v>10</v>
      </c>
      <c r="G1488" s="4">
        <v>7</v>
      </c>
      <c r="H1488" s="115"/>
      <c r="I1488" s="115"/>
      <c r="J1488" s="115"/>
      <c r="K1488" s="115">
        <v>0</v>
      </c>
      <c r="L1488" s="12">
        <f t="shared" si="100"/>
        <v>0</v>
      </c>
      <c r="M1488" s="4">
        <f t="shared" si="101"/>
        <v>0</v>
      </c>
      <c r="N1488" s="4">
        <f t="shared" si="102"/>
        <v>0</v>
      </c>
      <c r="O1488" s="13">
        <f t="shared" si="103"/>
        <v>0</v>
      </c>
    </row>
    <row r="1489" spans="2:15">
      <c r="B1489" s="12">
        <v>13</v>
      </c>
      <c r="C1489" s="4" t="s">
        <v>151</v>
      </c>
      <c r="D1489" s="4" t="s">
        <v>150</v>
      </c>
      <c r="E1489" s="4">
        <v>5</v>
      </c>
      <c r="F1489" s="4">
        <v>10</v>
      </c>
      <c r="G1489" s="4">
        <v>8</v>
      </c>
      <c r="H1489" s="115"/>
      <c r="I1489" s="115"/>
      <c r="J1489" s="115"/>
      <c r="K1489" s="115">
        <v>0</v>
      </c>
      <c r="L1489" s="12">
        <f t="shared" si="100"/>
        <v>0</v>
      </c>
      <c r="M1489" s="4">
        <f t="shared" si="101"/>
        <v>0</v>
      </c>
      <c r="N1489" s="4">
        <f t="shared" si="102"/>
        <v>0</v>
      </c>
      <c r="O1489" s="13">
        <f t="shared" si="103"/>
        <v>0</v>
      </c>
    </row>
    <row r="1490" spans="2:15">
      <c r="B1490" s="12">
        <v>13</v>
      </c>
      <c r="C1490" s="4" t="s">
        <v>151</v>
      </c>
      <c r="D1490" s="4" t="s">
        <v>150</v>
      </c>
      <c r="E1490" s="4">
        <v>5</v>
      </c>
      <c r="F1490" s="4">
        <v>10</v>
      </c>
      <c r="G1490" s="4">
        <v>9</v>
      </c>
      <c r="H1490" s="115"/>
      <c r="I1490" s="115"/>
      <c r="J1490" s="115"/>
      <c r="K1490" s="115">
        <v>0</v>
      </c>
      <c r="L1490" s="12">
        <f t="shared" si="100"/>
        <v>0</v>
      </c>
      <c r="M1490" s="4">
        <f t="shared" si="101"/>
        <v>0</v>
      </c>
      <c r="N1490" s="4">
        <f t="shared" si="102"/>
        <v>0</v>
      </c>
      <c r="O1490" s="13">
        <f t="shared" si="103"/>
        <v>0</v>
      </c>
    </row>
    <row r="1491" spans="2:15" ht="13.8" thickBot="1">
      <c r="B1491" s="14">
        <v>13</v>
      </c>
      <c r="C1491" s="15" t="s">
        <v>151</v>
      </c>
      <c r="D1491" s="15" t="s">
        <v>150</v>
      </c>
      <c r="E1491" s="15">
        <v>5</v>
      </c>
      <c r="F1491" s="15">
        <v>10</v>
      </c>
      <c r="G1491" s="15">
        <v>10</v>
      </c>
      <c r="H1491" s="121"/>
      <c r="I1491" s="121"/>
      <c r="J1491" s="121"/>
      <c r="K1491" s="121">
        <v>0</v>
      </c>
      <c r="L1491" s="14">
        <f t="shared" si="100"/>
        <v>0</v>
      </c>
      <c r="M1491" s="15">
        <f t="shared" si="101"/>
        <v>0</v>
      </c>
      <c r="N1491" s="15">
        <f t="shared" si="102"/>
        <v>0</v>
      </c>
      <c r="O1491" s="16">
        <f t="shared" si="103"/>
        <v>0</v>
      </c>
    </row>
    <row r="1492" spans="2:15">
      <c r="B1492" s="9">
        <v>13</v>
      </c>
      <c r="C1492" s="10" t="s">
        <v>151</v>
      </c>
      <c r="D1492" s="10" t="s">
        <v>154</v>
      </c>
      <c r="E1492" s="93">
        <v>6</v>
      </c>
      <c r="F1492" s="93">
        <v>4</v>
      </c>
      <c r="G1492" s="10">
        <v>1</v>
      </c>
      <c r="H1492" s="120"/>
      <c r="I1492" s="120"/>
      <c r="J1492" s="120">
        <v>0.21600000000000819</v>
      </c>
      <c r="K1492" s="120">
        <v>0.21600000000000819</v>
      </c>
      <c r="L1492" s="9">
        <f t="shared" si="100"/>
        <v>0</v>
      </c>
      <c r="M1492" s="10">
        <f t="shared" si="101"/>
        <v>0</v>
      </c>
      <c r="N1492" s="10">
        <f t="shared" si="102"/>
        <v>8.4933574936719061E-2</v>
      </c>
      <c r="O1492" s="11">
        <f t="shared" si="103"/>
        <v>8.4933574936719061E-2</v>
      </c>
    </row>
    <row r="1493" spans="2:15">
      <c r="B1493" s="12">
        <v>13</v>
      </c>
      <c r="C1493" s="4" t="s">
        <v>151</v>
      </c>
      <c r="D1493" s="4" t="s">
        <v>154</v>
      </c>
      <c r="E1493" s="4">
        <v>6</v>
      </c>
      <c r="F1493" s="4">
        <v>4</v>
      </c>
      <c r="G1493" s="4">
        <v>2</v>
      </c>
      <c r="H1493" s="115">
        <v>0.36700000000001864</v>
      </c>
      <c r="I1493" s="115">
        <v>0.33300000000002683</v>
      </c>
      <c r="J1493" s="115">
        <v>1.2829999999999586</v>
      </c>
      <c r="K1493" s="115">
        <v>1.9830000000000041</v>
      </c>
      <c r="L1493" s="12">
        <f t="shared" si="100"/>
        <v>0.13576851456782821</v>
      </c>
      <c r="M1493" s="4">
        <f t="shared" si="101"/>
        <v>0.12483014941386794</v>
      </c>
      <c r="N1493" s="4">
        <f t="shared" si="102"/>
        <v>0.35850591149022737</v>
      </c>
      <c r="O1493" s="13">
        <f t="shared" si="103"/>
        <v>0.47465325336206332</v>
      </c>
    </row>
    <row r="1494" spans="2:15">
      <c r="B1494" s="12">
        <v>13</v>
      </c>
      <c r="C1494" s="4" t="s">
        <v>151</v>
      </c>
      <c r="D1494" s="4" t="s">
        <v>154</v>
      </c>
      <c r="E1494" s="4">
        <v>6</v>
      </c>
      <c r="F1494" s="4">
        <v>4</v>
      </c>
      <c r="G1494" s="4">
        <v>3</v>
      </c>
      <c r="H1494" s="115">
        <v>1.2330000000000041</v>
      </c>
      <c r="I1494" s="115">
        <v>0.56600000000003092</v>
      </c>
      <c r="J1494" s="115">
        <v>3.9309999999999263</v>
      </c>
      <c r="K1494" s="115">
        <v>5.7299999999999613</v>
      </c>
      <c r="L1494" s="12">
        <f t="shared" si="100"/>
        <v>0.34888872307143876</v>
      </c>
      <c r="M1494" s="4">
        <f t="shared" si="101"/>
        <v>0.19479175772193316</v>
      </c>
      <c r="N1494" s="4">
        <f t="shared" si="102"/>
        <v>0.69293500253113127</v>
      </c>
      <c r="O1494" s="13">
        <f t="shared" si="103"/>
        <v>0.82801506422397431</v>
      </c>
    </row>
    <row r="1495" spans="2:15">
      <c r="B1495" s="12">
        <v>13</v>
      </c>
      <c r="C1495" s="4" t="s">
        <v>151</v>
      </c>
      <c r="D1495" s="4" t="s">
        <v>154</v>
      </c>
      <c r="E1495" s="4">
        <v>6</v>
      </c>
      <c r="F1495" s="4">
        <v>4</v>
      </c>
      <c r="G1495" s="4">
        <v>4</v>
      </c>
      <c r="H1495" s="115">
        <v>0.10000000000002274</v>
      </c>
      <c r="I1495" s="115"/>
      <c r="J1495" s="115">
        <v>0.71600000000000819</v>
      </c>
      <c r="K1495" s="115">
        <v>0.81600000000003092</v>
      </c>
      <c r="L1495" s="12">
        <f t="shared" si="100"/>
        <v>4.1392685158234015E-2</v>
      </c>
      <c r="M1495" s="4">
        <f t="shared" si="101"/>
        <v>0</v>
      </c>
      <c r="N1495" s="4">
        <f t="shared" si="102"/>
        <v>0.23451728351268872</v>
      </c>
      <c r="O1495" s="13">
        <f t="shared" si="103"/>
        <v>0.25911584418507372</v>
      </c>
    </row>
    <row r="1496" spans="2:15">
      <c r="B1496" s="12">
        <v>13</v>
      </c>
      <c r="C1496" s="4" t="s">
        <v>151</v>
      </c>
      <c r="D1496" s="4" t="s">
        <v>154</v>
      </c>
      <c r="E1496" s="4">
        <v>6</v>
      </c>
      <c r="F1496" s="4">
        <v>4</v>
      </c>
      <c r="G1496" s="4">
        <v>5</v>
      </c>
      <c r="H1496" s="115"/>
      <c r="I1496" s="115"/>
      <c r="J1496" s="115">
        <v>1.1410000000000196</v>
      </c>
      <c r="K1496" s="115">
        <v>1.1410000000000196</v>
      </c>
      <c r="L1496" s="12">
        <f t="shared" si="100"/>
        <v>0</v>
      </c>
      <c r="M1496" s="4">
        <f t="shared" si="101"/>
        <v>0</v>
      </c>
      <c r="N1496" s="4">
        <f t="shared" si="102"/>
        <v>0.33061666729444228</v>
      </c>
      <c r="O1496" s="13">
        <f t="shared" si="103"/>
        <v>0.33061666729444228</v>
      </c>
    </row>
    <row r="1497" spans="2:15">
      <c r="B1497" s="12">
        <v>13</v>
      </c>
      <c r="C1497" s="4" t="s">
        <v>151</v>
      </c>
      <c r="D1497" s="4" t="s">
        <v>154</v>
      </c>
      <c r="E1497" s="4">
        <v>6</v>
      </c>
      <c r="F1497" s="4">
        <v>4</v>
      </c>
      <c r="G1497" s="4">
        <v>6</v>
      </c>
      <c r="H1497" s="115">
        <v>0.28300000000001546</v>
      </c>
      <c r="I1497" s="115">
        <v>0.38099999999997181</v>
      </c>
      <c r="J1497" s="115"/>
      <c r="K1497" s="115">
        <v>0.66399999999998727</v>
      </c>
      <c r="L1497" s="12">
        <f t="shared" si="100"/>
        <v>0.10822665637493374</v>
      </c>
      <c r="M1497" s="4">
        <f t="shared" si="101"/>
        <v>0.14019367857862242</v>
      </c>
      <c r="N1497" s="4">
        <f t="shared" si="102"/>
        <v>0</v>
      </c>
      <c r="O1497" s="13">
        <f t="shared" si="103"/>
        <v>0.2211533219547018</v>
      </c>
    </row>
    <row r="1498" spans="2:15">
      <c r="B1498" s="12">
        <v>13</v>
      </c>
      <c r="C1498" s="4" t="s">
        <v>151</v>
      </c>
      <c r="D1498" s="4" t="s">
        <v>154</v>
      </c>
      <c r="E1498" s="4">
        <v>6</v>
      </c>
      <c r="F1498" s="4">
        <v>4</v>
      </c>
      <c r="G1498" s="4">
        <v>7</v>
      </c>
      <c r="H1498" s="115"/>
      <c r="I1498" s="115"/>
      <c r="J1498" s="115"/>
      <c r="K1498" s="115">
        <v>0</v>
      </c>
      <c r="L1498" s="12">
        <f t="shared" si="100"/>
        <v>0</v>
      </c>
      <c r="M1498" s="4">
        <f t="shared" si="101"/>
        <v>0</v>
      </c>
      <c r="N1498" s="4">
        <f t="shared" si="102"/>
        <v>0</v>
      </c>
      <c r="O1498" s="13">
        <f t="shared" si="103"/>
        <v>0</v>
      </c>
    </row>
    <row r="1499" spans="2:15">
      <c r="B1499" s="12">
        <v>13</v>
      </c>
      <c r="C1499" s="4" t="s">
        <v>151</v>
      </c>
      <c r="D1499" s="4" t="s">
        <v>154</v>
      </c>
      <c r="E1499" s="4">
        <v>6</v>
      </c>
      <c r="F1499" s="4">
        <v>4</v>
      </c>
      <c r="G1499" s="4">
        <v>8</v>
      </c>
      <c r="H1499" s="115"/>
      <c r="I1499" s="115"/>
      <c r="J1499" s="115"/>
      <c r="K1499" s="115">
        <v>0</v>
      </c>
      <c r="L1499" s="12">
        <f t="shared" si="100"/>
        <v>0</v>
      </c>
      <c r="M1499" s="4">
        <f t="shared" si="101"/>
        <v>0</v>
      </c>
      <c r="N1499" s="4">
        <f t="shared" si="102"/>
        <v>0</v>
      </c>
      <c r="O1499" s="13">
        <f t="shared" si="103"/>
        <v>0</v>
      </c>
    </row>
    <row r="1500" spans="2:15">
      <c r="B1500" s="12">
        <v>13</v>
      </c>
      <c r="C1500" s="4" t="s">
        <v>151</v>
      </c>
      <c r="D1500" s="4" t="s">
        <v>154</v>
      </c>
      <c r="E1500" s="4">
        <v>6</v>
      </c>
      <c r="F1500" s="4">
        <v>4</v>
      </c>
      <c r="G1500" s="4">
        <v>9</v>
      </c>
      <c r="H1500" s="115"/>
      <c r="I1500" s="115"/>
      <c r="J1500" s="115"/>
      <c r="K1500" s="115">
        <v>0</v>
      </c>
      <c r="L1500" s="12">
        <f t="shared" si="100"/>
        <v>0</v>
      </c>
      <c r="M1500" s="4">
        <f t="shared" si="101"/>
        <v>0</v>
      </c>
      <c r="N1500" s="4">
        <f t="shared" si="102"/>
        <v>0</v>
      </c>
      <c r="O1500" s="13">
        <f t="shared" si="103"/>
        <v>0</v>
      </c>
    </row>
    <row r="1501" spans="2:15" ht="13.8" thickBot="1">
      <c r="B1501" s="14">
        <v>13</v>
      </c>
      <c r="C1501" s="15" t="s">
        <v>151</v>
      </c>
      <c r="D1501" s="15" t="s">
        <v>154</v>
      </c>
      <c r="E1501" s="15">
        <v>6</v>
      </c>
      <c r="F1501" s="15">
        <v>4</v>
      </c>
      <c r="G1501" s="15">
        <v>10</v>
      </c>
      <c r="H1501" s="121"/>
      <c r="I1501" s="121"/>
      <c r="J1501" s="121"/>
      <c r="K1501" s="121">
        <v>0</v>
      </c>
      <c r="L1501" s="14">
        <f t="shared" si="100"/>
        <v>0</v>
      </c>
      <c r="M1501" s="15">
        <f t="shared" si="101"/>
        <v>0</v>
      </c>
      <c r="N1501" s="15">
        <f t="shared" si="102"/>
        <v>0</v>
      </c>
      <c r="O1501" s="16">
        <f t="shared" si="103"/>
        <v>0</v>
      </c>
    </row>
    <row r="1502" spans="2:15">
      <c r="B1502" s="9">
        <v>13</v>
      </c>
      <c r="C1502" s="10" t="s">
        <v>152</v>
      </c>
      <c r="D1502" s="10" t="s">
        <v>150</v>
      </c>
      <c r="E1502" s="93">
        <v>7</v>
      </c>
      <c r="F1502" s="93">
        <v>9</v>
      </c>
      <c r="G1502" s="10">
        <v>1</v>
      </c>
      <c r="H1502" s="120">
        <v>1.4679999999999609</v>
      </c>
      <c r="I1502" s="120">
        <v>0.78399999999987813</v>
      </c>
      <c r="J1502" s="120">
        <v>1.9500000000000455</v>
      </c>
      <c r="K1502" s="120">
        <v>4.2019999999998845</v>
      </c>
      <c r="L1502" s="9">
        <f t="shared" si="100"/>
        <v>0.39234515536119718</v>
      </c>
      <c r="M1502" s="10">
        <f t="shared" si="101"/>
        <v>0.25139485004007461</v>
      </c>
      <c r="N1502" s="10">
        <f t="shared" si="102"/>
        <v>0.46982201597816969</v>
      </c>
      <c r="O1502" s="11">
        <f t="shared" si="103"/>
        <v>0.71617034785984424</v>
      </c>
    </row>
    <row r="1503" spans="2:15">
      <c r="B1503" s="12">
        <v>13</v>
      </c>
      <c r="C1503" s="4" t="s">
        <v>152</v>
      </c>
      <c r="D1503" s="4" t="s">
        <v>150</v>
      </c>
      <c r="E1503" s="4">
        <v>7</v>
      </c>
      <c r="F1503" s="4">
        <v>9</v>
      </c>
      <c r="G1503" s="4">
        <v>2</v>
      </c>
      <c r="H1503" s="115">
        <v>0.36700000000007549</v>
      </c>
      <c r="I1503" s="115">
        <v>0.89899999999988722</v>
      </c>
      <c r="J1503" s="115">
        <v>1.7670000000000528</v>
      </c>
      <c r="K1503" s="115">
        <v>3.0330000000000155</v>
      </c>
      <c r="L1503" s="12">
        <f t="shared" si="100"/>
        <v>0.13576851456784625</v>
      </c>
      <c r="M1503" s="4">
        <f t="shared" si="101"/>
        <v>0.27852496473699173</v>
      </c>
      <c r="N1503" s="4">
        <f t="shared" si="102"/>
        <v>0.44200915914096028</v>
      </c>
      <c r="O1503" s="13">
        <f t="shared" si="103"/>
        <v>0.60562822200762034</v>
      </c>
    </row>
    <row r="1504" spans="2:15">
      <c r="B1504" s="12">
        <v>13</v>
      </c>
      <c r="C1504" s="4" t="s">
        <v>152</v>
      </c>
      <c r="D1504" s="4" t="s">
        <v>150</v>
      </c>
      <c r="E1504" s="4">
        <v>7</v>
      </c>
      <c r="F1504" s="4">
        <v>9</v>
      </c>
      <c r="G1504" s="4">
        <v>3</v>
      </c>
      <c r="H1504" s="115">
        <v>0.18299999999999272</v>
      </c>
      <c r="I1504" s="115">
        <v>0.59999999999990905</v>
      </c>
      <c r="J1504" s="115"/>
      <c r="K1504" s="115">
        <v>0.78299999999990177</v>
      </c>
      <c r="L1504" s="12">
        <f t="shared" si="100"/>
        <v>7.29847446279277E-2</v>
      </c>
      <c r="M1504" s="4">
        <f t="shared" si="101"/>
        <v>0.20411998265590009</v>
      </c>
      <c r="N1504" s="4">
        <f t="shared" si="102"/>
        <v>0</v>
      </c>
      <c r="O1504" s="13">
        <f t="shared" si="103"/>
        <v>0.25115134317533067</v>
      </c>
    </row>
    <row r="1505" spans="2:15">
      <c r="B1505" s="12">
        <v>13</v>
      </c>
      <c r="C1505" s="4" t="s">
        <v>152</v>
      </c>
      <c r="D1505" s="4" t="s">
        <v>150</v>
      </c>
      <c r="E1505" s="4">
        <v>7</v>
      </c>
      <c r="F1505" s="4">
        <v>9</v>
      </c>
      <c r="G1505" s="4">
        <v>4</v>
      </c>
      <c r="H1505" s="115"/>
      <c r="I1505" s="115"/>
      <c r="J1505" s="115"/>
      <c r="K1505" s="115">
        <v>0</v>
      </c>
      <c r="L1505" s="12">
        <f t="shared" si="100"/>
        <v>0</v>
      </c>
      <c r="M1505" s="4">
        <f t="shared" si="101"/>
        <v>0</v>
      </c>
      <c r="N1505" s="4">
        <f t="shared" si="102"/>
        <v>0</v>
      </c>
      <c r="O1505" s="13">
        <f t="shared" si="103"/>
        <v>0</v>
      </c>
    </row>
    <row r="1506" spans="2:15">
      <c r="B1506" s="12">
        <v>13</v>
      </c>
      <c r="C1506" s="4" t="s">
        <v>152</v>
      </c>
      <c r="D1506" s="4" t="s">
        <v>150</v>
      </c>
      <c r="E1506" s="4">
        <v>7</v>
      </c>
      <c r="F1506" s="4">
        <v>9</v>
      </c>
      <c r="G1506" s="4">
        <v>5</v>
      </c>
      <c r="H1506" s="115"/>
      <c r="I1506" s="115"/>
      <c r="J1506" s="115"/>
      <c r="K1506" s="115">
        <v>0</v>
      </c>
      <c r="L1506" s="12">
        <f t="shared" si="100"/>
        <v>0</v>
      </c>
      <c r="M1506" s="4">
        <f t="shared" si="101"/>
        <v>0</v>
      </c>
      <c r="N1506" s="4">
        <f t="shared" si="102"/>
        <v>0</v>
      </c>
      <c r="O1506" s="13">
        <f t="shared" si="103"/>
        <v>0</v>
      </c>
    </row>
    <row r="1507" spans="2:15">
      <c r="B1507" s="12">
        <v>13</v>
      </c>
      <c r="C1507" s="4" t="s">
        <v>152</v>
      </c>
      <c r="D1507" s="4" t="s">
        <v>150</v>
      </c>
      <c r="E1507" s="4">
        <v>7</v>
      </c>
      <c r="F1507" s="4">
        <v>9</v>
      </c>
      <c r="G1507" s="4">
        <v>6</v>
      </c>
      <c r="H1507" s="115"/>
      <c r="I1507" s="115"/>
      <c r="J1507" s="115"/>
      <c r="K1507" s="115">
        <v>0</v>
      </c>
      <c r="L1507" s="12">
        <f t="shared" si="100"/>
        <v>0</v>
      </c>
      <c r="M1507" s="4">
        <f t="shared" si="101"/>
        <v>0</v>
      </c>
      <c r="N1507" s="4">
        <f t="shared" si="102"/>
        <v>0</v>
      </c>
      <c r="O1507" s="13">
        <f t="shared" si="103"/>
        <v>0</v>
      </c>
    </row>
    <row r="1508" spans="2:15">
      <c r="B1508" s="12">
        <v>13</v>
      </c>
      <c r="C1508" s="4" t="s">
        <v>152</v>
      </c>
      <c r="D1508" s="4" t="s">
        <v>150</v>
      </c>
      <c r="E1508" s="4">
        <v>7</v>
      </c>
      <c r="F1508" s="4">
        <v>9</v>
      </c>
      <c r="G1508" s="4">
        <v>7</v>
      </c>
      <c r="H1508" s="115"/>
      <c r="I1508" s="115"/>
      <c r="J1508" s="115"/>
      <c r="K1508" s="115">
        <v>0</v>
      </c>
      <c r="L1508" s="12">
        <f t="shared" si="100"/>
        <v>0</v>
      </c>
      <c r="M1508" s="4">
        <f t="shared" si="101"/>
        <v>0</v>
      </c>
      <c r="N1508" s="4">
        <f t="shared" si="102"/>
        <v>0</v>
      </c>
      <c r="O1508" s="13">
        <f t="shared" si="103"/>
        <v>0</v>
      </c>
    </row>
    <row r="1509" spans="2:15">
      <c r="B1509" s="12">
        <v>13</v>
      </c>
      <c r="C1509" s="4" t="s">
        <v>152</v>
      </c>
      <c r="D1509" s="4" t="s">
        <v>150</v>
      </c>
      <c r="E1509" s="4">
        <v>7</v>
      </c>
      <c r="F1509" s="4">
        <v>9</v>
      </c>
      <c r="G1509" s="4">
        <v>8</v>
      </c>
      <c r="H1509" s="115"/>
      <c r="I1509" s="115"/>
      <c r="J1509" s="115"/>
      <c r="K1509" s="115">
        <v>0</v>
      </c>
      <c r="L1509" s="12">
        <f t="shared" si="100"/>
        <v>0</v>
      </c>
      <c r="M1509" s="4">
        <f t="shared" si="101"/>
        <v>0</v>
      </c>
      <c r="N1509" s="4">
        <f t="shared" si="102"/>
        <v>0</v>
      </c>
      <c r="O1509" s="13">
        <f t="shared" si="103"/>
        <v>0</v>
      </c>
    </row>
    <row r="1510" spans="2:15">
      <c r="B1510" s="12">
        <v>13</v>
      </c>
      <c r="C1510" s="4" t="s">
        <v>152</v>
      </c>
      <c r="D1510" s="4" t="s">
        <v>150</v>
      </c>
      <c r="E1510" s="4">
        <v>7</v>
      </c>
      <c r="F1510" s="4">
        <v>9</v>
      </c>
      <c r="G1510" s="4">
        <v>9</v>
      </c>
      <c r="H1510" s="115"/>
      <c r="I1510" s="115"/>
      <c r="J1510" s="115"/>
      <c r="K1510" s="115">
        <v>0</v>
      </c>
      <c r="L1510" s="12">
        <f t="shared" si="100"/>
        <v>0</v>
      </c>
      <c r="M1510" s="4">
        <f t="shared" si="101"/>
        <v>0</v>
      </c>
      <c r="N1510" s="4">
        <f t="shared" si="102"/>
        <v>0</v>
      </c>
      <c r="O1510" s="13">
        <f t="shared" si="103"/>
        <v>0</v>
      </c>
    </row>
    <row r="1511" spans="2:15" ht="13.8" thickBot="1">
      <c r="B1511" s="14">
        <v>13</v>
      </c>
      <c r="C1511" s="15" t="s">
        <v>152</v>
      </c>
      <c r="D1511" s="15" t="s">
        <v>150</v>
      </c>
      <c r="E1511" s="15">
        <v>7</v>
      </c>
      <c r="F1511" s="15">
        <v>9</v>
      </c>
      <c r="G1511" s="15">
        <v>10</v>
      </c>
      <c r="H1511" s="121"/>
      <c r="I1511" s="121"/>
      <c r="J1511" s="121"/>
      <c r="K1511" s="121">
        <v>0</v>
      </c>
      <c r="L1511" s="14">
        <f t="shared" ref="L1511:L1574" si="104">LOG10(H1511+1)</f>
        <v>0</v>
      </c>
      <c r="M1511" s="15">
        <f t="shared" ref="M1511:M1574" si="105">LOG10(I1511+1)</f>
        <v>0</v>
      </c>
      <c r="N1511" s="15">
        <f t="shared" ref="N1511:N1574" si="106">LOG10(J1511+1)</f>
        <v>0</v>
      </c>
      <c r="O1511" s="16">
        <f t="shared" ref="O1511:O1574" si="107">LOG10(K1511+1)</f>
        <v>0</v>
      </c>
    </row>
    <row r="1512" spans="2:15">
      <c r="B1512" s="9">
        <v>13</v>
      </c>
      <c r="C1512" s="10" t="s">
        <v>152</v>
      </c>
      <c r="D1512" s="10" t="s">
        <v>154</v>
      </c>
      <c r="E1512" s="93">
        <v>8</v>
      </c>
      <c r="F1512" s="93">
        <v>3</v>
      </c>
      <c r="G1512" s="10">
        <v>1</v>
      </c>
      <c r="H1512" s="120">
        <v>1.4330000000000496</v>
      </c>
      <c r="I1512" s="120"/>
      <c r="J1512" s="120"/>
      <c r="K1512" s="120">
        <v>1.4330000000000496</v>
      </c>
      <c r="L1512" s="9">
        <f t="shared" si="104"/>
        <v>0.38614210893082734</v>
      </c>
      <c r="M1512" s="10">
        <f t="shared" si="105"/>
        <v>0</v>
      </c>
      <c r="N1512" s="10">
        <f t="shared" si="106"/>
        <v>0</v>
      </c>
      <c r="O1512" s="11">
        <f t="shared" si="107"/>
        <v>0.38614210893082734</v>
      </c>
    </row>
    <row r="1513" spans="2:15">
      <c r="B1513" s="12">
        <v>13</v>
      </c>
      <c r="C1513" s="4" t="s">
        <v>152</v>
      </c>
      <c r="D1513" s="4" t="s">
        <v>154</v>
      </c>
      <c r="E1513" s="4">
        <v>8</v>
      </c>
      <c r="F1513" s="4">
        <v>3</v>
      </c>
      <c r="G1513" s="4">
        <v>2</v>
      </c>
      <c r="H1513" s="115">
        <v>0.10000000000002274</v>
      </c>
      <c r="I1513" s="115">
        <v>0.70099999999996498</v>
      </c>
      <c r="J1513" s="115">
        <v>0.71700000000009823</v>
      </c>
      <c r="K1513" s="115">
        <v>1.5180000000000859</v>
      </c>
      <c r="L1513" s="12">
        <f t="shared" si="104"/>
        <v>4.1392685158234015E-2</v>
      </c>
      <c r="M1513" s="4">
        <f t="shared" si="105"/>
        <v>0.23070431361256008</v>
      </c>
      <c r="N1513" s="4">
        <f t="shared" si="106"/>
        <v>0.23477029516094136</v>
      </c>
      <c r="O1513" s="13">
        <f t="shared" si="107"/>
        <v>0.40105572577185861</v>
      </c>
    </row>
    <row r="1514" spans="2:15">
      <c r="B1514" s="12">
        <v>13</v>
      </c>
      <c r="C1514" s="4" t="s">
        <v>152</v>
      </c>
      <c r="D1514" s="4" t="s">
        <v>154</v>
      </c>
      <c r="E1514" s="4">
        <v>8</v>
      </c>
      <c r="F1514" s="4">
        <v>3</v>
      </c>
      <c r="G1514" s="4">
        <v>3</v>
      </c>
      <c r="H1514" s="115">
        <v>0.10000000000002274</v>
      </c>
      <c r="I1514" s="115"/>
      <c r="J1514" s="115">
        <v>0.21600000000000819</v>
      </c>
      <c r="K1514" s="115">
        <v>0.31600000000003092</v>
      </c>
      <c r="L1514" s="12">
        <f t="shared" si="104"/>
        <v>4.1392685158234015E-2</v>
      </c>
      <c r="M1514" s="4">
        <f t="shared" si="105"/>
        <v>0</v>
      </c>
      <c r="N1514" s="4">
        <f t="shared" si="106"/>
        <v>8.4933574936719061E-2</v>
      </c>
      <c r="O1514" s="13">
        <f t="shared" si="107"/>
        <v>0.11925588927794689</v>
      </c>
    </row>
    <row r="1515" spans="2:15">
      <c r="B1515" s="12">
        <v>13</v>
      </c>
      <c r="C1515" s="4" t="s">
        <v>152</v>
      </c>
      <c r="D1515" s="4" t="s">
        <v>154</v>
      </c>
      <c r="E1515" s="4">
        <v>8</v>
      </c>
      <c r="F1515" s="4">
        <v>3</v>
      </c>
      <c r="G1515" s="4">
        <v>4</v>
      </c>
      <c r="H1515" s="115"/>
      <c r="I1515" s="115">
        <v>0.15000000000000568</v>
      </c>
      <c r="J1515" s="115"/>
      <c r="K1515" s="115">
        <v>0.15000000000000568</v>
      </c>
      <c r="L1515" s="12">
        <f t="shared" si="104"/>
        <v>0</v>
      </c>
      <c r="M1515" s="4">
        <f t="shared" si="105"/>
        <v>6.0697840353613829E-2</v>
      </c>
      <c r="N1515" s="4">
        <f t="shared" si="106"/>
        <v>0</v>
      </c>
      <c r="O1515" s="13">
        <f t="shared" si="107"/>
        <v>6.0697840353613829E-2</v>
      </c>
    </row>
    <row r="1516" spans="2:15">
      <c r="B1516" s="12">
        <v>13</v>
      </c>
      <c r="C1516" s="4" t="s">
        <v>152</v>
      </c>
      <c r="D1516" s="4" t="s">
        <v>154</v>
      </c>
      <c r="E1516" s="4">
        <v>8</v>
      </c>
      <c r="F1516" s="4">
        <v>3</v>
      </c>
      <c r="G1516" s="4">
        <v>5</v>
      </c>
      <c r="H1516" s="115"/>
      <c r="I1516" s="115"/>
      <c r="J1516" s="115"/>
      <c r="K1516" s="115">
        <v>0</v>
      </c>
      <c r="L1516" s="12">
        <f t="shared" si="104"/>
        <v>0</v>
      </c>
      <c r="M1516" s="4">
        <f t="shared" si="105"/>
        <v>0</v>
      </c>
      <c r="N1516" s="4">
        <f t="shared" si="106"/>
        <v>0</v>
      </c>
      <c r="O1516" s="13">
        <f t="shared" si="107"/>
        <v>0</v>
      </c>
    </row>
    <row r="1517" spans="2:15">
      <c r="B1517" s="12">
        <v>13</v>
      </c>
      <c r="C1517" s="4" t="s">
        <v>152</v>
      </c>
      <c r="D1517" s="4" t="s">
        <v>154</v>
      </c>
      <c r="E1517" s="4">
        <v>8</v>
      </c>
      <c r="F1517" s="4">
        <v>3</v>
      </c>
      <c r="G1517" s="4">
        <v>6</v>
      </c>
      <c r="H1517" s="115"/>
      <c r="I1517" s="115"/>
      <c r="J1517" s="115"/>
      <c r="K1517" s="115">
        <v>0</v>
      </c>
      <c r="L1517" s="12">
        <f t="shared" si="104"/>
        <v>0</v>
      </c>
      <c r="M1517" s="4">
        <f t="shared" si="105"/>
        <v>0</v>
      </c>
      <c r="N1517" s="4">
        <f t="shared" si="106"/>
        <v>0</v>
      </c>
      <c r="O1517" s="13">
        <f t="shared" si="107"/>
        <v>0</v>
      </c>
    </row>
    <row r="1518" spans="2:15">
      <c r="B1518" s="12">
        <v>13</v>
      </c>
      <c r="C1518" s="4" t="s">
        <v>152</v>
      </c>
      <c r="D1518" s="4" t="s">
        <v>154</v>
      </c>
      <c r="E1518" s="4">
        <v>8</v>
      </c>
      <c r="F1518" s="4">
        <v>3</v>
      </c>
      <c r="G1518" s="4">
        <v>7</v>
      </c>
      <c r="H1518" s="115"/>
      <c r="I1518" s="115"/>
      <c r="J1518" s="115"/>
      <c r="K1518" s="115">
        <v>0</v>
      </c>
      <c r="L1518" s="12">
        <f t="shared" si="104"/>
        <v>0</v>
      </c>
      <c r="M1518" s="4">
        <f t="shared" si="105"/>
        <v>0</v>
      </c>
      <c r="N1518" s="4">
        <f t="shared" si="106"/>
        <v>0</v>
      </c>
      <c r="O1518" s="13">
        <f t="shared" si="107"/>
        <v>0</v>
      </c>
    </row>
    <row r="1519" spans="2:15">
      <c r="B1519" s="12">
        <v>13</v>
      </c>
      <c r="C1519" s="4" t="s">
        <v>152</v>
      </c>
      <c r="D1519" s="4" t="s">
        <v>154</v>
      </c>
      <c r="E1519" s="4">
        <v>8</v>
      </c>
      <c r="F1519" s="4">
        <v>3</v>
      </c>
      <c r="G1519" s="4">
        <v>8</v>
      </c>
      <c r="H1519" s="115"/>
      <c r="I1519" s="115"/>
      <c r="J1519" s="115"/>
      <c r="K1519" s="115">
        <v>0</v>
      </c>
      <c r="L1519" s="12">
        <f t="shared" si="104"/>
        <v>0</v>
      </c>
      <c r="M1519" s="4">
        <f t="shared" si="105"/>
        <v>0</v>
      </c>
      <c r="N1519" s="4">
        <f t="shared" si="106"/>
        <v>0</v>
      </c>
      <c r="O1519" s="13">
        <f t="shared" si="107"/>
        <v>0</v>
      </c>
    </row>
    <row r="1520" spans="2:15">
      <c r="B1520" s="12">
        <v>13</v>
      </c>
      <c r="C1520" s="4" t="s">
        <v>152</v>
      </c>
      <c r="D1520" s="4" t="s">
        <v>154</v>
      </c>
      <c r="E1520" s="4">
        <v>8</v>
      </c>
      <c r="F1520" s="4">
        <v>3</v>
      </c>
      <c r="G1520" s="4">
        <v>9</v>
      </c>
      <c r="H1520" s="115"/>
      <c r="I1520" s="115"/>
      <c r="J1520" s="115"/>
      <c r="K1520" s="115">
        <v>0</v>
      </c>
      <c r="L1520" s="12">
        <f t="shared" si="104"/>
        <v>0</v>
      </c>
      <c r="M1520" s="4">
        <f t="shared" si="105"/>
        <v>0</v>
      </c>
      <c r="N1520" s="4">
        <f t="shared" si="106"/>
        <v>0</v>
      </c>
      <c r="O1520" s="13">
        <f t="shared" si="107"/>
        <v>0</v>
      </c>
    </row>
    <row r="1521" spans="2:15" ht="13.8" thickBot="1">
      <c r="B1521" s="14">
        <v>13</v>
      </c>
      <c r="C1521" s="15" t="s">
        <v>152</v>
      </c>
      <c r="D1521" s="15" t="s">
        <v>154</v>
      </c>
      <c r="E1521" s="15">
        <v>8</v>
      </c>
      <c r="F1521" s="15">
        <v>3</v>
      </c>
      <c r="G1521" s="15">
        <v>10</v>
      </c>
      <c r="H1521" s="121"/>
      <c r="I1521" s="121"/>
      <c r="J1521" s="121"/>
      <c r="K1521" s="121">
        <v>0</v>
      </c>
      <c r="L1521" s="14">
        <f t="shared" si="104"/>
        <v>0</v>
      </c>
      <c r="M1521" s="15">
        <f t="shared" si="105"/>
        <v>0</v>
      </c>
      <c r="N1521" s="15">
        <f t="shared" si="106"/>
        <v>0</v>
      </c>
      <c r="O1521" s="16">
        <f t="shared" si="107"/>
        <v>0</v>
      </c>
    </row>
    <row r="1522" spans="2:15">
      <c r="B1522" s="9">
        <v>13</v>
      </c>
      <c r="C1522" s="10" t="s">
        <v>152</v>
      </c>
      <c r="D1522" s="10" t="s">
        <v>154</v>
      </c>
      <c r="E1522" s="93">
        <v>9</v>
      </c>
      <c r="F1522" s="93">
        <v>1</v>
      </c>
      <c r="G1522" s="10">
        <v>1</v>
      </c>
      <c r="H1522" s="120">
        <v>2.2839999999999918</v>
      </c>
      <c r="I1522" s="120">
        <v>0.49999999999998579</v>
      </c>
      <c r="J1522" s="120">
        <v>0.15000000000000568</v>
      </c>
      <c r="K1522" s="120">
        <v>2.9339999999999833</v>
      </c>
      <c r="L1522" s="9">
        <f t="shared" si="104"/>
        <v>0.51640314844740209</v>
      </c>
      <c r="M1522" s="10">
        <f t="shared" si="105"/>
        <v>0.17609125905567713</v>
      </c>
      <c r="N1522" s="10">
        <f t="shared" si="106"/>
        <v>6.0697840353613829E-2</v>
      </c>
      <c r="O1522" s="11">
        <f t="shared" si="107"/>
        <v>0.5948343555833161</v>
      </c>
    </row>
    <row r="1523" spans="2:15">
      <c r="B1523" s="12">
        <v>13</v>
      </c>
      <c r="C1523" s="4" t="s">
        <v>152</v>
      </c>
      <c r="D1523" s="4" t="s">
        <v>154</v>
      </c>
      <c r="E1523" s="4">
        <v>9</v>
      </c>
      <c r="F1523" s="4">
        <v>1</v>
      </c>
      <c r="G1523" s="4">
        <v>2</v>
      </c>
      <c r="H1523" s="115">
        <v>0.23399999999999466</v>
      </c>
      <c r="I1523" s="115"/>
      <c r="J1523" s="115">
        <v>0.39999999999999147</v>
      </c>
      <c r="K1523" s="115">
        <v>0.63399999999998613</v>
      </c>
      <c r="L1523" s="12">
        <f t="shared" si="104"/>
        <v>9.1315159697220996E-2</v>
      </c>
      <c r="M1523" s="4">
        <f t="shared" si="105"/>
        <v>0</v>
      </c>
      <c r="N1523" s="4">
        <f t="shared" si="106"/>
        <v>0.14612803567823537</v>
      </c>
      <c r="O1523" s="13">
        <f t="shared" si="107"/>
        <v>0.21325205219639301</v>
      </c>
    </row>
    <row r="1524" spans="2:15">
      <c r="B1524" s="12">
        <v>13</v>
      </c>
      <c r="C1524" s="4" t="s">
        <v>152</v>
      </c>
      <c r="D1524" s="4" t="s">
        <v>154</v>
      </c>
      <c r="E1524" s="4">
        <v>9</v>
      </c>
      <c r="F1524" s="4">
        <v>1</v>
      </c>
      <c r="G1524" s="4">
        <v>3</v>
      </c>
      <c r="H1524" s="115">
        <v>2.3040000000000447</v>
      </c>
      <c r="I1524" s="115">
        <v>1.4150000000000063</v>
      </c>
      <c r="J1524" s="115">
        <v>1.2650000000000432</v>
      </c>
      <c r="K1524" s="115">
        <v>4.9840000000000941</v>
      </c>
      <c r="L1524" s="12">
        <f t="shared" si="104"/>
        <v>0.51904003864835047</v>
      </c>
      <c r="M1524" s="4">
        <f t="shared" si="105"/>
        <v>0.38291713508753206</v>
      </c>
      <c r="N1524" s="4">
        <f t="shared" si="106"/>
        <v>0.35506820634885894</v>
      </c>
      <c r="O1524" s="13">
        <f t="shared" si="107"/>
        <v>0.77699158485641173</v>
      </c>
    </row>
    <row r="1525" spans="2:15">
      <c r="B1525" s="12">
        <v>13</v>
      </c>
      <c r="C1525" s="4" t="s">
        <v>152</v>
      </c>
      <c r="D1525" s="4" t="s">
        <v>154</v>
      </c>
      <c r="E1525" s="4">
        <v>9</v>
      </c>
      <c r="F1525" s="4">
        <v>1</v>
      </c>
      <c r="G1525" s="4">
        <v>4</v>
      </c>
      <c r="H1525" s="115">
        <v>0.41700000000000159</v>
      </c>
      <c r="I1525" s="115"/>
      <c r="J1525" s="115"/>
      <c r="K1525" s="115">
        <v>0.41700000000000159</v>
      </c>
      <c r="L1525" s="12">
        <f t="shared" si="104"/>
        <v>0.15136985024746089</v>
      </c>
      <c r="M1525" s="4">
        <f t="shared" si="105"/>
        <v>0</v>
      </c>
      <c r="N1525" s="4">
        <f t="shared" si="106"/>
        <v>0</v>
      </c>
      <c r="O1525" s="13">
        <f t="shared" si="107"/>
        <v>0.15136985024746089</v>
      </c>
    </row>
    <row r="1526" spans="2:15">
      <c r="B1526" s="12">
        <v>13</v>
      </c>
      <c r="C1526" s="4" t="s">
        <v>152</v>
      </c>
      <c r="D1526" s="4" t="s">
        <v>154</v>
      </c>
      <c r="E1526" s="4">
        <v>9</v>
      </c>
      <c r="F1526" s="4">
        <v>1</v>
      </c>
      <c r="G1526" s="4">
        <v>5</v>
      </c>
      <c r="H1526" s="115"/>
      <c r="I1526" s="115"/>
      <c r="J1526" s="115"/>
      <c r="K1526" s="115">
        <v>0</v>
      </c>
      <c r="L1526" s="12">
        <f t="shared" si="104"/>
        <v>0</v>
      </c>
      <c r="M1526" s="4">
        <f t="shared" si="105"/>
        <v>0</v>
      </c>
      <c r="N1526" s="4">
        <f t="shared" si="106"/>
        <v>0</v>
      </c>
      <c r="O1526" s="13">
        <f t="shared" si="107"/>
        <v>0</v>
      </c>
    </row>
    <row r="1527" spans="2:15">
      <c r="B1527" s="12">
        <v>13</v>
      </c>
      <c r="C1527" s="4" t="s">
        <v>152</v>
      </c>
      <c r="D1527" s="4" t="s">
        <v>154</v>
      </c>
      <c r="E1527" s="4">
        <v>9</v>
      </c>
      <c r="F1527" s="4">
        <v>1</v>
      </c>
      <c r="G1527" s="4">
        <v>6</v>
      </c>
      <c r="H1527" s="115"/>
      <c r="I1527" s="115"/>
      <c r="J1527" s="115"/>
      <c r="K1527" s="115">
        <v>0</v>
      </c>
      <c r="L1527" s="12">
        <f t="shared" si="104"/>
        <v>0</v>
      </c>
      <c r="M1527" s="4">
        <f t="shared" si="105"/>
        <v>0</v>
      </c>
      <c r="N1527" s="4">
        <f t="shared" si="106"/>
        <v>0</v>
      </c>
      <c r="O1527" s="13">
        <f t="shared" si="107"/>
        <v>0</v>
      </c>
    </row>
    <row r="1528" spans="2:15">
      <c r="B1528" s="12">
        <v>13</v>
      </c>
      <c r="C1528" s="4" t="s">
        <v>152</v>
      </c>
      <c r="D1528" s="4" t="s">
        <v>154</v>
      </c>
      <c r="E1528" s="4">
        <v>9</v>
      </c>
      <c r="F1528" s="4">
        <v>1</v>
      </c>
      <c r="G1528" s="4">
        <v>7</v>
      </c>
      <c r="H1528" s="115"/>
      <c r="I1528" s="115"/>
      <c r="J1528" s="115"/>
      <c r="K1528" s="115">
        <v>0</v>
      </c>
      <c r="L1528" s="12">
        <f t="shared" si="104"/>
        <v>0</v>
      </c>
      <c r="M1528" s="4">
        <f t="shared" si="105"/>
        <v>0</v>
      </c>
      <c r="N1528" s="4">
        <f t="shared" si="106"/>
        <v>0</v>
      </c>
      <c r="O1528" s="13">
        <f t="shared" si="107"/>
        <v>0</v>
      </c>
    </row>
    <row r="1529" spans="2:15">
      <c r="B1529" s="12">
        <v>13</v>
      </c>
      <c r="C1529" s="4" t="s">
        <v>152</v>
      </c>
      <c r="D1529" s="4" t="s">
        <v>154</v>
      </c>
      <c r="E1529" s="4">
        <v>9</v>
      </c>
      <c r="F1529" s="4">
        <v>1</v>
      </c>
      <c r="G1529" s="4">
        <v>8</v>
      </c>
      <c r="H1529" s="115"/>
      <c r="I1529" s="115"/>
      <c r="J1529" s="115"/>
      <c r="K1529" s="115">
        <v>0</v>
      </c>
      <c r="L1529" s="12">
        <f t="shared" si="104"/>
        <v>0</v>
      </c>
      <c r="M1529" s="4">
        <f t="shared" si="105"/>
        <v>0</v>
      </c>
      <c r="N1529" s="4">
        <f t="shared" si="106"/>
        <v>0</v>
      </c>
      <c r="O1529" s="13">
        <f t="shared" si="107"/>
        <v>0</v>
      </c>
    </row>
    <row r="1530" spans="2:15">
      <c r="B1530" s="12">
        <v>13</v>
      </c>
      <c r="C1530" s="4" t="s">
        <v>152</v>
      </c>
      <c r="D1530" s="4" t="s">
        <v>154</v>
      </c>
      <c r="E1530" s="4">
        <v>9</v>
      </c>
      <c r="F1530" s="4">
        <v>1</v>
      </c>
      <c r="G1530" s="4">
        <v>9</v>
      </c>
      <c r="H1530" s="115"/>
      <c r="I1530" s="115"/>
      <c r="J1530" s="115"/>
      <c r="K1530" s="115">
        <v>0</v>
      </c>
      <c r="L1530" s="12">
        <f t="shared" si="104"/>
        <v>0</v>
      </c>
      <c r="M1530" s="4">
        <f t="shared" si="105"/>
        <v>0</v>
      </c>
      <c r="N1530" s="4">
        <f t="shared" si="106"/>
        <v>0</v>
      </c>
      <c r="O1530" s="13">
        <f t="shared" si="107"/>
        <v>0</v>
      </c>
    </row>
    <row r="1531" spans="2:15" ht="13.8" thickBot="1">
      <c r="B1531" s="14">
        <v>13</v>
      </c>
      <c r="C1531" s="15" t="s">
        <v>152</v>
      </c>
      <c r="D1531" s="15" t="s">
        <v>154</v>
      </c>
      <c r="E1531" s="15">
        <v>9</v>
      </c>
      <c r="F1531" s="15">
        <v>1</v>
      </c>
      <c r="G1531" s="15">
        <v>10</v>
      </c>
      <c r="H1531" s="121"/>
      <c r="I1531" s="121"/>
      <c r="J1531" s="121"/>
      <c r="K1531" s="121">
        <v>0</v>
      </c>
      <c r="L1531" s="14">
        <f t="shared" si="104"/>
        <v>0</v>
      </c>
      <c r="M1531" s="15">
        <f t="shared" si="105"/>
        <v>0</v>
      </c>
      <c r="N1531" s="15">
        <f t="shared" si="106"/>
        <v>0</v>
      </c>
      <c r="O1531" s="16">
        <f t="shared" si="107"/>
        <v>0</v>
      </c>
    </row>
    <row r="1532" spans="2:15">
      <c r="B1532" s="9">
        <v>13</v>
      </c>
      <c r="C1532" s="10" t="s">
        <v>152</v>
      </c>
      <c r="D1532" s="10" t="s">
        <v>149</v>
      </c>
      <c r="E1532" s="93">
        <v>10</v>
      </c>
      <c r="F1532" s="93">
        <v>5</v>
      </c>
      <c r="G1532" s="10">
        <v>1</v>
      </c>
      <c r="H1532" s="120">
        <v>0.31700000000000728</v>
      </c>
      <c r="I1532" s="120">
        <v>0.38299999999998136</v>
      </c>
      <c r="J1532" s="120">
        <v>4.3000000000001251</v>
      </c>
      <c r="K1532" s="120">
        <v>5.0000000000001137</v>
      </c>
      <c r="L1532" s="9">
        <f t="shared" si="104"/>
        <v>0.11958577496178621</v>
      </c>
      <c r="M1532" s="10">
        <f t="shared" si="105"/>
        <v>0.14082218010930472</v>
      </c>
      <c r="N1532" s="10">
        <f t="shared" si="106"/>
        <v>0.72427586960079926</v>
      </c>
      <c r="O1532" s="11">
        <f t="shared" si="107"/>
        <v>0.77815125038365185</v>
      </c>
    </row>
    <row r="1533" spans="2:15">
      <c r="B1533" s="12">
        <v>13</v>
      </c>
      <c r="C1533" s="4" t="s">
        <v>152</v>
      </c>
      <c r="D1533" s="4" t="s">
        <v>149</v>
      </c>
      <c r="E1533" s="4">
        <v>10</v>
      </c>
      <c r="F1533" s="4">
        <v>5</v>
      </c>
      <c r="G1533" s="4">
        <v>2</v>
      </c>
      <c r="H1533" s="115">
        <v>0.76699999999999591</v>
      </c>
      <c r="I1533" s="115">
        <v>0.61599999999998545</v>
      </c>
      <c r="J1533" s="115">
        <v>1.7820000000000391</v>
      </c>
      <c r="K1533" s="115">
        <v>3.1650000000000205</v>
      </c>
      <c r="L1533" s="12">
        <f t="shared" si="104"/>
        <v>0.24723654950676308</v>
      </c>
      <c r="M1533" s="4">
        <f t="shared" si="105"/>
        <v>0.20844135643856346</v>
      </c>
      <c r="N1533" s="4">
        <f t="shared" si="106"/>
        <v>0.44435712565603369</v>
      </c>
      <c r="O1533" s="13">
        <f t="shared" si="107"/>
        <v>0.61961500574280848</v>
      </c>
    </row>
    <row r="1534" spans="2:15">
      <c r="B1534" s="12">
        <v>13</v>
      </c>
      <c r="C1534" s="4" t="s">
        <v>152</v>
      </c>
      <c r="D1534" s="4" t="s">
        <v>149</v>
      </c>
      <c r="E1534" s="4">
        <v>10</v>
      </c>
      <c r="F1534" s="4">
        <v>5</v>
      </c>
      <c r="G1534" s="4">
        <v>3</v>
      </c>
      <c r="H1534" s="115">
        <v>1.0830000000000268</v>
      </c>
      <c r="I1534" s="115">
        <v>2.4320000000000732</v>
      </c>
      <c r="J1534" s="115">
        <v>3.3480000000000132</v>
      </c>
      <c r="K1534" s="115">
        <v>6.8630000000001132</v>
      </c>
      <c r="L1534" s="12">
        <f t="shared" si="104"/>
        <v>0.31868926994775149</v>
      </c>
      <c r="M1534" s="4">
        <f t="shared" si="105"/>
        <v>0.5355472791766771</v>
      </c>
      <c r="N1534" s="4">
        <f t="shared" si="106"/>
        <v>0.63828953541425826</v>
      </c>
      <c r="O1534" s="13">
        <f t="shared" si="107"/>
        <v>0.8955882756662692</v>
      </c>
    </row>
    <row r="1535" spans="2:15">
      <c r="B1535" s="12">
        <v>13</v>
      </c>
      <c r="C1535" s="4" t="s">
        <v>152</v>
      </c>
      <c r="D1535" s="4" t="s">
        <v>149</v>
      </c>
      <c r="E1535" s="4">
        <v>10</v>
      </c>
      <c r="F1535" s="4">
        <v>5</v>
      </c>
      <c r="G1535" s="4">
        <v>4</v>
      </c>
      <c r="H1535" s="115">
        <v>0.35000000000002274</v>
      </c>
      <c r="I1535" s="115"/>
      <c r="J1535" s="115"/>
      <c r="K1535" s="115">
        <v>0.35000000000002274</v>
      </c>
      <c r="L1535" s="12">
        <f t="shared" si="104"/>
        <v>0.13033376849501344</v>
      </c>
      <c r="M1535" s="4">
        <f t="shared" si="105"/>
        <v>0</v>
      </c>
      <c r="N1535" s="4">
        <f t="shared" si="106"/>
        <v>0</v>
      </c>
      <c r="O1535" s="13">
        <f t="shared" si="107"/>
        <v>0.13033376849501344</v>
      </c>
    </row>
    <row r="1536" spans="2:15">
      <c r="B1536" s="12">
        <v>13</v>
      </c>
      <c r="C1536" s="4" t="s">
        <v>152</v>
      </c>
      <c r="D1536" s="4" t="s">
        <v>149</v>
      </c>
      <c r="E1536" s="4">
        <v>10</v>
      </c>
      <c r="F1536" s="4">
        <v>5</v>
      </c>
      <c r="G1536" s="4">
        <v>5</v>
      </c>
      <c r="H1536" s="115"/>
      <c r="I1536" s="115"/>
      <c r="J1536" s="115"/>
      <c r="K1536" s="115">
        <v>0</v>
      </c>
      <c r="L1536" s="12">
        <f t="shared" si="104"/>
        <v>0</v>
      </c>
      <c r="M1536" s="4">
        <f t="shared" si="105"/>
        <v>0</v>
      </c>
      <c r="N1536" s="4">
        <f t="shared" si="106"/>
        <v>0</v>
      </c>
      <c r="O1536" s="13">
        <f t="shared" si="107"/>
        <v>0</v>
      </c>
    </row>
    <row r="1537" spans="2:15">
      <c r="B1537" s="12">
        <v>13</v>
      </c>
      <c r="C1537" s="4" t="s">
        <v>152</v>
      </c>
      <c r="D1537" s="4" t="s">
        <v>149</v>
      </c>
      <c r="E1537" s="4">
        <v>10</v>
      </c>
      <c r="F1537" s="4">
        <v>5</v>
      </c>
      <c r="G1537" s="4">
        <v>6</v>
      </c>
      <c r="H1537" s="115"/>
      <c r="I1537" s="115"/>
      <c r="J1537" s="115"/>
      <c r="K1537" s="115">
        <v>0</v>
      </c>
      <c r="L1537" s="12">
        <f t="shared" si="104"/>
        <v>0</v>
      </c>
      <c r="M1537" s="4">
        <f t="shared" si="105"/>
        <v>0</v>
      </c>
      <c r="N1537" s="4">
        <f t="shared" si="106"/>
        <v>0</v>
      </c>
      <c r="O1537" s="13">
        <f t="shared" si="107"/>
        <v>0</v>
      </c>
    </row>
    <row r="1538" spans="2:15">
      <c r="B1538" s="12">
        <v>13</v>
      </c>
      <c r="C1538" s="4" t="s">
        <v>152</v>
      </c>
      <c r="D1538" s="4" t="s">
        <v>149</v>
      </c>
      <c r="E1538" s="4">
        <v>10</v>
      </c>
      <c r="F1538" s="4">
        <v>5</v>
      </c>
      <c r="G1538" s="4">
        <v>7</v>
      </c>
      <c r="H1538" s="115"/>
      <c r="I1538" s="115"/>
      <c r="J1538" s="115"/>
      <c r="K1538" s="115">
        <v>0</v>
      </c>
      <c r="L1538" s="12">
        <f t="shared" si="104"/>
        <v>0</v>
      </c>
      <c r="M1538" s="4">
        <f t="shared" si="105"/>
        <v>0</v>
      </c>
      <c r="N1538" s="4">
        <f t="shared" si="106"/>
        <v>0</v>
      </c>
      <c r="O1538" s="13">
        <f t="shared" si="107"/>
        <v>0</v>
      </c>
    </row>
    <row r="1539" spans="2:15">
      <c r="B1539" s="12">
        <v>13</v>
      </c>
      <c r="C1539" s="4" t="s">
        <v>152</v>
      </c>
      <c r="D1539" s="4" t="s">
        <v>149</v>
      </c>
      <c r="E1539" s="4">
        <v>10</v>
      </c>
      <c r="F1539" s="4">
        <v>5</v>
      </c>
      <c r="G1539" s="4">
        <v>8</v>
      </c>
      <c r="H1539" s="115"/>
      <c r="I1539" s="115"/>
      <c r="J1539" s="115"/>
      <c r="K1539" s="115">
        <v>0</v>
      </c>
      <c r="L1539" s="12">
        <f t="shared" si="104"/>
        <v>0</v>
      </c>
      <c r="M1539" s="4">
        <f t="shared" si="105"/>
        <v>0</v>
      </c>
      <c r="N1539" s="4">
        <f t="shared" si="106"/>
        <v>0</v>
      </c>
      <c r="O1539" s="13">
        <f t="shared" si="107"/>
        <v>0</v>
      </c>
    </row>
    <row r="1540" spans="2:15">
      <c r="B1540" s="12">
        <v>13</v>
      </c>
      <c r="C1540" s="4" t="s">
        <v>152</v>
      </c>
      <c r="D1540" s="4" t="s">
        <v>149</v>
      </c>
      <c r="E1540" s="4">
        <v>10</v>
      </c>
      <c r="F1540" s="4">
        <v>5</v>
      </c>
      <c r="G1540" s="4">
        <v>9</v>
      </c>
      <c r="H1540" s="115"/>
      <c r="I1540" s="115"/>
      <c r="J1540" s="115"/>
      <c r="K1540" s="115">
        <v>0</v>
      </c>
      <c r="L1540" s="12">
        <f t="shared" si="104"/>
        <v>0</v>
      </c>
      <c r="M1540" s="4">
        <f t="shared" si="105"/>
        <v>0</v>
      </c>
      <c r="N1540" s="4">
        <f t="shared" si="106"/>
        <v>0</v>
      </c>
      <c r="O1540" s="13">
        <f t="shared" si="107"/>
        <v>0</v>
      </c>
    </row>
    <row r="1541" spans="2:15" ht="13.8" thickBot="1">
      <c r="B1541" s="14">
        <v>13</v>
      </c>
      <c r="C1541" s="15" t="s">
        <v>152</v>
      </c>
      <c r="D1541" s="15" t="s">
        <v>149</v>
      </c>
      <c r="E1541" s="15">
        <v>10</v>
      </c>
      <c r="F1541" s="15">
        <v>5</v>
      </c>
      <c r="G1541" s="15">
        <v>10</v>
      </c>
      <c r="H1541" s="121"/>
      <c r="I1541" s="121"/>
      <c r="J1541" s="121"/>
      <c r="K1541" s="121">
        <v>0</v>
      </c>
      <c r="L1541" s="14">
        <f t="shared" si="104"/>
        <v>0</v>
      </c>
      <c r="M1541" s="15">
        <f t="shared" si="105"/>
        <v>0</v>
      </c>
      <c r="N1541" s="15">
        <f t="shared" si="106"/>
        <v>0</v>
      </c>
      <c r="O1541" s="16">
        <f t="shared" si="107"/>
        <v>0</v>
      </c>
    </row>
    <row r="1542" spans="2:15">
      <c r="B1542" s="9">
        <v>13</v>
      </c>
      <c r="C1542" s="10" t="s">
        <v>152</v>
      </c>
      <c r="D1542" s="10" t="s">
        <v>150</v>
      </c>
      <c r="E1542" s="93">
        <v>11</v>
      </c>
      <c r="F1542" s="93">
        <v>11</v>
      </c>
      <c r="G1542" s="10">
        <v>1</v>
      </c>
      <c r="H1542" s="120">
        <v>1.6170000000001892</v>
      </c>
      <c r="I1542" s="120">
        <v>0.60000000000002274</v>
      </c>
      <c r="J1542" s="120">
        <v>1.0330000000000155</v>
      </c>
      <c r="K1542" s="120">
        <v>3.2500000000002274</v>
      </c>
      <c r="L1542" s="9">
        <f t="shared" si="104"/>
        <v>0.41780372263991239</v>
      </c>
      <c r="M1542" s="10">
        <f t="shared" si="105"/>
        <v>0.20411998265593095</v>
      </c>
      <c r="N1542" s="10">
        <f t="shared" si="106"/>
        <v>0.30813737863804191</v>
      </c>
      <c r="O1542" s="11">
        <f t="shared" si="107"/>
        <v>0.6283889300503348</v>
      </c>
    </row>
    <row r="1543" spans="2:15">
      <c r="B1543" s="12">
        <v>13</v>
      </c>
      <c r="C1543" s="4" t="s">
        <v>152</v>
      </c>
      <c r="D1543" s="4" t="s">
        <v>150</v>
      </c>
      <c r="E1543" s="4">
        <v>11</v>
      </c>
      <c r="F1543" s="4">
        <v>11</v>
      </c>
      <c r="G1543" s="4">
        <v>2</v>
      </c>
      <c r="H1543" s="115">
        <v>2.6150000000000091</v>
      </c>
      <c r="I1543" s="115">
        <v>0.2680000000000291</v>
      </c>
      <c r="J1543" s="115">
        <v>0.31600000000003092</v>
      </c>
      <c r="K1543" s="115">
        <v>3.1990000000000691</v>
      </c>
      <c r="L1543" s="12">
        <f t="shared" si="104"/>
        <v>0.5581083016305507</v>
      </c>
      <c r="M1543" s="4">
        <f t="shared" si="105"/>
        <v>0.10311925354572385</v>
      </c>
      <c r="N1543" s="4">
        <f t="shared" si="106"/>
        <v>0.11925588927794689</v>
      </c>
      <c r="O1543" s="13">
        <f t="shared" si="107"/>
        <v>0.6231458746379468</v>
      </c>
    </row>
    <row r="1544" spans="2:15">
      <c r="B1544" s="12">
        <v>13</v>
      </c>
      <c r="C1544" s="4" t="s">
        <v>152</v>
      </c>
      <c r="D1544" s="4" t="s">
        <v>150</v>
      </c>
      <c r="E1544" s="4">
        <v>11</v>
      </c>
      <c r="F1544" s="4">
        <v>11</v>
      </c>
      <c r="G1544" s="4">
        <v>3</v>
      </c>
      <c r="H1544" s="115">
        <v>0.36599999999998545</v>
      </c>
      <c r="I1544" s="115">
        <v>0.10000000000002274</v>
      </c>
      <c r="J1544" s="115"/>
      <c r="K1544" s="115">
        <v>0.46600000000000819</v>
      </c>
      <c r="L1544" s="12">
        <f t="shared" si="104"/>
        <v>0.13545069934550913</v>
      </c>
      <c r="M1544" s="4">
        <f t="shared" si="105"/>
        <v>4.1392685158234015E-2</v>
      </c>
      <c r="N1544" s="4">
        <f t="shared" si="106"/>
        <v>0</v>
      </c>
      <c r="O1544" s="13">
        <f t="shared" si="107"/>
        <v>0.16613397030511157</v>
      </c>
    </row>
    <row r="1545" spans="2:15">
      <c r="B1545" s="12">
        <v>13</v>
      </c>
      <c r="C1545" s="4" t="s">
        <v>152</v>
      </c>
      <c r="D1545" s="4" t="s">
        <v>150</v>
      </c>
      <c r="E1545" s="4">
        <v>11</v>
      </c>
      <c r="F1545" s="4">
        <v>11</v>
      </c>
      <c r="G1545" s="4">
        <v>4</v>
      </c>
      <c r="H1545" s="115"/>
      <c r="I1545" s="115"/>
      <c r="J1545" s="115"/>
      <c r="K1545" s="115">
        <v>0</v>
      </c>
      <c r="L1545" s="12">
        <f t="shared" si="104"/>
        <v>0</v>
      </c>
      <c r="M1545" s="4">
        <f t="shared" si="105"/>
        <v>0</v>
      </c>
      <c r="N1545" s="4">
        <f t="shared" si="106"/>
        <v>0</v>
      </c>
      <c r="O1545" s="13">
        <f t="shared" si="107"/>
        <v>0</v>
      </c>
    </row>
    <row r="1546" spans="2:15">
      <c r="B1546" s="12">
        <v>13</v>
      </c>
      <c r="C1546" s="4" t="s">
        <v>152</v>
      </c>
      <c r="D1546" s="4" t="s">
        <v>150</v>
      </c>
      <c r="E1546" s="4">
        <v>11</v>
      </c>
      <c r="F1546" s="4">
        <v>11</v>
      </c>
      <c r="G1546" s="4">
        <v>5</v>
      </c>
      <c r="H1546" s="115"/>
      <c r="I1546" s="115"/>
      <c r="J1546" s="115"/>
      <c r="K1546" s="115">
        <v>0</v>
      </c>
      <c r="L1546" s="12">
        <f t="shared" si="104"/>
        <v>0</v>
      </c>
      <c r="M1546" s="4">
        <f t="shared" si="105"/>
        <v>0</v>
      </c>
      <c r="N1546" s="4">
        <f t="shared" si="106"/>
        <v>0</v>
      </c>
      <c r="O1546" s="13">
        <f t="shared" si="107"/>
        <v>0</v>
      </c>
    </row>
    <row r="1547" spans="2:15">
      <c r="B1547" s="12">
        <v>13</v>
      </c>
      <c r="C1547" s="4" t="s">
        <v>152</v>
      </c>
      <c r="D1547" s="4" t="s">
        <v>150</v>
      </c>
      <c r="E1547" s="4">
        <v>11</v>
      </c>
      <c r="F1547" s="4">
        <v>11</v>
      </c>
      <c r="G1547" s="4">
        <v>6</v>
      </c>
      <c r="H1547" s="115"/>
      <c r="I1547" s="115"/>
      <c r="J1547" s="115"/>
      <c r="K1547" s="115">
        <v>0</v>
      </c>
      <c r="L1547" s="12">
        <f t="shared" si="104"/>
        <v>0</v>
      </c>
      <c r="M1547" s="4">
        <f t="shared" si="105"/>
        <v>0</v>
      </c>
      <c r="N1547" s="4">
        <f t="shared" si="106"/>
        <v>0</v>
      </c>
      <c r="O1547" s="13">
        <f t="shared" si="107"/>
        <v>0</v>
      </c>
    </row>
    <row r="1548" spans="2:15">
      <c r="B1548" s="12">
        <v>13</v>
      </c>
      <c r="C1548" s="4" t="s">
        <v>152</v>
      </c>
      <c r="D1548" s="4" t="s">
        <v>150</v>
      </c>
      <c r="E1548" s="4">
        <v>11</v>
      </c>
      <c r="F1548" s="4">
        <v>11</v>
      </c>
      <c r="G1548" s="4">
        <v>7</v>
      </c>
      <c r="H1548" s="115"/>
      <c r="I1548" s="115"/>
      <c r="J1548" s="115"/>
      <c r="K1548" s="115">
        <v>0</v>
      </c>
      <c r="L1548" s="12">
        <f t="shared" si="104"/>
        <v>0</v>
      </c>
      <c r="M1548" s="4">
        <f t="shared" si="105"/>
        <v>0</v>
      </c>
      <c r="N1548" s="4">
        <f t="shared" si="106"/>
        <v>0</v>
      </c>
      <c r="O1548" s="13">
        <f t="shared" si="107"/>
        <v>0</v>
      </c>
    </row>
    <row r="1549" spans="2:15">
      <c r="B1549" s="12">
        <v>13</v>
      </c>
      <c r="C1549" s="4" t="s">
        <v>152</v>
      </c>
      <c r="D1549" s="4" t="s">
        <v>150</v>
      </c>
      <c r="E1549" s="4">
        <v>11</v>
      </c>
      <c r="F1549" s="4">
        <v>11</v>
      </c>
      <c r="G1549" s="4">
        <v>8</v>
      </c>
      <c r="H1549" s="115"/>
      <c r="I1549" s="115"/>
      <c r="J1549" s="115"/>
      <c r="K1549" s="115">
        <v>0</v>
      </c>
      <c r="L1549" s="12">
        <f t="shared" si="104"/>
        <v>0</v>
      </c>
      <c r="M1549" s="4">
        <f t="shared" si="105"/>
        <v>0</v>
      </c>
      <c r="N1549" s="4">
        <f t="shared" si="106"/>
        <v>0</v>
      </c>
      <c r="O1549" s="13">
        <f t="shared" si="107"/>
        <v>0</v>
      </c>
    </row>
    <row r="1550" spans="2:15">
      <c r="B1550" s="12">
        <v>13</v>
      </c>
      <c r="C1550" s="4" t="s">
        <v>152</v>
      </c>
      <c r="D1550" s="4" t="s">
        <v>150</v>
      </c>
      <c r="E1550" s="4">
        <v>11</v>
      </c>
      <c r="F1550" s="4">
        <v>11</v>
      </c>
      <c r="G1550" s="4">
        <v>9</v>
      </c>
      <c r="H1550" s="115"/>
      <c r="I1550" s="115"/>
      <c r="J1550" s="115"/>
      <c r="K1550" s="115">
        <v>0</v>
      </c>
      <c r="L1550" s="12">
        <f t="shared" si="104"/>
        <v>0</v>
      </c>
      <c r="M1550" s="4">
        <f t="shared" si="105"/>
        <v>0</v>
      </c>
      <c r="N1550" s="4">
        <f t="shared" si="106"/>
        <v>0</v>
      </c>
      <c r="O1550" s="13">
        <f t="shared" si="107"/>
        <v>0</v>
      </c>
    </row>
    <row r="1551" spans="2:15" ht="13.8" thickBot="1">
      <c r="B1551" s="14">
        <v>13</v>
      </c>
      <c r="C1551" s="15" t="s">
        <v>152</v>
      </c>
      <c r="D1551" s="15" t="s">
        <v>150</v>
      </c>
      <c r="E1551" s="15">
        <v>11</v>
      </c>
      <c r="F1551" s="15">
        <v>11</v>
      </c>
      <c r="G1551" s="15">
        <v>10</v>
      </c>
      <c r="H1551" s="121"/>
      <c r="I1551" s="121"/>
      <c r="J1551" s="121"/>
      <c r="K1551" s="121">
        <v>0</v>
      </c>
      <c r="L1551" s="14">
        <f t="shared" si="104"/>
        <v>0</v>
      </c>
      <c r="M1551" s="15">
        <f t="shared" si="105"/>
        <v>0</v>
      </c>
      <c r="N1551" s="15">
        <f t="shared" si="106"/>
        <v>0</v>
      </c>
      <c r="O1551" s="16">
        <f t="shared" si="107"/>
        <v>0</v>
      </c>
    </row>
    <row r="1552" spans="2:15">
      <c r="B1552" s="9">
        <v>13</v>
      </c>
      <c r="C1552" s="10" t="s">
        <v>152</v>
      </c>
      <c r="D1552" s="10" t="s">
        <v>149</v>
      </c>
      <c r="E1552" s="93">
        <v>12</v>
      </c>
      <c r="F1552" s="93">
        <v>7</v>
      </c>
      <c r="G1552" s="10">
        <v>1</v>
      </c>
      <c r="H1552" s="120"/>
      <c r="I1552" s="120">
        <v>0.78299999999995862</v>
      </c>
      <c r="J1552" s="120">
        <v>1.7499999999998295</v>
      </c>
      <c r="K1552" s="120">
        <v>2.5329999999997881</v>
      </c>
      <c r="L1552" s="9">
        <f t="shared" si="104"/>
        <v>0</v>
      </c>
      <c r="M1552" s="10">
        <f t="shared" si="105"/>
        <v>0.25115134317534454</v>
      </c>
      <c r="N1552" s="10">
        <f t="shared" si="106"/>
        <v>0.43933269383023571</v>
      </c>
      <c r="O1552" s="11">
        <f t="shared" si="107"/>
        <v>0.54814363743481942</v>
      </c>
    </row>
    <row r="1553" spans="2:15">
      <c r="B1553" s="12">
        <v>13</v>
      </c>
      <c r="C1553" s="4" t="s">
        <v>152</v>
      </c>
      <c r="D1553" s="4" t="s">
        <v>149</v>
      </c>
      <c r="E1553" s="4">
        <v>12</v>
      </c>
      <c r="F1553" s="4">
        <v>7</v>
      </c>
      <c r="G1553" s="4">
        <v>2</v>
      </c>
      <c r="H1553" s="115">
        <v>9.9999999999965894E-2</v>
      </c>
      <c r="I1553" s="115">
        <v>0.73299999999994725</v>
      </c>
      <c r="J1553" s="115">
        <v>2.8509999999999422</v>
      </c>
      <c r="K1553" s="115">
        <v>3.6839999999998554</v>
      </c>
      <c r="L1553" s="12">
        <f t="shared" si="104"/>
        <v>4.1392685158211574E-2</v>
      </c>
      <c r="M1553" s="4">
        <f t="shared" si="105"/>
        <v>0.23879856271390379</v>
      </c>
      <c r="N1553" s="4">
        <f t="shared" si="106"/>
        <v>0.58557351862272455</v>
      </c>
      <c r="O1553" s="13">
        <f t="shared" si="107"/>
        <v>0.67061688640031214</v>
      </c>
    </row>
    <row r="1554" spans="2:15">
      <c r="B1554" s="12">
        <v>13</v>
      </c>
      <c r="C1554" s="4" t="s">
        <v>152</v>
      </c>
      <c r="D1554" s="4" t="s">
        <v>149</v>
      </c>
      <c r="E1554" s="4">
        <v>12</v>
      </c>
      <c r="F1554" s="4">
        <v>7</v>
      </c>
      <c r="G1554" s="4">
        <v>3</v>
      </c>
      <c r="H1554" s="115">
        <v>1.2820000000000391</v>
      </c>
      <c r="I1554" s="115">
        <v>0.36800000000005184</v>
      </c>
      <c r="J1554" s="115">
        <v>1.7329999999997767</v>
      </c>
      <c r="K1554" s="115">
        <v>3.3829999999998677</v>
      </c>
      <c r="L1554" s="12">
        <f t="shared" si="104"/>
        <v>0.35831564008220329</v>
      </c>
      <c r="M1554" s="4">
        <f t="shared" si="105"/>
        <v>0.13608609738411387</v>
      </c>
      <c r="N1554" s="4">
        <f t="shared" si="106"/>
        <v>0.43663963169262521</v>
      </c>
      <c r="O1554" s="13">
        <f t="shared" si="107"/>
        <v>0.64177147065394613</v>
      </c>
    </row>
    <row r="1555" spans="2:15">
      <c r="B1555" s="12">
        <v>13</v>
      </c>
      <c r="C1555" s="4" t="s">
        <v>152</v>
      </c>
      <c r="D1555" s="4" t="s">
        <v>149</v>
      </c>
      <c r="E1555" s="4">
        <v>12</v>
      </c>
      <c r="F1555" s="4">
        <v>7</v>
      </c>
      <c r="G1555" s="4">
        <v>4</v>
      </c>
      <c r="H1555" s="115"/>
      <c r="I1555" s="115"/>
      <c r="J1555" s="115"/>
      <c r="K1555" s="115">
        <v>0</v>
      </c>
      <c r="L1555" s="12">
        <f t="shared" si="104"/>
        <v>0</v>
      </c>
      <c r="M1555" s="4">
        <f t="shared" si="105"/>
        <v>0</v>
      </c>
      <c r="N1555" s="4">
        <f t="shared" si="106"/>
        <v>0</v>
      </c>
      <c r="O1555" s="13">
        <f t="shared" si="107"/>
        <v>0</v>
      </c>
    </row>
    <row r="1556" spans="2:15">
      <c r="B1556" s="12">
        <v>13</v>
      </c>
      <c r="C1556" s="4" t="s">
        <v>152</v>
      </c>
      <c r="D1556" s="4" t="s">
        <v>149</v>
      </c>
      <c r="E1556" s="4">
        <v>12</v>
      </c>
      <c r="F1556" s="4">
        <v>7</v>
      </c>
      <c r="G1556" s="4">
        <v>5</v>
      </c>
      <c r="H1556" s="115"/>
      <c r="I1556" s="115"/>
      <c r="J1556" s="115"/>
      <c r="K1556" s="115">
        <v>0</v>
      </c>
      <c r="L1556" s="12">
        <f t="shared" si="104"/>
        <v>0</v>
      </c>
      <c r="M1556" s="4">
        <f t="shared" si="105"/>
        <v>0</v>
      </c>
      <c r="N1556" s="4">
        <f t="shared" si="106"/>
        <v>0</v>
      </c>
      <c r="O1556" s="13">
        <f t="shared" si="107"/>
        <v>0</v>
      </c>
    </row>
    <row r="1557" spans="2:15">
      <c r="B1557" s="12">
        <v>13</v>
      </c>
      <c r="C1557" s="4" t="s">
        <v>152</v>
      </c>
      <c r="D1557" s="4" t="s">
        <v>149</v>
      </c>
      <c r="E1557" s="4">
        <v>12</v>
      </c>
      <c r="F1557" s="4">
        <v>7</v>
      </c>
      <c r="G1557" s="4">
        <v>6</v>
      </c>
      <c r="H1557" s="115"/>
      <c r="I1557" s="115"/>
      <c r="J1557" s="115"/>
      <c r="K1557" s="115">
        <v>0</v>
      </c>
      <c r="L1557" s="12">
        <f t="shared" si="104"/>
        <v>0</v>
      </c>
      <c r="M1557" s="4">
        <f t="shared" si="105"/>
        <v>0</v>
      </c>
      <c r="N1557" s="4">
        <f t="shared" si="106"/>
        <v>0</v>
      </c>
      <c r="O1557" s="13">
        <f t="shared" si="107"/>
        <v>0</v>
      </c>
    </row>
    <row r="1558" spans="2:15">
      <c r="B1558" s="12">
        <v>13</v>
      </c>
      <c r="C1558" s="4" t="s">
        <v>152</v>
      </c>
      <c r="D1558" s="4" t="s">
        <v>149</v>
      </c>
      <c r="E1558" s="4">
        <v>12</v>
      </c>
      <c r="F1558" s="4">
        <v>7</v>
      </c>
      <c r="G1558" s="4">
        <v>7</v>
      </c>
      <c r="H1558" s="115"/>
      <c r="I1558" s="115"/>
      <c r="J1558" s="115"/>
      <c r="K1558" s="115">
        <v>0</v>
      </c>
      <c r="L1558" s="12">
        <f t="shared" si="104"/>
        <v>0</v>
      </c>
      <c r="M1558" s="4">
        <f t="shared" si="105"/>
        <v>0</v>
      </c>
      <c r="N1558" s="4">
        <f t="shared" si="106"/>
        <v>0</v>
      </c>
      <c r="O1558" s="13">
        <f t="shared" si="107"/>
        <v>0</v>
      </c>
    </row>
    <row r="1559" spans="2:15">
      <c r="B1559" s="12">
        <v>13</v>
      </c>
      <c r="C1559" s="4" t="s">
        <v>152</v>
      </c>
      <c r="D1559" s="4" t="s">
        <v>149</v>
      </c>
      <c r="E1559" s="4">
        <v>12</v>
      </c>
      <c r="F1559" s="4">
        <v>7</v>
      </c>
      <c r="G1559" s="4">
        <v>8</v>
      </c>
      <c r="H1559" s="115"/>
      <c r="I1559" s="115"/>
      <c r="J1559" s="115"/>
      <c r="K1559" s="115">
        <v>0</v>
      </c>
      <c r="L1559" s="12">
        <f t="shared" si="104"/>
        <v>0</v>
      </c>
      <c r="M1559" s="4">
        <f t="shared" si="105"/>
        <v>0</v>
      </c>
      <c r="N1559" s="4">
        <f t="shared" si="106"/>
        <v>0</v>
      </c>
      <c r="O1559" s="13">
        <f t="shared" si="107"/>
        <v>0</v>
      </c>
    </row>
    <row r="1560" spans="2:15">
      <c r="B1560" s="12">
        <v>13</v>
      </c>
      <c r="C1560" s="4" t="s">
        <v>152</v>
      </c>
      <c r="D1560" s="4" t="s">
        <v>149</v>
      </c>
      <c r="E1560" s="4">
        <v>12</v>
      </c>
      <c r="F1560" s="4">
        <v>7</v>
      </c>
      <c r="G1560" s="4">
        <v>9</v>
      </c>
      <c r="H1560" s="115"/>
      <c r="I1560" s="115"/>
      <c r="J1560" s="115"/>
      <c r="K1560" s="115">
        <v>0</v>
      </c>
      <c r="L1560" s="12">
        <f t="shared" si="104"/>
        <v>0</v>
      </c>
      <c r="M1560" s="4">
        <f t="shared" si="105"/>
        <v>0</v>
      </c>
      <c r="N1560" s="4">
        <f t="shared" si="106"/>
        <v>0</v>
      </c>
      <c r="O1560" s="13">
        <f t="shared" si="107"/>
        <v>0</v>
      </c>
    </row>
    <row r="1561" spans="2:15" ht="13.8" thickBot="1">
      <c r="B1561" s="14">
        <v>13</v>
      </c>
      <c r="C1561" s="15" t="s">
        <v>152</v>
      </c>
      <c r="D1561" s="15" t="s">
        <v>149</v>
      </c>
      <c r="E1561" s="15">
        <v>12</v>
      </c>
      <c r="F1561" s="15">
        <v>7</v>
      </c>
      <c r="G1561" s="15">
        <v>10</v>
      </c>
      <c r="H1561" s="121"/>
      <c r="I1561" s="121"/>
      <c r="J1561" s="121"/>
      <c r="K1561" s="121">
        <v>0</v>
      </c>
      <c r="L1561" s="14">
        <f t="shared" si="104"/>
        <v>0</v>
      </c>
      <c r="M1561" s="15">
        <f t="shared" si="105"/>
        <v>0</v>
      </c>
      <c r="N1561" s="15">
        <f t="shared" si="106"/>
        <v>0</v>
      </c>
      <c r="O1561" s="16">
        <f t="shared" si="107"/>
        <v>0</v>
      </c>
    </row>
    <row r="1562" spans="2:15">
      <c r="B1562" s="9">
        <v>14</v>
      </c>
      <c r="C1562" s="10" t="s">
        <v>151</v>
      </c>
      <c r="D1562" s="10" t="s">
        <v>150</v>
      </c>
      <c r="E1562" s="93">
        <v>1</v>
      </c>
      <c r="F1562" s="93">
        <v>6</v>
      </c>
      <c r="G1562" s="10">
        <v>1</v>
      </c>
      <c r="H1562" s="120">
        <v>3.2789999999999964</v>
      </c>
      <c r="I1562" s="120">
        <v>0.18299999999999272</v>
      </c>
      <c r="J1562" s="120">
        <v>5.3849999999999341</v>
      </c>
      <c r="K1562" s="120">
        <v>8.8469999999999231</v>
      </c>
      <c r="L1562" s="9">
        <f t="shared" si="104"/>
        <v>0.63134228648393242</v>
      </c>
      <c r="M1562" s="10">
        <f t="shared" si="105"/>
        <v>7.29847446279277E-2</v>
      </c>
      <c r="N1562" s="10">
        <f t="shared" si="106"/>
        <v>0.80516090159942966</v>
      </c>
      <c r="O1562" s="11">
        <f t="shared" si="107"/>
        <v>0.99330393791947114</v>
      </c>
    </row>
    <row r="1563" spans="2:15">
      <c r="B1563" s="12">
        <v>14</v>
      </c>
      <c r="C1563" s="4" t="s">
        <v>151</v>
      </c>
      <c r="D1563" s="4" t="s">
        <v>150</v>
      </c>
      <c r="E1563" s="4">
        <v>1</v>
      </c>
      <c r="F1563" s="4">
        <v>6</v>
      </c>
      <c r="G1563" s="4">
        <v>2</v>
      </c>
      <c r="H1563" s="115">
        <v>0.73399999999998045</v>
      </c>
      <c r="I1563" s="115"/>
      <c r="J1563" s="115">
        <v>1.2510000000000332</v>
      </c>
      <c r="K1563" s="115">
        <v>1.9850000000000136</v>
      </c>
      <c r="L1563" s="12">
        <f t="shared" si="104"/>
        <v>0.2390490931401866</v>
      </c>
      <c r="M1563" s="4">
        <f t="shared" si="105"/>
        <v>0</v>
      </c>
      <c r="N1563" s="4">
        <f t="shared" si="106"/>
        <v>0.3523754950005264</v>
      </c>
      <c r="O1563" s="13">
        <f t="shared" si="107"/>
        <v>0.47494433546538989</v>
      </c>
    </row>
    <row r="1564" spans="2:15">
      <c r="B1564" s="12">
        <v>14</v>
      </c>
      <c r="C1564" s="4" t="s">
        <v>151</v>
      </c>
      <c r="D1564" s="4" t="s">
        <v>150</v>
      </c>
      <c r="E1564" s="4">
        <v>1</v>
      </c>
      <c r="F1564" s="4">
        <v>6</v>
      </c>
      <c r="G1564" s="4">
        <v>3</v>
      </c>
      <c r="H1564" s="115">
        <v>0.44899999999995543</v>
      </c>
      <c r="I1564" s="115"/>
      <c r="J1564" s="115">
        <v>4.8990000000000009</v>
      </c>
      <c r="K1564" s="115">
        <v>5.3479999999999563</v>
      </c>
      <c r="L1564" s="12">
        <f t="shared" si="104"/>
        <v>0.16106838547116123</v>
      </c>
      <c r="M1564" s="4">
        <f t="shared" si="105"/>
        <v>0</v>
      </c>
      <c r="N1564" s="4">
        <f t="shared" si="106"/>
        <v>0.77077839616914767</v>
      </c>
      <c r="O1564" s="13">
        <f t="shared" si="107"/>
        <v>0.80263691808280757</v>
      </c>
    </row>
    <row r="1565" spans="2:15">
      <c r="B1565" s="12">
        <v>14</v>
      </c>
      <c r="C1565" s="4" t="s">
        <v>151</v>
      </c>
      <c r="D1565" s="4" t="s">
        <v>150</v>
      </c>
      <c r="E1565" s="4">
        <v>1</v>
      </c>
      <c r="F1565" s="4">
        <v>6</v>
      </c>
      <c r="G1565" s="4">
        <v>4</v>
      </c>
      <c r="H1565" s="115"/>
      <c r="I1565" s="115">
        <v>0.21699999999998454</v>
      </c>
      <c r="J1565" s="115">
        <v>1.3499999999999091</v>
      </c>
      <c r="K1565" s="115">
        <v>1.5669999999998936</v>
      </c>
      <c r="L1565" s="12">
        <f t="shared" si="104"/>
        <v>0</v>
      </c>
      <c r="M1565" s="4">
        <f t="shared" si="105"/>
        <v>8.5290578230059477E-2</v>
      </c>
      <c r="N1565" s="4">
        <f t="shared" si="106"/>
        <v>0.37106786227171945</v>
      </c>
      <c r="O1565" s="13">
        <f t="shared" si="107"/>
        <v>0.40942586867142539</v>
      </c>
    </row>
    <row r="1566" spans="2:15">
      <c r="B1566" s="12">
        <v>14</v>
      </c>
      <c r="C1566" s="4" t="s">
        <v>151</v>
      </c>
      <c r="D1566" s="4" t="s">
        <v>150</v>
      </c>
      <c r="E1566" s="4">
        <v>1</v>
      </c>
      <c r="F1566" s="4">
        <v>6</v>
      </c>
      <c r="G1566" s="4">
        <v>5</v>
      </c>
      <c r="H1566" s="115"/>
      <c r="I1566" s="115"/>
      <c r="J1566" s="115"/>
      <c r="K1566" s="115">
        <v>0</v>
      </c>
      <c r="L1566" s="12">
        <f t="shared" si="104"/>
        <v>0</v>
      </c>
      <c r="M1566" s="4">
        <f t="shared" si="105"/>
        <v>0</v>
      </c>
      <c r="N1566" s="4">
        <f t="shared" si="106"/>
        <v>0</v>
      </c>
      <c r="O1566" s="13">
        <f t="shared" si="107"/>
        <v>0</v>
      </c>
    </row>
    <row r="1567" spans="2:15">
      <c r="B1567" s="12">
        <v>14</v>
      </c>
      <c r="C1567" s="4" t="s">
        <v>151</v>
      </c>
      <c r="D1567" s="4" t="s">
        <v>150</v>
      </c>
      <c r="E1567" s="4">
        <v>1</v>
      </c>
      <c r="F1567" s="4">
        <v>6</v>
      </c>
      <c r="G1567" s="4">
        <v>6</v>
      </c>
      <c r="H1567" s="115"/>
      <c r="I1567" s="115"/>
      <c r="J1567" s="115"/>
      <c r="K1567" s="115">
        <v>0</v>
      </c>
      <c r="L1567" s="12">
        <f t="shared" si="104"/>
        <v>0</v>
      </c>
      <c r="M1567" s="4">
        <f t="shared" si="105"/>
        <v>0</v>
      </c>
      <c r="N1567" s="4">
        <f t="shared" si="106"/>
        <v>0</v>
      </c>
      <c r="O1567" s="13">
        <f t="shared" si="107"/>
        <v>0</v>
      </c>
    </row>
    <row r="1568" spans="2:15">
      <c r="B1568" s="12">
        <v>14</v>
      </c>
      <c r="C1568" s="4" t="s">
        <v>151</v>
      </c>
      <c r="D1568" s="4" t="s">
        <v>150</v>
      </c>
      <c r="E1568" s="4">
        <v>1</v>
      </c>
      <c r="F1568" s="4">
        <v>6</v>
      </c>
      <c r="G1568" s="4">
        <v>7</v>
      </c>
      <c r="H1568" s="115"/>
      <c r="I1568" s="115"/>
      <c r="J1568" s="115"/>
      <c r="K1568" s="115">
        <v>0</v>
      </c>
      <c r="L1568" s="12">
        <f t="shared" si="104"/>
        <v>0</v>
      </c>
      <c r="M1568" s="4">
        <f t="shared" si="105"/>
        <v>0</v>
      </c>
      <c r="N1568" s="4">
        <f t="shared" si="106"/>
        <v>0</v>
      </c>
      <c r="O1568" s="13">
        <f t="shared" si="107"/>
        <v>0</v>
      </c>
    </row>
    <row r="1569" spans="2:15">
      <c r="B1569" s="12">
        <v>14</v>
      </c>
      <c r="C1569" s="4" t="s">
        <v>151</v>
      </c>
      <c r="D1569" s="4" t="s">
        <v>150</v>
      </c>
      <c r="E1569" s="4">
        <v>1</v>
      </c>
      <c r="F1569" s="4">
        <v>6</v>
      </c>
      <c r="G1569" s="4">
        <v>8</v>
      </c>
      <c r="H1569" s="115"/>
      <c r="I1569" s="115"/>
      <c r="J1569" s="115"/>
      <c r="K1569" s="115">
        <v>0</v>
      </c>
      <c r="L1569" s="12">
        <f t="shared" si="104"/>
        <v>0</v>
      </c>
      <c r="M1569" s="4">
        <f t="shared" si="105"/>
        <v>0</v>
      </c>
      <c r="N1569" s="4">
        <f t="shared" si="106"/>
        <v>0</v>
      </c>
      <c r="O1569" s="13">
        <f t="shared" si="107"/>
        <v>0</v>
      </c>
    </row>
    <row r="1570" spans="2:15">
      <c r="B1570" s="12">
        <v>14</v>
      </c>
      <c r="C1570" s="4" t="s">
        <v>151</v>
      </c>
      <c r="D1570" s="4" t="s">
        <v>150</v>
      </c>
      <c r="E1570" s="4">
        <v>1</v>
      </c>
      <c r="F1570" s="4">
        <v>6</v>
      </c>
      <c r="G1570" s="4">
        <v>9</v>
      </c>
      <c r="H1570" s="115"/>
      <c r="I1570" s="115"/>
      <c r="J1570" s="115"/>
      <c r="K1570" s="115">
        <v>0</v>
      </c>
      <c r="L1570" s="12">
        <f t="shared" si="104"/>
        <v>0</v>
      </c>
      <c r="M1570" s="4">
        <f t="shared" si="105"/>
        <v>0</v>
      </c>
      <c r="N1570" s="4">
        <f t="shared" si="106"/>
        <v>0</v>
      </c>
      <c r="O1570" s="13">
        <f t="shared" si="107"/>
        <v>0</v>
      </c>
    </row>
    <row r="1571" spans="2:15" ht="13.8" thickBot="1">
      <c r="B1571" s="14">
        <v>14</v>
      </c>
      <c r="C1571" s="15" t="s">
        <v>151</v>
      </c>
      <c r="D1571" s="15" t="s">
        <v>150</v>
      </c>
      <c r="E1571" s="15">
        <v>1</v>
      </c>
      <c r="F1571" s="15">
        <v>6</v>
      </c>
      <c r="G1571" s="15">
        <v>10</v>
      </c>
      <c r="H1571" s="121"/>
      <c r="I1571" s="121"/>
      <c r="J1571" s="121"/>
      <c r="K1571" s="121">
        <v>0</v>
      </c>
      <c r="L1571" s="14">
        <f t="shared" si="104"/>
        <v>0</v>
      </c>
      <c r="M1571" s="15">
        <f t="shared" si="105"/>
        <v>0</v>
      </c>
      <c r="N1571" s="15">
        <f t="shared" si="106"/>
        <v>0</v>
      </c>
      <c r="O1571" s="16">
        <f t="shared" si="107"/>
        <v>0</v>
      </c>
    </row>
    <row r="1572" spans="2:15">
      <c r="B1572" s="9">
        <v>14</v>
      </c>
      <c r="C1572" s="10" t="s">
        <v>151</v>
      </c>
      <c r="D1572" s="10" t="s">
        <v>150</v>
      </c>
      <c r="E1572" s="93">
        <v>2</v>
      </c>
      <c r="F1572" s="93">
        <v>8</v>
      </c>
      <c r="G1572" s="10">
        <v>1</v>
      </c>
      <c r="H1572" s="120">
        <v>0.83399999999994634</v>
      </c>
      <c r="I1572" s="120">
        <v>1.1000000000000796</v>
      </c>
      <c r="J1572" s="120">
        <v>3.116999999999905</v>
      </c>
      <c r="K1572" s="120">
        <v>5.0509999999999309</v>
      </c>
      <c r="L1572" s="9">
        <f t="shared" si="104"/>
        <v>0.26339933133398957</v>
      </c>
      <c r="M1572" s="10">
        <f t="shared" si="105"/>
        <v>0.32221929473393573</v>
      </c>
      <c r="N1572" s="10">
        <f t="shared" si="106"/>
        <v>0.61458086699747605</v>
      </c>
      <c r="O1572" s="11">
        <f t="shared" si="107"/>
        <v>0.78182715293242289</v>
      </c>
    </row>
    <row r="1573" spans="2:15">
      <c r="B1573" s="12">
        <v>14</v>
      </c>
      <c r="C1573" s="4" t="s">
        <v>151</v>
      </c>
      <c r="D1573" s="4" t="s">
        <v>150</v>
      </c>
      <c r="E1573" s="4">
        <v>2</v>
      </c>
      <c r="F1573" s="4">
        <v>8</v>
      </c>
      <c r="G1573" s="4">
        <v>2</v>
      </c>
      <c r="H1573" s="115">
        <v>0.66699999999997317</v>
      </c>
      <c r="I1573" s="115">
        <v>2.8980000000000246</v>
      </c>
      <c r="J1573" s="115">
        <v>1.1000000000000796</v>
      </c>
      <c r="K1573" s="115">
        <v>4.6650000000000773</v>
      </c>
      <c r="L1573" s="12">
        <f t="shared" si="104"/>
        <v>0.22193559982799835</v>
      </c>
      <c r="M1573" s="4">
        <f t="shared" si="105"/>
        <v>0.59084183478160535</v>
      </c>
      <c r="N1573" s="4">
        <f t="shared" si="106"/>
        <v>0.32221929473393573</v>
      </c>
      <c r="O1573" s="13">
        <f t="shared" si="107"/>
        <v>0.753199914199422</v>
      </c>
    </row>
    <row r="1574" spans="2:15">
      <c r="B1574" s="12">
        <v>14</v>
      </c>
      <c r="C1574" s="4" t="s">
        <v>151</v>
      </c>
      <c r="D1574" s="4" t="s">
        <v>150</v>
      </c>
      <c r="E1574" s="4">
        <v>2</v>
      </c>
      <c r="F1574" s="4">
        <v>8</v>
      </c>
      <c r="G1574" s="4">
        <v>3</v>
      </c>
      <c r="H1574" s="115"/>
      <c r="I1574" s="115"/>
      <c r="J1574" s="115"/>
      <c r="K1574" s="115">
        <v>0</v>
      </c>
      <c r="L1574" s="12">
        <f t="shared" si="104"/>
        <v>0</v>
      </c>
      <c r="M1574" s="4">
        <f t="shared" si="105"/>
        <v>0</v>
      </c>
      <c r="N1574" s="4">
        <f t="shared" si="106"/>
        <v>0</v>
      </c>
      <c r="O1574" s="13">
        <f t="shared" si="107"/>
        <v>0</v>
      </c>
    </row>
    <row r="1575" spans="2:15">
      <c r="B1575" s="12">
        <v>14</v>
      </c>
      <c r="C1575" s="4" t="s">
        <v>151</v>
      </c>
      <c r="D1575" s="4" t="s">
        <v>150</v>
      </c>
      <c r="E1575" s="4">
        <v>2</v>
      </c>
      <c r="F1575" s="4">
        <v>8</v>
      </c>
      <c r="G1575" s="4">
        <v>4</v>
      </c>
      <c r="H1575" s="115"/>
      <c r="I1575" s="115"/>
      <c r="J1575" s="115"/>
      <c r="K1575" s="115">
        <v>0</v>
      </c>
      <c r="L1575" s="12">
        <f t="shared" ref="L1575:L1638" si="108">LOG10(H1575+1)</f>
        <v>0</v>
      </c>
      <c r="M1575" s="4">
        <f t="shared" ref="M1575:M1638" si="109">LOG10(I1575+1)</f>
        <v>0</v>
      </c>
      <c r="N1575" s="4">
        <f t="shared" ref="N1575:N1638" si="110">LOG10(J1575+1)</f>
        <v>0</v>
      </c>
      <c r="O1575" s="13">
        <f t="shared" ref="O1575:O1638" si="111">LOG10(K1575+1)</f>
        <v>0</v>
      </c>
    </row>
    <row r="1576" spans="2:15">
      <c r="B1576" s="12">
        <v>14</v>
      </c>
      <c r="C1576" s="4" t="s">
        <v>151</v>
      </c>
      <c r="D1576" s="4" t="s">
        <v>150</v>
      </c>
      <c r="E1576" s="4">
        <v>2</v>
      </c>
      <c r="F1576" s="4">
        <v>8</v>
      </c>
      <c r="G1576" s="4">
        <v>5</v>
      </c>
      <c r="H1576" s="115"/>
      <c r="I1576" s="115"/>
      <c r="J1576" s="115"/>
      <c r="K1576" s="115">
        <v>0</v>
      </c>
      <c r="L1576" s="12">
        <f t="shared" si="108"/>
        <v>0</v>
      </c>
      <c r="M1576" s="4">
        <f t="shared" si="109"/>
        <v>0</v>
      </c>
      <c r="N1576" s="4">
        <f t="shared" si="110"/>
        <v>0</v>
      </c>
      <c r="O1576" s="13">
        <f t="shared" si="111"/>
        <v>0</v>
      </c>
    </row>
    <row r="1577" spans="2:15">
      <c r="B1577" s="12">
        <v>14</v>
      </c>
      <c r="C1577" s="4" t="s">
        <v>151</v>
      </c>
      <c r="D1577" s="4" t="s">
        <v>150</v>
      </c>
      <c r="E1577" s="4">
        <v>2</v>
      </c>
      <c r="F1577" s="4">
        <v>8</v>
      </c>
      <c r="G1577" s="4">
        <v>6</v>
      </c>
      <c r="H1577" s="115"/>
      <c r="I1577" s="115"/>
      <c r="J1577" s="115"/>
      <c r="K1577" s="115">
        <v>0</v>
      </c>
      <c r="L1577" s="12">
        <f t="shared" si="108"/>
        <v>0</v>
      </c>
      <c r="M1577" s="4">
        <f t="shared" si="109"/>
        <v>0</v>
      </c>
      <c r="N1577" s="4">
        <f t="shared" si="110"/>
        <v>0</v>
      </c>
      <c r="O1577" s="13">
        <f t="shared" si="111"/>
        <v>0</v>
      </c>
    </row>
    <row r="1578" spans="2:15">
      <c r="B1578" s="12">
        <v>14</v>
      </c>
      <c r="C1578" s="4" t="s">
        <v>151</v>
      </c>
      <c r="D1578" s="4" t="s">
        <v>150</v>
      </c>
      <c r="E1578" s="4">
        <v>2</v>
      </c>
      <c r="F1578" s="4">
        <v>8</v>
      </c>
      <c r="G1578" s="4">
        <v>7</v>
      </c>
      <c r="H1578" s="115"/>
      <c r="I1578" s="115"/>
      <c r="J1578" s="115"/>
      <c r="K1578" s="115">
        <v>0</v>
      </c>
      <c r="L1578" s="12">
        <f t="shared" si="108"/>
        <v>0</v>
      </c>
      <c r="M1578" s="4">
        <f t="shared" si="109"/>
        <v>0</v>
      </c>
      <c r="N1578" s="4">
        <f t="shared" si="110"/>
        <v>0</v>
      </c>
      <c r="O1578" s="13">
        <f t="shared" si="111"/>
        <v>0</v>
      </c>
    </row>
    <row r="1579" spans="2:15">
      <c r="B1579" s="12">
        <v>14</v>
      </c>
      <c r="C1579" s="4" t="s">
        <v>151</v>
      </c>
      <c r="D1579" s="4" t="s">
        <v>150</v>
      </c>
      <c r="E1579" s="4">
        <v>2</v>
      </c>
      <c r="F1579" s="4">
        <v>8</v>
      </c>
      <c r="G1579" s="4">
        <v>8</v>
      </c>
      <c r="H1579" s="115"/>
      <c r="I1579" s="115"/>
      <c r="J1579" s="115"/>
      <c r="K1579" s="115">
        <v>0</v>
      </c>
      <c r="L1579" s="12">
        <f t="shared" si="108"/>
        <v>0</v>
      </c>
      <c r="M1579" s="4">
        <f t="shared" si="109"/>
        <v>0</v>
      </c>
      <c r="N1579" s="4">
        <f t="shared" si="110"/>
        <v>0</v>
      </c>
      <c r="O1579" s="13">
        <f t="shared" si="111"/>
        <v>0</v>
      </c>
    </row>
    <row r="1580" spans="2:15">
      <c r="B1580" s="12">
        <v>14</v>
      </c>
      <c r="C1580" s="4" t="s">
        <v>151</v>
      </c>
      <c r="D1580" s="4" t="s">
        <v>150</v>
      </c>
      <c r="E1580" s="4">
        <v>2</v>
      </c>
      <c r="F1580" s="4">
        <v>8</v>
      </c>
      <c r="G1580" s="4">
        <v>9</v>
      </c>
      <c r="H1580" s="115"/>
      <c r="I1580" s="115"/>
      <c r="J1580" s="115"/>
      <c r="K1580" s="115">
        <v>0</v>
      </c>
      <c r="L1580" s="12">
        <f t="shared" si="108"/>
        <v>0</v>
      </c>
      <c r="M1580" s="4">
        <f t="shared" si="109"/>
        <v>0</v>
      </c>
      <c r="N1580" s="4">
        <f t="shared" si="110"/>
        <v>0</v>
      </c>
      <c r="O1580" s="13">
        <f t="shared" si="111"/>
        <v>0</v>
      </c>
    </row>
    <row r="1581" spans="2:15" ht="13.8" thickBot="1">
      <c r="B1581" s="14">
        <v>14</v>
      </c>
      <c r="C1581" s="15" t="s">
        <v>151</v>
      </c>
      <c r="D1581" s="15" t="s">
        <v>150</v>
      </c>
      <c r="E1581" s="15">
        <v>2</v>
      </c>
      <c r="F1581" s="15">
        <v>8</v>
      </c>
      <c r="G1581" s="15">
        <v>10</v>
      </c>
      <c r="H1581" s="121"/>
      <c r="I1581" s="121"/>
      <c r="J1581" s="121"/>
      <c r="K1581" s="121">
        <v>0</v>
      </c>
      <c r="L1581" s="14">
        <f t="shared" si="108"/>
        <v>0</v>
      </c>
      <c r="M1581" s="15">
        <f t="shared" si="109"/>
        <v>0</v>
      </c>
      <c r="N1581" s="15">
        <f t="shared" si="110"/>
        <v>0</v>
      </c>
      <c r="O1581" s="16">
        <f t="shared" si="111"/>
        <v>0</v>
      </c>
    </row>
    <row r="1582" spans="2:15">
      <c r="B1582" s="9">
        <v>14</v>
      </c>
      <c r="C1582" s="10" t="s">
        <v>151</v>
      </c>
      <c r="D1582" s="10" t="s">
        <v>149</v>
      </c>
      <c r="E1582" s="93">
        <v>3</v>
      </c>
      <c r="F1582" s="93">
        <v>10</v>
      </c>
      <c r="G1582" s="10">
        <v>1</v>
      </c>
      <c r="H1582" s="120">
        <v>0.13299999999992451</v>
      </c>
      <c r="I1582" s="120"/>
      <c r="J1582" s="120">
        <v>0.63299999999992451</v>
      </c>
      <c r="K1582" s="120">
        <v>0.76599999999984902</v>
      </c>
      <c r="L1582" s="9">
        <f t="shared" si="108"/>
        <v>5.4229909863368307E-2</v>
      </c>
      <c r="M1582" s="10">
        <f t="shared" si="109"/>
        <v>0</v>
      </c>
      <c r="N1582" s="10">
        <f t="shared" si="110"/>
        <v>0.2129861847366481</v>
      </c>
      <c r="O1582" s="11">
        <f t="shared" si="111"/>
        <v>0.24699069924151265</v>
      </c>
    </row>
    <row r="1583" spans="2:15">
      <c r="B1583" s="12">
        <v>14</v>
      </c>
      <c r="C1583" s="4" t="s">
        <v>151</v>
      </c>
      <c r="D1583" s="4" t="s">
        <v>149</v>
      </c>
      <c r="E1583" s="4">
        <v>3</v>
      </c>
      <c r="F1583" s="4">
        <v>10</v>
      </c>
      <c r="G1583" s="4">
        <v>2</v>
      </c>
      <c r="H1583" s="115">
        <v>0.91600000000016735</v>
      </c>
      <c r="I1583" s="115">
        <v>0.9170000000001437</v>
      </c>
      <c r="J1583" s="115">
        <v>1.1340000000001282</v>
      </c>
      <c r="K1583" s="115">
        <v>2.9670000000004393</v>
      </c>
      <c r="L1583" s="12">
        <f t="shared" si="108"/>
        <v>0.28239550474256353</v>
      </c>
      <c r="M1583" s="4">
        <f t="shared" si="109"/>
        <v>0.28262211287809513</v>
      </c>
      <c r="N1583" s="4">
        <f t="shared" si="110"/>
        <v>0.32919441508847719</v>
      </c>
      <c r="O1583" s="13">
        <f t="shared" si="111"/>
        <v>0.59846220047419862</v>
      </c>
    </row>
    <row r="1584" spans="2:15">
      <c r="B1584" s="12">
        <v>14</v>
      </c>
      <c r="C1584" s="4" t="s">
        <v>151</v>
      </c>
      <c r="D1584" s="4" t="s">
        <v>149</v>
      </c>
      <c r="E1584" s="4">
        <v>3</v>
      </c>
      <c r="F1584" s="4">
        <v>10</v>
      </c>
      <c r="G1584" s="4">
        <v>3</v>
      </c>
      <c r="H1584" s="115">
        <v>0.10000000000002274</v>
      </c>
      <c r="I1584" s="115">
        <v>0.66700000000003001</v>
      </c>
      <c r="J1584" s="115">
        <v>0.21699999999987085</v>
      </c>
      <c r="K1584" s="115">
        <v>0.9839999999999236</v>
      </c>
      <c r="L1584" s="12">
        <f t="shared" si="108"/>
        <v>4.1392685158234015E-2</v>
      </c>
      <c r="M1584" s="4">
        <f t="shared" si="109"/>
        <v>0.22193559982801314</v>
      </c>
      <c r="N1584" s="4">
        <f t="shared" si="110"/>
        <v>8.5290578230018899E-2</v>
      </c>
      <c r="O1584" s="13">
        <f t="shared" si="111"/>
        <v>0.29754166781814312</v>
      </c>
    </row>
    <row r="1585" spans="2:15">
      <c r="B1585" s="12">
        <v>14</v>
      </c>
      <c r="C1585" s="4" t="s">
        <v>151</v>
      </c>
      <c r="D1585" s="4" t="s">
        <v>149</v>
      </c>
      <c r="E1585" s="4">
        <v>3</v>
      </c>
      <c r="F1585" s="4">
        <v>10</v>
      </c>
      <c r="G1585" s="4">
        <v>4</v>
      </c>
      <c r="H1585" s="115"/>
      <c r="I1585" s="115"/>
      <c r="J1585" s="115"/>
      <c r="K1585" s="115">
        <v>0</v>
      </c>
      <c r="L1585" s="12">
        <f t="shared" si="108"/>
        <v>0</v>
      </c>
      <c r="M1585" s="4">
        <f t="shared" si="109"/>
        <v>0</v>
      </c>
      <c r="N1585" s="4">
        <f t="shared" si="110"/>
        <v>0</v>
      </c>
      <c r="O1585" s="13">
        <f t="shared" si="111"/>
        <v>0</v>
      </c>
    </row>
    <row r="1586" spans="2:15">
      <c r="B1586" s="12">
        <v>14</v>
      </c>
      <c r="C1586" s="4" t="s">
        <v>151</v>
      </c>
      <c r="D1586" s="4" t="s">
        <v>149</v>
      </c>
      <c r="E1586" s="4">
        <v>3</v>
      </c>
      <c r="F1586" s="4">
        <v>10</v>
      </c>
      <c r="G1586" s="4">
        <v>5</v>
      </c>
      <c r="H1586" s="115"/>
      <c r="I1586" s="115"/>
      <c r="J1586" s="115"/>
      <c r="K1586" s="115">
        <v>0</v>
      </c>
      <c r="L1586" s="12">
        <f t="shared" si="108"/>
        <v>0</v>
      </c>
      <c r="M1586" s="4">
        <f t="shared" si="109"/>
        <v>0</v>
      </c>
      <c r="N1586" s="4">
        <f t="shared" si="110"/>
        <v>0</v>
      </c>
      <c r="O1586" s="13">
        <f t="shared" si="111"/>
        <v>0</v>
      </c>
    </row>
    <row r="1587" spans="2:15">
      <c r="B1587" s="12">
        <v>14</v>
      </c>
      <c r="C1587" s="4" t="s">
        <v>151</v>
      </c>
      <c r="D1587" s="4" t="s">
        <v>149</v>
      </c>
      <c r="E1587" s="4">
        <v>3</v>
      </c>
      <c r="F1587" s="4">
        <v>10</v>
      </c>
      <c r="G1587" s="4">
        <v>6</v>
      </c>
      <c r="H1587" s="115"/>
      <c r="I1587" s="115"/>
      <c r="J1587" s="115"/>
      <c r="K1587" s="115">
        <v>0</v>
      </c>
      <c r="L1587" s="12">
        <f t="shared" si="108"/>
        <v>0</v>
      </c>
      <c r="M1587" s="4">
        <f t="shared" si="109"/>
        <v>0</v>
      </c>
      <c r="N1587" s="4">
        <f t="shared" si="110"/>
        <v>0</v>
      </c>
      <c r="O1587" s="13">
        <f t="shared" si="111"/>
        <v>0</v>
      </c>
    </row>
    <row r="1588" spans="2:15">
      <c r="B1588" s="12">
        <v>14</v>
      </c>
      <c r="C1588" s="4" t="s">
        <v>151</v>
      </c>
      <c r="D1588" s="4" t="s">
        <v>149</v>
      </c>
      <c r="E1588" s="4">
        <v>3</v>
      </c>
      <c r="F1588" s="4">
        <v>10</v>
      </c>
      <c r="G1588" s="4">
        <v>7</v>
      </c>
      <c r="H1588" s="115"/>
      <c r="I1588" s="115"/>
      <c r="J1588" s="115"/>
      <c r="K1588" s="115">
        <v>0</v>
      </c>
      <c r="L1588" s="12">
        <f t="shared" si="108"/>
        <v>0</v>
      </c>
      <c r="M1588" s="4">
        <f t="shared" si="109"/>
        <v>0</v>
      </c>
      <c r="N1588" s="4">
        <f t="shared" si="110"/>
        <v>0</v>
      </c>
      <c r="O1588" s="13">
        <f t="shared" si="111"/>
        <v>0</v>
      </c>
    </row>
    <row r="1589" spans="2:15">
      <c r="B1589" s="12">
        <v>14</v>
      </c>
      <c r="C1589" s="4" t="s">
        <v>151</v>
      </c>
      <c r="D1589" s="4" t="s">
        <v>149</v>
      </c>
      <c r="E1589" s="4">
        <v>3</v>
      </c>
      <c r="F1589" s="4">
        <v>10</v>
      </c>
      <c r="G1589" s="4">
        <v>8</v>
      </c>
      <c r="H1589" s="115"/>
      <c r="I1589" s="115"/>
      <c r="J1589" s="115"/>
      <c r="K1589" s="115">
        <v>0</v>
      </c>
      <c r="L1589" s="12">
        <f t="shared" si="108"/>
        <v>0</v>
      </c>
      <c r="M1589" s="4">
        <f t="shared" si="109"/>
        <v>0</v>
      </c>
      <c r="N1589" s="4">
        <f t="shared" si="110"/>
        <v>0</v>
      </c>
      <c r="O1589" s="13">
        <f t="shared" si="111"/>
        <v>0</v>
      </c>
    </row>
    <row r="1590" spans="2:15">
      <c r="B1590" s="12">
        <v>14</v>
      </c>
      <c r="C1590" s="4" t="s">
        <v>151</v>
      </c>
      <c r="D1590" s="4" t="s">
        <v>149</v>
      </c>
      <c r="E1590" s="4">
        <v>3</v>
      </c>
      <c r="F1590" s="4">
        <v>10</v>
      </c>
      <c r="G1590" s="4">
        <v>9</v>
      </c>
      <c r="H1590" s="115"/>
      <c r="I1590" s="115"/>
      <c r="J1590" s="115"/>
      <c r="K1590" s="115">
        <v>0</v>
      </c>
      <c r="L1590" s="12">
        <f t="shared" si="108"/>
        <v>0</v>
      </c>
      <c r="M1590" s="4">
        <f t="shared" si="109"/>
        <v>0</v>
      </c>
      <c r="N1590" s="4">
        <f t="shared" si="110"/>
        <v>0</v>
      </c>
      <c r="O1590" s="13">
        <f t="shared" si="111"/>
        <v>0</v>
      </c>
    </row>
    <row r="1591" spans="2:15" ht="13.8" thickBot="1">
      <c r="B1591" s="14">
        <v>14</v>
      </c>
      <c r="C1591" s="15" t="s">
        <v>151</v>
      </c>
      <c r="D1591" s="15" t="s">
        <v>149</v>
      </c>
      <c r="E1591" s="15">
        <v>3</v>
      </c>
      <c r="F1591" s="15">
        <v>10</v>
      </c>
      <c r="G1591" s="15">
        <v>10</v>
      </c>
      <c r="H1591" s="121"/>
      <c r="I1591" s="121"/>
      <c r="J1591" s="121"/>
      <c r="K1591" s="121">
        <v>0</v>
      </c>
      <c r="L1591" s="14">
        <f t="shared" si="108"/>
        <v>0</v>
      </c>
      <c r="M1591" s="15">
        <f t="shared" si="109"/>
        <v>0</v>
      </c>
      <c r="N1591" s="15">
        <f t="shared" si="110"/>
        <v>0</v>
      </c>
      <c r="O1591" s="16">
        <f t="shared" si="111"/>
        <v>0</v>
      </c>
    </row>
    <row r="1592" spans="2:15">
      <c r="B1592" s="9">
        <v>14</v>
      </c>
      <c r="C1592" s="10" t="s">
        <v>151</v>
      </c>
      <c r="D1592" s="10" t="s">
        <v>154</v>
      </c>
      <c r="E1592" s="93">
        <v>4</v>
      </c>
      <c r="F1592" s="93">
        <v>4</v>
      </c>
      <c r="G1592" s="10">
        <v>1</v>
      </c>
      <c r="H1592" s="120">
        <v>0.68300000000004957</v>
      </c>
      <c r="I1592" s="120"/>
      <c r="J1592" s="120">
        <v>0.33300000000002683</v>
      </c>
      <c r="K1592" s="120">
        <v>1.0160000000000764</v>
      </c>
      <c r="L1592" s="9">
        <f t="shared" si="108"/>
        <v>0.22608411597583664</v>
      </c>
      <c r="M1592" s="10">
        <f t="shared" si="109"/>
        <v>0</v>
      </c>
      <c r="N1592" s="10">
        <f t="shared" si="110"/>
        <v>0.12483014941386794</v>
      </c>
      <c r="O1592" s="11">
        <f t="shared" si="111"/>
        <v>0.30449052777350416</v>
      </c>
    </row>
    <row r="1593" spans="2:15">
      <c r="B1593" s="12">
        <v>14</v>
      </c>
      <c r="C1593" s="4" t="s">
        <v>151</v>
      </c>
      <c r="D1593" s="4" t="s">
        <v>154</v>
      </c>
      <c r="E1593" s="4">
        <v>4</v>
      </c>
      <c r="F1593" s="4">
        <v>4</v>
      </c>
      <c r="G1593" s="4">
        <v>2</v>
      </c>
      <c r="H1593" s="115">
        <v>0.6330000000000382</v>
      </c>
      <c r="I1593" s="115">
        <v>0.65000000000009095</v>
      </c>
      <c r="J1593" s="115">
        <v>0.71800000000001774</v>
      </c>
      <c r="K1593" s="115">
        <v>2.0010000000001469</v>
      </c>
      <c r="L1593" s="12">
        <f t="shared" si="108"/>
        <v>0.21298618473667832</v>
      </c>
      <c r="M1593" s="4">
        <f t="shared" si="109"/>
        <v>0.21748394421393022</v>
      </c>
      <c r="N1593" s="4">
        <f t="shared" si="110"/>
        <v>0.23502315949522798</v>
      </c>
      <c r="O1593" s="13">
        <f t="shared" si="111"/>
        <v>0.47726599542487386</v>
      </c>
    </row>
    <row r="1594" spans="2:15">
      <c r="B1594" s="12">
        <v>14</v>
      </c>
      <c r="C1594" s="4" t="s">
        <v>151</v>
      </c>
      <c r="D1594" s="4" t="s">
        <v>154</v>
      </c>
      <c r="E1594" s="4">
        <v>4</v>
      </c>
      <c r="F1594" s="4">
        <v>4</v>
      </c>
      <c r="G1594" s="4">
        <v>3</v>
      </c>
      <c r="H1594" s="115"/>
      <c r="I1594" s="115"/>
      <c r="J1594" s="115">
        <v>0.85099999999999909</v>
      </c>
      <c r="K1594" s="115">
        <v>0.85099999999999909</v>
      </c>
      <c r="L1594" s="12">
        <f t="shared" si="108"/>
        <v>0</v>
      </c>
      <c r="M1594" s="4">
        <f t="shared" si="109"/>
        <v>0</v>
      </c>
      <c r="N1594" s="4">
        <f t="shared" si="110"/>
        <v>0.26740641875290388</v>
      </c>
      <c r="O1594" s="13">
        <f t="shared" si="111"/>
        <v>0.26740641875290388</v>
      </c>
    </row>
    <row r="1595" spans="2:15">
      <c r="B1595" s="12">
        <v>14</v>
      </c>
      <c r="C1595" s="4" t="s">
        <v>151</v>
      </c>
      <c r="D1595" s="4" t="s">
        <v>154</v>
      </c>
      <c r="E1595" s="4">
        <v>4</v>
      </c>
      <c r="F1595" s="4">
        <v>4</v>
      </c>
      <c r="G1595" s="4">
        <v>4</v>
      </c>
      <c r="H1595" s="115">
        <v>0.34999999999990905</v>
      </c>
      <c r="I1595" s="115">
        <v>0.41700000000003001</v>
      </c>
      <c r="J1595" s="115"/>
      <c r="K1595" s="115">
        <v>0.76699999999993906</v>
      </c>
      <c r="L1595" s="12">
        <f t="shared" si="108"/>
        <v>0.13033376849497685</v>
      </c>
      <c r="M1595" s="4">
        <f t="shared" si="109"/>
        <v>0.1513698502474696</v>
      </c>
      <c r="N1595" s="4">
        <f t="shared" si="110"/>
        <v>0</v>
      </c>
      <c r="O1595" s="13">
        <f t="shared" si="111"/>
        <v>0.24723654950674911</v>
      </c>
    </row>
    <row r="1596" spans="2:15">
      <c r="B1596" s="12">
        <v>14</v>
      </c>
      <c r="C1596" s="4" t="s">
        <v>151</v>
      </c>
      <c r="D1596" s="4" t="s">
        <v>154</v>
      </c>
      <c r="E1596" s="4">
        <v>4</v>
      </c>
      <c r="F1596" s="4">
        <v>4</v>
      </c>
      <c r="G1596" s="4">
        <v>5</v>
      </c>
      <c r="H1596" s="115">
        <v>0.11599999999998545</v>
      </c>
      <c r="I1596" s="115"/>
      <c r="J1596" s="115"/>
      <c r="K1596" s="115">
        <v>0.11599999999998545</v>
      </c>
      <c r="L1596" s="12">
        <f t="shared" si="108"/>
        <v>4.7664194601554279E-2</v>
      </c>
      <c r="M1596" s="4">
        <f t="shared" si="109"/>
        <v>0</v>
      </c>
      <c r="N1596" s="4">
        <f t="shared" si="110"/>
        <v>0</v>
      </c>
      <c r="O1596" s="13">
        <f t="shared" si="111"/>
        <v>4.7664194601554279E-2</v>
      </c>
    </row>
    <row r="1597" spans="2:15">
      <c r="B1597" s="12">
        <v>14</v>
      </c>
      <c r="C1597" s="4" t="s">
        <v>151</v>
      </c>
      <c r="D1597" s="4" t="s">
        <v>154</v>
      </c>
      <c r="E1597" s="4">
        <v>4</v>
      </c>
      <c r="F1597" s="4">
        <v>4</v>
      </c>
      <c r="G1597" s="4">
        <v>6</v>
      </c>
      <c r="H1597" s="115"/>
      <c r="I1597" s="115"/>
      <c r="J1597" s="115"/>
      <c r="K1597" s="115">
        <v>0</v>
      </c>
      <c r="L1597" s="12">
        <f t="shared" si="108"/>
        <v>0</v>
      </c>
      <c r="M1597" s="4">
        <f t="shared" si="109"/>
        <v>0</v>
      </c>
      <c r="N1597" s="4">
        <f t="shared" si="110"/>
        <v>0</v>
      </c>
      <c r="O1597" s="13">
        <f t="shared" si="111"/>
        <v>0</v>
      </c>
    </row>
    <row r="1598" spans="2:15">
      <c r="B1598" s="12">
        <v>14</v>
      </c>
      <c r="C1598" s="4" t="s">
        <v>151</v>
      </c>
      <c r="D1598" s="4" t="s">
        <v>154</v>
      </c>
      <c r="E1598" s="4">
        <v>4</v>
      </c>
      <c r="F1598" s="4">
        <v>4</v>
      </c>
      <c r="G1598" s="4">
        <v>7</v>
      </c>
      <c r="H1598" s="115"/>
      <c r="I1598" s="115"/>
      <c r="J1598" s="115"/>
      <c r="K1598" s="115">
        <v>0</v>
      </c>
      <c r="L1598" s="12">
        <f t="shared" si="108"/>
        <v>0</v>
      </c>
      <c r="M1598" s="4">
        <f t="shared" si="109"/>
        <v>0</v>
      </c>
      <c r="N1598" s="4">
        <f t="shared" si="110"/>
        <v>0</v>
      </c>
      <c r="O1598" s="13">
        <f t="shared" si="111"/>
        <v>0</v>
      </c>
    </row>
    <row r="1599" spans="2:15">
      <c r="B1599" s="12">
        <v>14</v>
      </c>
      <c r="C1599" s="4" t="s">
        <v>151</v>
      </c>
      <c r="D1599" s="4" t="s">
        <v>154</v>
      </c>
      <c r="E1599" s="4">
        <v>4</v>
      </c>
      <c r="F1599" s="4">
        <v>4</v>
      </c>
      <c r="G1599" s="4">
        <v>8</v>
      </c>
      <c r="H1599" s="115"/>
      <c r="I1599" s="115"/>
      <c r="J1599" s="115"/>
      <c r="K1599" s="115">
        <v>0</v>
      </c>
      <c r="L1599" s="12">
        <f t="shared" si="108"/>
        <v>0</v>
      </c>
      <c r="M1599" s="4">
        <f t="shared" si="109"/>
        <v>0</v>
      </c>
      <c r="N1599" s="4">
        <f t="shared" si="110"/>
        <v>0</v>
      </c>
      <c r="O1599" s="13">
        <f t="shared" si="111"/>
        <v>0</v>
      </c>
    </row>
    <row r="1600" spans="2:15">
      <c r="B1600" s="12">
        <v>14</v>
      </c>
      <c r="C1600" s="4" t="s">
        <v>151</v>
      </c>
      <c r="D1600" s="4" t="s">
        <v>154</v>
      </c>
      <c r="E1600" s="4">
        <v>4</v>
      </c>
      <c r="F1600" s="4">
        <v>4</v>
      </c>
      <c r="G1600" s="4">
        <v>9</v>
      </c>
      <c r="H1600" s="115"/>
      <c r="I1600" s="115"/>
      <c r="J1600" s="115"/>
      <c r="K1600" s="115">
        <v>0</v>
      </c>
      <c r="L1600" s="12">
        <f t="shared" si="108"/>
        <v>0</v>
      </c>
      <c r="M1600" s="4">
        <f t="shared" si="109"/>
        <v>0</v>
      </c>
      <c r="N1600" s="4">
        <f t="shared" si="110"/>
        <v>0</v>
      </c>
      <c r="O1600" s="13">
        <f t="shared" si="111"/>
        <v>0</v>
      </c>
    </row>
    <row r="1601" spans="2:15" ht="13.8" thickBot="1">
      <c r="B1601" s="14">
        <v>14</v>
      </c>
      <c r="C1601" s="15" t="s">
        <v>151</v>
      </c>
      <c r="D1601" s="15" t="s">
        <v>154</v>
      </c>
      <c r="E1601" s="15">
        <v>4</v>
      </c>
      <c r="F1601" s="15">
        <v>4</v>
      </c>
      <c r="G1601" s="15">
        <v>10</v>
      </c>
      <c r="H1601" s="121"/>
      <c r="I1601" s="121"/>
      <c r="J1601" s="121"/>
      <c r="K1601" s="121">
        <v>0</v>
      </c>
      <c r="L1601" s="14">
        <f t="shared" si="108"/>
        <v>0</v>
      </c>
      <c r="M1601" s="15">
        <f t="shared" si="109"/>
        <v>0</v>
      </c>
      <c r="N1601" s="15">
        <f t="shared" si="110"/>
        <v>0</v>
      </c>
      <c r="O1601" s="16">
        <f t="shared" si="111"/>
        <v>0</v>
      </c>
    </row>
    <row r="1602" spans="2:15">
      <c r="B1602" s="9">
        <v>14</v>
      </c>
      <c r="C1602" s="10" t="s">
        <v>151</v>
      </c>
      <c r="D1602" s="10" t="s">
        <v>149</v>
      </c>
      <c r="E1602" s="93">
        <v>5</v>
      </c>
      <c r="F1602" s="93">
        <v>12</v>
      </c>
      <c r="G1602" s="10">
        <v>1</v>
      </c>
      <c r="H1602" s="120">
        <v>0.44999999999993179</v>
      </c>
      <c r="I1602" s="120">
        <v>0.11700000000007549</v>
      </c>
      <c r="J1602" s="120">
        <v>0.60099999999999909</v>
      </c>
      <c r="K1602" s="120">
        <v>1.1680000000000064</v>
      </c>
      <c r="L1602" s="9">
        <f t="shared" si="108"/>
        <v>0.16136800223495446</v>
      </c>
      <c r="M1602" s="10">
        <f t="shared" si="109"/>
        <v>4.8053173115638406E-2</v>
      </c>
      <c r="N1602" s="10">
        <f t="shared" si="110"/>
        <v>0.20439133191929948</v>
      </c>
      <c r="O1602" s="11">
        <f t="shared" si="111"/>
        <v>0.33605927786635059</v>
      </c>
    </row>
    <row r="1603" spans="2:15">
      <c r="B1603" s="12">
        <v>14</v>
      </c>
      <c r="C1603" s="4" t="s">
        <v>151</v>
      </c>
      <c r="D1603" s="4" t="s">
        <v>149</v>
      </c>
      <c r="E1603" s="4">
        <v>5</v>
      </c>
      <c r="F1603" s="4">
        <v>12</v>
      </c>
      <c r="G1603" s="4">
        <v>2</v>
      </c>
      <c r="H1603" s="115">
        <v>0.34900000000004638</v>
      </c>
      <c r="I1603" s="115">
        <v>0.39999999999997726</v>
      </c>
      <c r="J1603" s="115">
        <v>1.41700000000003</v>
      </c>
      <c r="K1603" s="115">
        <v>2.1660000000000537</v>
      </c>
      <c r="L1603" s="12">
        <f t="shared" si="108"/>
        <v>0.13001194967191917</v>
      </c>
      <c r="M1603" s="4">
        <f t="shared" si="109"/>
        <v>0.14612803567823096</v>
      </c>
      <c r="N1603" s="4">
        <f t="shared" si="110"/>
        <v>0.38327665040765574</v>
      </c>
      <c r="O1603" s="13">
        <f t="shared" si="111"/>
        <v>0.50051091052634444</v>
      </c>
    </row>
    <row r="1604" spans="2:15">
      <c r="B1604" s="12">
        <v>14</v>
      </c>
      <c r="C1604" s="4" t="s">
        <v>151</v>
      </c>
      <c r="D1604" s="4" t="s">
        <v>149</v>
      </c>
      <c r="E1604" s="4">
        <v>5</v>
      </c>
      <c r="F1604" s="4">
        <v>12</v>
      </c>
      <c r="G1604" s="4">
        <v>3</v>
      </c>
      <c r="H1604" s="115"/>
      <c r="I1604" s="115"/>
      <c r="J1604" s="115"/>
      <c r="K1604" s="115">
        <v>0</v>
      </c>
      <c r="L1604" s="12">
        <f t="shared" si="108"/>
        <v>0</v>
      </c>
      <c r="M1604" s="4">
        <f t="shared" si="109"/>
        <v>0</v>
      </c>
      <c r="N1604" s="4">
        <f t="shared" si="110"/>
        <v>0</v>
      </c>
      <c r="O1604" s="13">
        <f t="shared" si="111"/>
        <v>0</v>
      </c>
    </row>
    <row r="1605" spans="2:15">
      <c r="B1605" s="12">
        <v>14</v>
      </c>
      <c r="C1605" s="4" t="s">
        <v>151</v>
      </c>
      <c r="D1605" s="4" t="s">
        <v>149</v>
      </c>
      <c r="E1605" s="4">
        <v>5</v>
      </c>
      <c r="F1605" s="4">
        <v>12</v>
      </c>
      <c r="G1605" s="4">
        <v>4</v>
      </c>
      <c r="H1605" s="115">
        <v>0.56600000000003092</v>
      </c>
      <c r="I1605" s="115"/>
      <c r="J1605" s="115"/>
      <c r="K1605" s="115">
        <v>0.56600000000003092</v>
      </c>
      <c r="L1605" s="12">
        <f t="shared" si="108"/>
        <v>0.19479175772193316</v>
      </c>
      <c r="M1605" s="4">
        <f t="shared" si="109"/>
        <v>0</v>
      </c>
      <c r="N1605" s="4">
        <f t="shared" si="110"/>
        <v>0</v>
      </c>
      <c r="O1605" s="13">
        <f t="shared" si="111"/>
        <v>0.19479175772193316</v>
      </c>
    </row>
    <row r="1606" spans="2:15">
      <c r="B1606" s="12">
        <v>14</v>
      </c>
      <c r="C1606" s="4" t="s">
        <v>151</v>
      </c>
      <c r="D1606" s="4" t="s">
        <v>149</v>
      </c>
      <c r="E1606" s="4">
        <v>5</v>
      </c>
      <c r="F1606" s="4">
        <v>12</v>
      </c>
      <c r="G1606" s="4">
        <v>5</v>
      </c>
      <c r="H1606" s="115"/>
      <c r="I1606" s="115"/>
      <c r="J1606" s="115"/>
      <c r="K1606" s="115">
        <v>0</v>
      </c>
      <c r="L1606" s="12">
        <f t="shared" si="108"/>
        <v>0</v>
      </c>
      <c r="M1606" s="4">
        <f t="shared" si="109"/>
        <v>0</v>
      </c>
      <c r="N1606" s="4">
        <f t="shared" si="110"/>
        <v>0</v>
      </c>
      <c r="O1606" s="13">
        <f t="shared" si="111"/>
        <v>0</v>
      </c>
    </row>
    <row r="1607" spans="2:15">
      <c r="B1607" s="12">
        <v>14</v>
      </c>
      <c r="C1607" s="4" t="s">
        <v>151</v>
      </c>
      <c r="D1607" s="4" t="s">
        <v>149</v>
      </c>
      <c r="E1607" s="4">
        <v>5</v>
      </c>
      <c r="F1607" s="4">
        <v>12</v>
      </c>
      <c r="G1607" s="4">
        <v>6</v>
      </c>
      <c r="H1607" s="115"/>
      <c r="I1607" s="115"/>
      <c r="J1607" s="115"/>
      <c r="K1607" s="115">
        <v>0</v>
      </c>
      <c r="L1607" s="12">
        <f t="shared" si="108"/>
        <v>0</v>
      </c>
      <c r="M1607" s="4">
        <f t="shared" si="109"/>
        <v>0</v>
      </c>
      <c r="N1607" s="4">
        <f t="shared" si="110"/>
        <v>0</v>
      </c>
      <c r="O1607" s="13">
        <f t="shared" si="111"/>
        <v>0</v>
      </c>
    </row>
    <row r="1608" spans="2:15">
      <c r="B1608" s="12">
        <v>14</v>
      </c>
      <c r="C1608" s="4" t="s">
        <v>151</v>
      </c>
      <c r="D1608" s="4" t="s">
        <v>149</v>
      </c>
      <c r="E1608" s="4">
        <v>5</v>
      </c>
      <c r="F1608" s="4">
        <v>12</v>
      </c>
      <c r="G1608" s="4">
        <v>7</v>
      </c>
      <c r="H1608" s="115"/>
      <c r="I1608" s="115"/>
      <c r="J1608" s="115"/>
      <c r="K1608" s="115">
        <v>0</v>
      </c>
      <c r="L1608" s="12">
        <f t="shared" si="108"/>
        <v>0</v>
      </c>
      <c r="M1608" s="4">
        <f t="shared" si="109"/>
        <v>0</v>
      </c>
      <c r="N1608" s="4">
        <f t="shared" si="110"/>
        <v>0</v>
      </c>
      <c r="O1608" s="13">
        <f t="shared" si="111"/>
        <v>0</v>
      </c>
    </row>
    <row r="1609" spans="2:15">
      <c r="B1609" s="12">
        <v>14</v>
      </c>
      <c r="C1609" s="4" t="s">
        <v>151</v>
      </c>
      <c r="D1609" s="4" t="s">
        <v>149</v>
      </c>
      <c r="E1609" s="4">
        <v>5</v>
      </c>
      <c r="F1609" s="4">
        <v>12</v>
      </c>
      <c r="G1609" s="4">
        <v>8</v>
      </c>
      <c r="H1609" s="115"/>
      <c r="I1609" s="115"/>
      <c r="J1609" s="115"/>
      <c r="K1609" s="115">
        <v>0</v>
      </c>
      <c r="L1609" s="12">
        <f t="shared" si="108"/>
        <v>0</v>
      </c>
      <c r="M1609" s="4">
        <f t="shared" si="109"/>
        <v>0</v>
      </c>
      <c r="N1609" s="4">
        <f t="shared" si="110"/>
        <v>0</v>
      </c>
      <c r="O1609" s="13">
        <f t="shared" si="111"/>
        <v>0</v>
      </c>
    </row>
    <row r="1610" spans="2:15">
      <c r="B1610" s="12">
        <v>14</v>
      </c>
      <c r="C1610" s="4" t="s">
        <v>151</v>
      </c>
      <c r="D1610" s="4" t="s">
        <v>149</v>
      </c>
      <c r="E1610" s="4">
        <v>5</v>
      </c>
      <c r="F1610" s="4">
        <v>12</v>
      </c>
      <c r="G1610" s="4">
        <v>9</v>
      </c>
      <c r="H1610" s="115"/>
      <c r="I1610" s="115"/>
      <c r="J1610" s="115"/>
      <c r="K1610" s="115">
        <v>0</v>
      </c>
      <c r="L1610" s="12">
        <f t="shared" si="108"/>
        <v>0</v>
      </c>
      <c r="M1610" s="4">
        <f t="shared" si="109"/>
        <v>0</v>
      </c>
      <c r="N1610" s="4">
        <f t="shared" si="110"/>
        <v>0</v>
      </c>
      <c r="O1610" s="13">
        <f t="shared" si="111"/>
        <v>0</v>
      </c>
    </row>
    <row r="1611" spans="2:15" ht="13.8" thickBot="1">
      <c r="B1611" s="14">
        <v>14</v>
      </c>
      <c r="C1611" s="15" t="s">
        <v>151</v>
      </c>
      <c r="D1611" s="15" t="s">
        <v>149</v>
      </c>
      <c r="E1611" s="15">
        <v>5</v>
      </c>
      <c r="F1611" s="15">
        <v>12</v>
      </c>
      <c r="G1611" s="15">
        <v>10</v>
      </c>
      <c r="H1611" s="121"/>
      <c r="I1611" s="121"/>
      <c r="J1611" s="121"/>
      <c r="K1611" s="121">
        <v>0</v>
      </c>
      <c r="L1611" s="14">
        <f t="shared" si="108"/>
        <v>0</v>
      </c>
      <c r="M1611" s="15">
        <f t="shared" si="109"/>
        <v>0</v>
      </c>
      <c r="N1611" s="15">
        <f t="shared" si="110"/>
        <v>0</v>
      </c>
      <c r="O1611" s="16">
        <f t="shared" si="111"/>
        <v>0</v>
      </c>
    </row>
    <row r="1612" spans="2:15">
      <c r="B1612" s="9">
        <v>14</v>
      </c>
      <c r="C1612" s="10" t="s">
        <v>151</v>
      </c>
      <c r="D1612" s="10" t="s">
        <v>154</v>
      </c>
      <c r="E1612" s="93">
        <v>6</v>
      </c>
      <c r="F1612" s="93">
        <v>2</v>
      </c>
      <c r="G1612" s="10">
        <v>1</v>
      </c>
      <c r="H1612" s="120">
        <v>0.94800000000006435</v>
      </c>
      <c r="I1612" s="120">
        <v>0.117999999999995</v>
      </c>
      <c r="J1612" s="120">
        <v>0.36699999999999022</v>
      </c>
      <c r="K1612" s="120">
        <v>1.4330000000000496</v>
      </c>
      <c r="L1612" s="9">
        <f t="shared" si="108"/>
        <v>0.28958895254261108</v>
      </c>
      <c r="M1612" s="10">
        <f t="shared" si="109"/>
        <v>4.8441803550402548E-2</v>
      </c>
      <c r="N1612" s="10">
        <f t="shared" si="110"/>
        <v>0.13576851456781916</v>
      </c>
      <c r="O1612" s="11">
        <f t="shared" si="111"/>
        <v>0.38614210893082734</v>
      </c>
    </row>
    <row r="1613" spans="2:15">
      <c r="B1613" s="12">
        <v>14</v>
      </c>
      <c r="C1613" s="4" t="s">
        <v>151</v>
      </c>
      <c r="D1613" s="4" t="s">
        <v>154</v>
      </c>
      <c r="E1613" s="4">
        <v>6</v>
      </c>
      <c r="F1613" s="4">
        <v>2</v>
      </c>
      <c r="G1613" s="4">
        <v>2</v>
      </c>
      <c r="H1613" s="115">
        <v>1.4329999999999359</v>
      </c>
      <c r="I1613" s="115">
        <v>0.38300000000000978</v>
      </c>
      <c r="J1613" s="115">
        <v>0.74999999999997158</v>
      </c>
      <c r="K1613" s="115">
        <v>2.5659999999999172</v>
      </c>
      <c r="L1613" s="12">
        <f t="shared" si="108"/>
        <v>0.38614210893080703</v>
      </c>
      <c r="M1613" s="4">
        <f t="shared" si="109"/>
        <v>0.14082218010931366</v>
      </c>
      <c r="N1613" s="4">
        <f t="shared" si="110"/>
        <v>0.24303804868628739</v>
      </c>
      <c r="O1613" s="13">
        <f t="shared" si="111"/>
        <v>0.55218133883932574</v>
      </c>
    </row>
    <row r="1614" spans="2:15">
      <c r="B1614" s="12">
        <v>14</v>
      </c>
      <c r="C1614" s="4" t="s">
        <v>151</v>
      </c>
      <c r="D1614" s="4" t="s">
        <v>154</v>
      </c>
      <c r="E1614" s="4">
        <v>6</v>
      </c>
      <c r="F1614" s="4">
        <v>2</v>
      </c>
      <c r="G1614" s="4">
        <v>3</v>
      </c>
      <c r="H1614" s="115">
        <v>0.99899999999999523</v>
      </c>
      <c r="I1614" s="115">
        <v>0.38399999999998613</v>
      </c>
      <c r="J1614" s="115">
        <v>0.39899999999997249</v>
      </c>
      <c r="K1614" s="115">
        <v>1.7819999999999538</v>
      </c>
      <c r="L1614" s="12">
        <f t="shared" si="108"/>
        <v>0.3008127941181159</v>
      </c>
      <c r="M1614" s="4">
        <f t="shared" si="109"/>
        <v>0.14113609012073464</v>
      </c>
      <c r="N1614" s="4">
        <f t="shared" si="110"/>
        <v>0.1458177144918191</v>
      </c>
      <c r="O1614" s="13">
        <f t="shared" si="111"/>
        <v>0.44435712565602042</v>
      </c>
    </row>
    <row r="1615" spans="2:15">
      <c r="B1615" s="12">
        <v>14</v>
      </c>
      <c r="C1615" s="4" t="s">
        <v>151</v>
      </c>
      <c r="D1615" s="4" t="s">
        <v>154</v>
      </c>
      <c r="E1615" s="4">
        <v>6</v>
      </c>
      <c r="F1615" s="4">
        <v>2</v>
      </c>
      <c r="G1615" s="4">
        <v>4</v>
      </c>
      <c r="H1615" s="115">
        <v>0.59899999999998954</v>
      </c>
      <c r="I1615" s="115">
        <v>0.41800000000000637</v>
      </c>
      <c r="J1615" s="115">
        <v>2.4309999999999832</v>
      </c>
      <c r="K1615" s="115">
        <v>3.4479999999999791</v>
      </c>
      <c r="L1615" s="12">
        <f t="shared" si="108"/>
        <v>0.20384846374623186</v>
      </c>
      <c r="M1615" s="4">
        <f t="shared" si="109"/>
        <v>0.15167623084704968</v>
      </c>
      <c r="N1615" s="4">
        <f t="shared" si="110"/>
        <v>0.5354207180561712</v>
      </c>
      <c r="O1615" s="13">
        <f t="shared" si="111"/>
        <v>0.64816477857399901</v>
      </c>
    </row>
    <row r="1616" spans="2:15">
      <c r="B1616" s="12">
        <v>14</v>
      </c>
      <c r="C1616" s="4" t="s">
        <v>151</v>
      </c>
      <c r="D1616" s="4" t="s">
        <v>154</v>
      </c>
      <c r="E1616" s="4">
        <v>6</v>
      </c>
      <c r="F1616" s="4">
        <v>2</v>
      </c>
      <c r="G1616" s="4">
        <v>5</v>
      </c>
      <c r="H1616" s="115">
        <v>3.5499999999999545</v>
      </c>
      <c r="I1616" s="115">
        <v>0.53199999999998226</v>
      </c>
      <c r="J1616" s="115">
        <v>0.71800000000001774</v>
      </c>
      <c r="K1616" s="115">
        <v>4.7999999999999545</v>
      </c>
      <c r="L1616" s="12">
        <f t="shared" si="108"/>
        <v>0.65801139665710806</v>
      </c>
      <c r="M1616" s="4">
        <f t="shared" si="109"/>
        <v>0.18525876529658011</v>
      </c>
      <c r="N1616" s="4">
        <f t="shared" si="110"/>
        <v>0.23502315949522798</v>
      </c>
      <c r="O1616" s="13">
        <f t="shared" si="111"/>
        <v>0.76342799356293389</v>
      </c>
    </row>
    <row r="1617" spans="2:15">
      <c r="B1617" s="12">
        <v>14</v>
      </c>
      <c r="C1617" s="4" t="s">
        <v>151</v>
      </c>
      <c r="D1617" s="4" t="s">
        <v>154</v>
      </c>
      <c r="E1617" s="4">
        <v>6</v>
      </c>
      <c r="F1617" s="4">
        <v>2</v>
      </c>
      <c r="G1617" s="4">
        <v>6</v>
      </c>
      <c r="H1617" s="115">
        <v>0.43299999999999272</v>
      </c>
      <c r="I1617" s="115"/>
      <c r="J1617" s="115"/>
      <c r="K1617" s="115">
        <v>0.43299999999999272</v>
      </c>
      <c r="L1617" s="12">
        <f t="shared" si="108"/>
        <v>0.15624619039734228</v>
      </c>
      <c r="M1617" s="4">
        <f t="shared" si="109"/>
        <v>0</v>
      </c>
      <c r="N1617" s="4">
        <f t="shared" si="110"/>
        <v>0</v>
      </c>
      <c r="O1617" s="13">
        <f t="shared" si="111"/>
        <v>0.15624619039734228</v>
      </c>
    </row>
    <row r="1618" spans="2:15">
      <c r="B1618" s="12">
        <v>14</v>
      </c>
      <c r="C1618" s="4" t="s">
        <v>151</v>
      </c>
      <c r="D1618" s="4" t="s">
        <v>154</v>
      </c>
      <c r="E1618" s="4">
        <v>6</v>
      </c>
      <c r="F1618" s="4">
        <v>2</v>
      </c>
      <c r="G1618" s="4">
        <v>7</v>
      </c>
      <c r="H1618" s="115"/>
      <c r="I1618" s="115"/>
      <c r="J1618" s="115"/>
      <c r="K1618" s="115">
        <v>0</v>
      </c>
      <c r="L1618" s="12">
        <f t="shared" si="108"/>
        <v>0</v>
      </c>
      <c r="M1618" s="4">
        <f t="shared" si="109"/>
        <v>0</v>
      </c>
      <c r="N1618" s="4">
        <f t="shared" si="110"/>
        <v>0</v>
      </c>
      <c r="O1618" s="13">
        <f t="shared" si="111"/>
        <v>0</v>
      </c>
    </row>
    <row r="1619" spans="2:15">
      <c r="B1619" s="12">
        <v>14</v>
      </c>
      <c r="C1619" s="4" t="s">
        <v>151</v>
      </c>
      <c r="D1619" s="4" t="s">
        <v>154</v>
      </c>
      <c r="E1619" s="4">
        <v>6</v>
      </c>
      <c r="F1619" s="4">
        <v>2</v>
      </c>
      <c r="G1619" s="4">
        <v>8</v>
      </c>
      <c r="H1619" s="115"/>
      <c r="I1619" s="115"/>
      <c r="J1619" s="115"/>
      <c r="K1619" s="115">
        <v>0</v>
      </c>
      <c r="L1619" s="12">
        <f t="shared" si="108"/>
        <v>0</v>
      </c>
      <c r="M1619" s="4">
        <f t="shared" si="109"/>
        <v>0</v>
      </c>
      <c r="N1619" s="4">
        <f t="shared" si="110"/>
        <v>0</v>
      </c>
      <c r="O1619" s="13">
        <f t="shared" si="111"/>
        <v>0</v>
      </c>
    </row>
    <row r="1620" spans="2:15">
      <c r="B1620" s="12">
        <v>14</v>
      </c>
      <c r="C1620" s="4" t="s">
        <v>151</v>
      </c>
      <c r="D1620" s="4" t="s">
        <v>154</v>
      </c>
      <c r="E1620" s="4">
        <v>6</v>
      </c>
      <c r="F1620" s="4">
        <v>2</v>
      </c>
      <c r="G1620" s="4">
        <v>9</v>
      </c>
      <c r="H1620" s="115"/>
      <c r="I1620" s="115"/>
      <c r="J1620" s="115"/>
      <c r="K1620" s="115">
        <v>0</v>
      </c>
      <c r="L1620" s="12">
        <f t="shared" si="108"/>
        <v>0</v>
      </c>
      <c r="M1620" s="4">
        <f t="shared" si="109"/>
        <v>0</v>
      </c>
      <c r="N1620" s="4">
        <f t="shared" si="110"/>
        <v>0</v>
      </c>
      <c r="O1620" s="13">
        <f t="shared" si="111"/>
        <v>0</v>
      </c>
    </row>
    <row r="1621" spans="2:15" ht="13.8" thickBot="1">
      <c r="B1621" s="14">
        <v>14</v>
      </c>
      <c r="C1621" s="15" t="s">
        <v>151</v>
      </c>
      <c r="D1621" s="15" t="s">
        <v>154</v>
      </c>
      <c r="E1621" s="15">
        <v>6</v>
      </c>
      <c r="F1621" s="15">
        <v>2</v>
      </c>
      <c r="G1621" s="15">
        <v>10</v>
      </c>
      <c r="H1621" s="121"/>
      <c r="I1621" s="121"/>
      <c r="J1621" s="121"/>
      <c r="K1621" s="121">
        <v>0</v>
      </c>
      <c r="L1621" s="14">
        <f t="shared" si="108"/>
        <v>0</v>
      </c>
      <c r="M1621" s="15">
        <f t="shared" si="109"/>
        <v>0</v>
      </c>
      <c r="N1621" s="15">
        <f t="shared" si="110"/>
        <v>0</v>
      </c>
      <c r="O1621" s="16">
        <f t="shared" si="111"/>
        <v>0</v>
      </c>
    </row>
    <row r="1622" spans="2:15">
      <c r="B1622" s="9">
        <v>14</v>
      </c>
      <c r="C1622" s="10" t="s">
        <v>152</v>
      </c>
      <c r="D1622" s="10" t="s">
        <v>150</v>
      </c>
      <c r="E1622" s="93">
        <v>7</v>
      </c>
      <c r="F1622" s="93">
        <v>7</v>
      </c>
      <c r="G1622" s="10">
        <v>1</v>
      </c>
      <c r="H1622" s="120">
        <v>2.5339999999998213</v>
      </c>
      <c r="I1622" s="120">
        <v>0.93299999999999272</v>
      </c>
      <c r="J1622" s="120">
        <v>0.53500000000002501</v>
      </c>
      <c r="K1622" s="120">
        <v>4.001999999999839</v>
      </c>
      <c r="L1622" s="9">
        <f t="shared" si="108"/>
        <v>0.54826654517072326</v>
      </c>
      <c r="M1622" s="10">
        <f t="shared" si="109"/>
        <v>0.28623185402855139</v>
      </c>
      <c r="N1622" s="10">
        <f t="shared" si="110"/>
        <v>0.18610837981321238</v>
      </c>
      <c r="O1622" s="11">
        <f t="shared" si="111"/>
        <v>0.69914368739446975</v>
      </c>
    </row>
    <row r="1623" spans="2:15">
      <c r="B1623" s="12">
        <v>14</v>
      </c>
      <c r="C1623" s="4" t="s">
        <v>152</v>
      </c>
      <c r="D1623" s="4" t="s">
        <v>150</v>
      </c>
      <c r="E1623" s="4">
        <v>7</v>
      </c>
      <c r="F1623" s="4">
        <v>7</v>
      </c>
      <c r="G1623" s="4">
        <v>2</v>
      </c>
      <c r="H1623" s="115"/>
      <c r="I1623" s="115"/>
      <c r="J1623" s="115"/>
      <c r="K1623" s="115">
        <v>0</v>
      </c>
      <c r="L1623" s="12">
        <f t="shared" si="108"/>
        <v>0</v>
      </c>
      <c r="M1623" s="4">
        <f t="shared" si="109"/>
        <v>0</v>
      </c>
      <c r="N1623" s="4">
        <f t="shared" si="110"/>
        <v>0</v>
      </c>
      <c r="O1623" s="13">
        <f t="shared" si="111"/>
        <v>0</v>
      </c>
    </row>
    <row r="1624" spans="2:15">
      <c r="B1624" s="12">
        <v>14</v>
      </c>
      <c r="C1624" s="4" t="s">
        <v>152</v>
      </c>
      <c r="D1624" s="4" t="s">
        <v>150</v>
      </c>
      <c r="E1624" s="4">
        <v>7</v>
      </c>
      <c r="F1624" s="4">
        <v>7</v>
      </c>
      <c r="G1624" s="4">
        <v>3</v>
      </c>
      <c r="H1624" s="115"/>
      <c r="I1624" s="115"/>
      <c r="J1624" s="115"/>
      <c r="K1624" s="115">
        <v>0</v>
      </c>
      <c r="L1624" s="12">
        <f t="shared" si="108"/>
        <v>0</v>
      </c>
      <c r="M1624" s="4">
        <f t="shared" si="109"/>
        <v>0</v>
      </c>
      <c r="N1624" s="4">
        <f t="shared" si="110"/>
        <v>0</v>
      </c>
      <c r="O1624" s="13">
        <f t="shared" si="111"/>
        <v>0</v>
      </c>
    </row>
    <row r="1625" spans="2:15">
      <c r="B1625" s="12">
        <v>14</v>
      </c>
      <c r="C1625" s="4" t="s">
        <v>152</v>
      </c>
      <c r="D1625" s="4" t="s">
        <v>150</v>
      </c>
      <c r="E1625" s="4">
        <v>7</v>
      </c>
      <c r="F1625" s="4">
        <v>7</v>
      </c>
      <c r="G1625" s="4">
        <v>4</v>
      </c>
      <c r="H1625" s="115"/>
      <c r="I1625" s="115"/>
      <c r="J1625" s="115"/>
      <c r="K1625" s="115">
        <v>0</v>
      </c>
      <c r="L1625" s="12">
        <f t="shared" si="108"/>
        <v>0</v>
      </c>
      <c r="M1625" s="4">
        <f t="shared" si="109"/>
        <v>0</v>
      </c>
      <c r="N1625" s="4">
        <f t="shared" si="110"/>
        <v>0</v>
      </c>
      <c r="O1625" s="13">
        <f t="shared" si="111"/>
        <v>0</v>
      </c>
    </row>
    <row r="1626" spans="2:15">
      <c r="B1626" s="12">
        <v>14</v>
      </c>
      <c r="C1626" s="4" t="s">
        <v>152</v>
      </c>
      <c r="D1626" s="4" t="s">
        <v>150</v>
      </c>
      <c r="E1626" s="4">
        <v>7</v>
      </c>
      <c r="F1626" s="4">
        <v>7</v>
      </c>
      <c r="G1626" s="4">
        <v>5</v>
      </c>
      <c r="H1626" s="115"/>
      <c r="I1626" s="115"/>
      <c r="J1626" s="115"/>
      <c r="K1626" s="115">
        <v>0</v>
      </c>
      <c r="L1626" s="12">
        <f t="shared" si="108"/>
        <v>0</v>
      </c>
      <c r="M1626" s="4">
        <f t="shared" si="109"/>
        <v>0</v>
      </c>
      <c r="N1626" s="4">
        <f t="shared" si="110"/>
        <v>0</v>
      </c>
      <c r="O1626" s="13">
        <f t="shared" si="111"/>
        <v>0</v>
      </c>
    </row>
    <row r="1627" spans="2:15">
      <c r="B1627" s="12">
        <v>14</v>
      </c>
      <c r="C1627" s="4" t="s">
        <v>152</v>
      </c>
      <c r="D1627" s="4" t="s">
        <v>150</v>
      </c>
      <c r="E1627" s="4">
        <v>7</v>
      </c>
      <c r="F1627" s="4">
        <v>7</v>
      </c>
      <c r="G1627" s="4">
        <v>6</v>
      </c>
      <c r="H1627" s="115"/>
      <c r="I1627" s="115"/>
      <c r="J1627" s="115"/>
      <c r="K1627" s="115">
        <v>0</v>
      </c>
      <c r="L1627" s="12">
        <f t="shared" si="108"/>
        <v>0</v>
      </c>
      <c r="M1627" s="4">
        <f t="shared" si="109"/>
        <v>0</v>
      </c>
      <c r="N1627" s="4">
        <f t="shared" si="110"/>
        <v>0</v>
      </c>
      <c r="O1627" s="13">
        <f t="shared" si="111"/>
        <v>0</v>
      </c>
    </row>
    <row r="1628" spans="2:15">
      <c r="B1628" s="12">
        <v>14</v>
      </c>
      <c r="C1628" s="4" t="s">
        <v>152</v>
      </c>
      <c r="D1628" s="4" t="s">
        <v>150</v>
      </c>
      <c r="E1628" s="4">
        <v>7</v>
      </c>
      <c r="F1628" s="4">
        <v>7</v>
      </c>
      <c r="G1628" s="4">
        <v>7</v>
      </c>
      <c r="H1628" s="115"/>
      <c r="I1628" s="115"/>
      <c r="J1628" s="115"/>
      <c r="K1628" s="115">
        <v>0</v>
      </c>
      <c r="L1628" s="12">
        <f t="shared" si="108"/>
        <v>0</v>
      </c>
      <c r="M1628" s="4">
        <f t="shared" si="109"/>
        <v>0</v>
      </c>
      <c r="N1628" s="4">
        <f t="shared" si="110"/>
        <v>0</v>
      </c>
      <c r="O1628" s="13">
        <f t="shared" si="111"/>
        <v>0</v>
      </c>
    </row>
    <row r="1629" spans="2:15">
      <c r="B1629" s="12">
        <v>14</v>
      </c>
      <c r="C1629" s="4" t="s">
        <v>152</v>
      </c>
      <c r="D1629" s="4" t="s">
        <v>150</v>
      </c>
      <c r="E1629" s="4">
        <v>7</v>
      </c>
      <c r="F1629" s="4">
        <v>7</v>
      </c>
      <c r="G1629" s="4">
        <v>8</v>
      </c>
      <c r="H1629" s="115"/>
      <c r="I1629" s="115"/>
      <c r="J1629" s="115"/>
      <c r="K1629" s="115">
        <v>0</v>
      </c>
      <c r="L1629" s="12">
        <f t="shared" si="108"/>
        <v>0</v>
      </c>
      <c r="M1629" s="4">
        <f t="shared" si="109"/>
        <v>0</v>
      </c>
      <c r="N1629" s="4">
        <f t="shared" si="110"/>
        <v>0</v>
      </c>
      <c r="O1629" s="13">
        <f t="shared" si="111"/>
        <v>0</v>
      </c>
    </row>
    <row r="1630" spans="2:15">
      <c r="B1630" s="12">
        <v>14</v>
      </c>
      <c r="C1630" s="4" t="s">
        <v>152</v>
      </c>
      <c r="D1630" s="4" t="s">
        <v>150</v>
      </c>
      <c r="E1630" s="4">
        <v>7</v>
      </c>
      <c r="F1630" s="4">
        <v>7</v>
      </c>
      <c r="G1630" s="4">
        <v>9</v>
      </c>
      <c r="H1630" s="115"/>
      <c r="I1630" s="115"/>
      <c r="J1630" s="115"/>
      <c r="K1630" s="115">
        <v>0</v>
      </c>
      <c r="L1630" s="12">
        <f t="shared" si="108"/>
        <v>0</v>
      </c>
      <c r="M1630" s="4">
        <f t="shared" si="109"/>
        <v>0</v>
      </c>
      <c r="N1630" s="4">
        <f t="shared" si="110"/>
        <v>0</v>
      </c>
      <c r="O1630" s="13">
        <f t="shared" si="111"/>
        <v>0</v>
      </c>
    </row>
    <row r="1631" spans="2:15" ht="13.8" thickBot="1">
      <c r="B1631" s="14">
        <v>14</v>
      </c>
      <c r="C1631" s="15" t="s">
        <v>152</v>
      </c>
      <c r="D1631" s="15" t="s">
        <v>150</v>
      </c>
      <c r="E1631" s="15">
        <v>7</v>
      </c>
      <c r="F1631" s="15">
        <v>7</v>
      </c>
      <c r="G1631" s="15">
        <v>10</v>
      </c>
      <c r="H1631" s="121"/>
      <c r="I1631" s="121"/>
      <c r="J1631" s="121"/>
      <c r="K1631" s="121">
        <v>0</v>
      </c>
      <c r="L1631" s="14">
        <f t="shared" si="108"/>
        <v>0</v>
      </c>
      <c r="M1631" s="15">
        <f t="shared" si="109"/>
        <v>0</v>
      </c>
      <c r="N1631" s="15">
        <f t="shared" si="110"/>
        <v>0</v>
      </c>
      <c r="O1631" s="16">
        <f t="shared" si="111"/>
        <v>0</v>
      </c>
    </row>
    <row r="1632" spans="2:15">
      <c r="B1632" s="9">
        <v>14</v>
      </c>
      <c r="C1632" s="10" t="s">
        <v>152</v>
      </c>
      <c r="D1632" s="10" t="s">
        <v>150</v>
      </c>
      <c r="E1632" s="93">
        <v>8</v>
      </c>
      <c r="F1632" s="93">
        <v>5</v>
      </c>
      <c r="G1632" s="10">
        <v>1</v>
      </c>
      <c r="H1632" s="120">
        <v>1.0499999999999545</v>
      </c>
      <c r="I1632" s="120">
        <v>0.1330000000000382</v>
      </c>
      <c r="J1632" s="120">
        <v>0.81700000000000728</v>
      </c>
      <c r="K1632" s="120">
        <v>2</v>
      </c>
      <c r="L1632" s="9">
        <f t="shared" si="108"/>
        <v>0.31175386105574465</v>
      </c>
      <c r="M1632" s="10">
        <f t="shared" si="109"/>
        <v>5.422990986341189E-2</v>
      </c>
      <c r="N1632" s="10">
        <f t="shared" si="110"/>
        <v>0.25935492730803605</v>
      </c>
      <c r="O1632" s="11">
        <f t="shared" si="111"/>
        <v>0.47712125471966244</v>
      </c>
    </row>
    <row r="1633" spans="2:15">
      <c r="B1633" s="12">
        <v>14</v>
      </c>
      <c r="C1633" s="4" t="s">
        <v>152</v>
      </c>
      <c r="D1633" s="4" t="s">
        <v>150</v>
      </c>
      <c r="E1633" s="4">
        <v>8</v>
      </c>
      <c r="F1633" s="4">
        <v>5</v>
      </c>
      <c r="G1633" s="4">
        <v>2</v>
      </c>
      <c r="H1633" s="115">
        <v>0.10000000000002274</v>
      </c>
      <c r="I1633" s="115">
        <v>0.16700000000003001</v>
      </c>
      <c r="J1633" s="115"/>
      <c r="K1633" s="115">
        <v>0.26700000000005275</v>
      </c>
      <c r="L1633" s="12">
        <f t="shared" si="108"/>
        <v>4.1392685158234015E-2</v>
      </c>
      <c r="M1633" s="4">
        <f t="shared" si="109"/>
        <v>6.707085604538135E-2</v>
      </c>
      <c r="N1633" s="4">
        <f t="shared" si="110"/>
        <v>0</v>
      </c>
      <c r="O1633" s="13">
        <f t="shared" si="111"/>
        <v>0.10277661488345942</v>
      </c>
    </row>
    <row r="1634" spans="2:15">
      <c r="B1634" s="12">
        <v>14</v>
      </c>
      <c r="C1634" s="4" t="s">
        <v>152</v>
      </c>
      <c r="D1634" s="4" t="s">
        <v>150</v>
      </c>
      <c r="E1634" s="4">
        <v>8</v>
      </c>
      <c r="F1634" s="4">
        <v>5</v>
      </c>
      <c r="G1634" s="4">
        <v>3</v>
      </c>
      <c r="H1634" s="115"/>
      <c r="I1634" s="115"/>
      <c r="J1634" s="115"/>
      <c r="K1634" s="115">
        <v>0</v>
      </c>
      <c r="L1634" s="12">
        <f t="shared" si="108"/>
        <v>0</v>
      </c>
      <c r="M1634" s="4">
        <f t="shared" si="109"/>
        <v>0</v>
      </c>
      <c r="N1634" s="4">
        <f t="shared" si="110"/>
        <v>0</v>
      </c>
      <c r="O1634" s="13">
        <f t="shared" si="111"/>
        <v>0</v>
      </c>
    </row>
    <row r="1635" spans="2:15">
      <c r="B1635" s="12">
        <v>14</v>
      </c>
      <c r="C1635" s="4" t="s">
        <v>152</v>
      </c>
      <c r="D1635" s="4" t="s">
        <v>150</v>
      </c>
      <c r="E1635" s="4">
        <v>8</v>
      </c>
      <c r="F1635" s="4">
        <v>5</v>
      </c>
      <c r="G1635" s="4">
        <v>4</v>
      </c>
      <c r="H1635" s="115"/>
      <c r="I1635" s="115"/>
      <c r="J1635" s="115"/>
      <c r="K1635" s="115">
        <v>0</v>
      </c>
      <c r="L1635" s="12">
        <f t="shared" si="108"/>
        <v>0</v>
      </c>
      <c r="M1635" s="4">
        <f t="shared" si="109"/>
        <v>0</v>
      </c>
      <c r="N1635" s="4">
        <f t="shared" si="110"/>
        <v>0</v>
      </c>
      <c r="O1635" s="13">
        <f t="shared" si="111"/>
        <v>0</v>
      </c>
    </row>
    <row r="1636" spans="2:15">
      <c r="B1636" s="12">
        <v>14</v>
      </c>
      <c r="C1636" s="4" t="s">
        <v>152</v>
      </c>
      <c r="D1636" s="4" t="s">
        <v>150</v>
      </c>
      <c r="E1636" s="4">
        <v>8</v>
      </c>
      <c r="F1636" s="4">
        <v>5</v>
      </c>
      <c r="G1636" s="4">
        <v>5</v>
      </c>
      <c r="H1636" s="115"/>
      <c r="I1636" s="115"/>
      <c r="J1636" s="115"/>
      <c r="K1636" s="115">
        <v>0</v>
      </c>
      <c r="L1636" s="12">
        <f t="shared" si="108"/>
        <v>0</v>
      </c>
      <c r="M1636" s="4">
        <f t="shared" si="109"/>
        <v>0</v>
      </c>
      <c r="N1636" s="4">
        <f t="shared" si="110"/>
        <v>0</v>
      </c>
      <c r="O1636" s="13">
        <f t="shared" si="111"/>
        <v>0</v>
      </c>
    </row>
    <row r="1637" spans="2:15">
      <c r="B1637" s="12">
        <v>14</v>
      </c>
      <c r="C1637" s="4" t="s">
        <v>152</v>
      </c>
      <c r="D1637" s="4" t="s">
        <v>150</v>
      </c>
      <c r="E1637" s="4">
        <v>8</v>
      </c>
      <c r="F1637" s="4">
        <v>5</v>
      </c>
      <c r="G1637" s="4">
        <v>6</v>
      </c>
      <c r="H1637" s="115"/>
      <c r="I1637" s="115"/>
      <c r="J1637" s="115"/>
      <c r="K1637" s="115">
        <v>0</v>
      </c>
      <c r="L1637" s="12">
        <f t="shared" si="108"/>
        <v>0</v>
      </c>
      <c r="M1637" s="4">
        <f t="shared" si="109"/>
        <v>0</v>
      </c>
      <c r="N1637" s="4">
        <f t="shared" si="110"/>
        <v>0</v>
      </c>
      <c r="O1637" s="13">
        <f t="shared" si="111"/>
        <v>0</v>
      </c>
    </row>
    <row r="1638" spans="2:15">
      <c r="B1638" s="12">
        <v>14</v>
      </c>
      <c r="C1638" s="4" t="s">
        <v>152</v>
      </c>
      <c r="D1638" s="4" t="s">
        <v>150</v>
      </c>
      <c r="E1638" s="4">
        <v>8</v>
      </c>
      <c r="F1638" s="4">
        <v>5</v>
      </c>
      <c r="G1638" s="4">
        <v>7</v>
      </c>
      <c r="H1638" s="115"/>
      <c r="I1638" s="115"/>
      <c r="J1638" s="115"/>
      <c r="K1638" s="115">
        <v>0</v>
      </c>
      <c r="L1638" s="12">
        <f t="shared" si="108"/>
        <v>0</v>
      </c>
      <c r="M1638" s="4">
        <f t="shared" si="109"/>
        <v>0</v>
      </c>
      <c r="N1638" s="4">
        <f t="shared" si="110"/>
        <v>0</v>
      </c>
      <c r="O1638" s="13">
        <f t="shared" si="111"/>
        <v>0</v>
      </c>
    </row>
    <row r="1639" spans="2:15">
      <c r="B1639" s="12">
        <v>14</v>
      </c>
      <c r="C1639" s="4" t="s">
        <v>152</v>
      </c>
      <c r="D1639" s="4" t="s">
        <v>150</v>
      </c>
      <c r="E1639" s="4">
        <v>8</v>
      </c>
      <c r="F1639" s="4">
        <v>5</v>
      </c>
      <c r="G1639" s="4">
        <v>8</v>
      </c>
      <c r="H1639" s="115"/>
      <c r="I1639" s="115"/>
      <c r="J1639" s="115"/>
      <c r="K1639" s="115">
        <v>0</v>
      </c>
      <c r="L1639" s="12">
        <f t="shared" ref="L1639:L1702" si="112">LOG10(H1639+1)</f>
        <v>0</v>
      </c>
      <c r="M1639" s="4">
        <f t="shared" ref="M1639:M1702" si="113">LOG10(I1639+1)</f>
        <v>0</v>
      </c>
      <c r="N1639" s="4">
        <f t="shared" ref="N1639:N1702" si="114">LOG10(J1639+1)</f>
        <v>0</v>
      </c>
      <c r="O1639" s="13">
        <f t="shared" ref="O1639:O1702" si="115">LOG10(K1639+1)</f>
        <v>0</v>
      </c>
    </row>
    <row r="1640" spans="2:15">
      <c r="B1640" s="12">
        <v>14</v>
      </c>
      <c r="C1640" s="4" t="s">
        <v>152</v>
      </c>
      <c r="D1640" s="4" t="s">
        <v>150</v>
      </c>
      <c r="E1640" s="4">
        <v>8</v>
      </c>
      <c r="F1640" s="4">
        <v>5</v>
      </c>
      <c r="G1640" s="4">
        <v>9</v>
      </c>
      <c r="H1640" s="115"/>
      <c r="I1640" s="115"/>
      <c r="J1640" s="115"/>
      <c r="K1640" s="115">
        <v>0</v>
      </c>
      <c r="L1640" s="12">
        <f t="shared" si="112"/>
        <v>0</v>
      </c>
      <c r="M1640" s="4">
        <f t="shared" si="113"/>
        <v>0</v>
      </c>
      <c r="N1640" s="4">
        <f t="shared" si="114"/>
        <v>0</v>
      </c>
      <c r="O1640" s="13">
        <f t="shared" si="115"/>
        <v>0</v>
      </c>
    </row>
    <row r="1641" spans="2:15" ht="13.8" thickBot="1">
      <c r="B1641" s="14">
        <v>14</v>
      </c>
      <c r="C1641" s="15" t="s">
        <v>152</v>
      </c>
      <c r="D1641" s="15" t="s">
        <v>150</v>
      </c>
      <c r="E1641" s="15">
        <v>8</v>
      </c>
      <c r="F1641" s="15">
        <v>5</v>
      </c>
      <c r="G1641" s="15">
        <v>10</v>
      </c>
      <c r="H1641" s="121"/>
      <c r="I1641" s="121"/>
      <c r="J1641" s="121"/>
      <c r="K1641" s="121">
        <v>0</v>
      </c>
      <c r="L1641" s="14">
        <f t="shared" si="112"/>
        <v>0</v>
      </c>
      <c r="M1641" s="15">
        <f t="shared" si="113"/>
        <v>0</v>
      </c>
      <c r="N1641" s="15">
        <f t="shared" si="114"/>
        <v>0</v>
      </c>
      <c r="O1641" s="16">
        <f t="shared" si="115"/>
        <v>0</v>
      </c>
    </row>
    <row r="1642" spans="2:15">
      <c r="B1642" s="9">
        <v>14</v>
      </c>
      <c r="C1642" s="10" t="s">
        <v>152</v>
      </c>
      <c r="D1642" s="10" t="s">
        <v>149</v>
      </c>
      <c r="E1642" s="93">
        <v>9</v>
      </c>
      <c r="F1642" s="93">
        <v>9</v>
      </c>
      <c r="G1642" s="10">
        <v>1</v>
      </c>
      <c r="H1642" s="120">
        <v>1.1169999999999618</v>
      </c>
      <c r="I1642" s="120"/>
      <c r="J1642" s="120"/>
      <c r="K1642" s="120">
        <v>1.1169999999999618</v>
      </c>
      <c r="L1642" s="9">
        <f t="shared" si="112"/>
        <v>0.32572085801940415</v>
      </c>
      <c r="M1642" s="10">
        <f t="shared" si="113"/>
        <v>0</v>
      </c>
      <c r="N1642" s="10">
        <f t="shared" si="114"/>
        <v>0</v>
      </c>
      <c r="O1642" s="11">
        <f t="shared" si="115"/>
        <v>0.32572085801940415</v>
      </c>
    </row>
    <row r="1643" spans="2:15">
      <c r="B1643" s="12">
        <v>14</v>
      </c>
      <c r="C1643" s="4" t="s">
        <v>152</v>
      </c>
      <c r="D1643" s="4" t="s">
        <v>149</v>
      </c>
      <c r="E1643" s="4">
        <v>9</v>
      </c>
      <c r="F1643" s="4">
        <v>9</v>
      </c>
      <c r="G1643" s="4">
        <v>2</v>
      </c>
      <c r="H1643" s="115">
        <v>1.91599999999994</v>
      </c>
      <c r="I1643" s="115"/>
      <c r="J1643" s="115"/>
      <c r="K1643" s="115">
        <v>1.91599999999994</v>
      </c>
      <c r="L1643" s="12">
        <f t="shared" si="112"/>
        <v>0.46478751964592807</v>
      </c>
      <c r="M1643" s="4">
        <f t="shared" si="113"/>
        <v>0</v>
      </c>
      <c r="N1643" s="4">
        <f t="shared" si="114"/>
        <v>0</v>
      </c>
      <c r="O1643" s="13">
        <f t="shared" si="115"/>
        <v>0.46478751964592807</v>
      </c>
    </row>
    <row r="1644" spans="2:15">
      <c r="B1644" s="12">
        <v>14</v>
      </c>
      <c r="C1644" s="4" t="s">
        <v>152</v>
      </c>
      <c r="D1644" s="4" t="s">
        <v>149</v>
      </c>
      <c r="E1644" s="4">
        <v>9</v>
      </c>
      <c r="F1644" s="4">
        <v>9</v>
      </c>
      <c r="G1644" s="4">
        <v>3</v>
      </c>
      <c r="H1644" s="115"/>
      <c r="I1644" s="115"/>
      <c r="J1644" s="115"/>
      <c r="K1644" s="115">
        <v>0</v>
      </c>
      <c r="L1644" s="12">
        <f t="shared" si="112"/>
        <v>0</v>
      </c>
      <c r="M1644" s="4">
        <f t="shared" si="113"/>
        <v>0</v>
      </c>
      <c r="N1644" s="4">
        <f t="shared" si="114"/>
        <v>0</v>
      </c>
      <c r="O1644" s="13">
        <f t="shared" si="115"/>
        <v>0</v>
      </c>
    </row>
    <row r="1645" spans="2:15">
      <c r="B1645" s="12">
        <v>14</v>
      </c>
      <c r="C1645" s="4" t="s">
        <v>152</v>
      </c>
      <c r="D1645" s="4" t="s">
        <v>149</v>
      </c>
      <c r="E1645" s="4">
        <v>9</v>
      </c>
      <c r="F1645" s="4">
        <v>9</v>
      </c>
      <c r="G1645" s="4">
        <v>4</v>
      </c>
      <c r="H1645" s="115"/>
      <c r="I1645" s="115"/>
      <c r="J1645" s="115"/>
      <c r="K1645" s="115">
        <v>0</v>
      </c>
      <c r="L1645" s="12">
        <f t="shared" si="112"/>
        <v>0</v>
      </c>
      <c r="M1645" s="4">
        <f t="shared" si="113"/>
        <v>0</v>
      </c>
      <c r="N1645" s="4">
        <f t="shared" si="114"/>
        <v>0</v>
      </c>
      <c r="O1645" s="13">
        <f t="shared" si="115"/>
        <v>0</v>
      </c>
    </row>
    <row r="1646" spans="2:15">
      <c r="B1646" s="12">
        <v>14</v>
      </c>
      <c r="C1646" s="4" t="s">
        <v>152</v>
      </c>
      <c r="D1646" s="4" t="s">
        <v>149</v>
      </c>
      <c r="E1646" s="4">
        <v>9</v>
      </c>
      <c r="F1646" s="4">
        <v>9</v>
      </c>
      <c r="G1646" s="4">
        <v>5</v>
      </c>
      <c r="H1646" s="115"/>
      <c r="I1646" s="115"/>
      <c r="J1646" s="115"/>
      <c r="K1646" s="115">
        <v>0</v>
      </c>
      <c r="L1646" s="12">
        <f t="shared" si="112"/>
        <v>0</v>
      </c>
      <c r="M1646" s="4">
        <f t="shared" si="113"/>
        <v>0</v>
      </c>
      <c r="N1646" s="4">
        <f t="shared" si="114"/>
        <v>0</v>
      </c>
      <c r="O1646" s="13">
        <f t="shared" si="115"/>
        <v>0</v>
      </c>
    </row>
    <row r="1647" spans="2:15">
      <c r="B1647" s="12">
        <v>14</v>
      </c>
      <c r="C1647" s="4" t="s">
        <v>152</v>
      </c>
      <c r="D1647" s="4" t="s">
        <v>149</v>
      </c>
      <c r="E1647" s="4">
        <v>9</v>
      </c>
      <c r="F1647" s="4">
        <v>9</v>
      </c>
      <c r="G1647" s="4">
        <v>6</v>
      </c>
      <c r="H1647" s="115"/>
      <c r="I1647" s="115"/>
      <c r="J1647" s="115"/>
      <c r="K1647" s="115">
        <v>0</v>
      </c>
      <c r="L1647" s="12">
        <f t="shared" si="112"/>
        <v>0</v>
      </c>
      <c r="M1647" s="4">
        <f t="shared" si="113"/>
        <v>0</v>
      </c>
      <c r="N1647" s="4">
        <f t="shared" si="114"/>
        <v>0</v>
      </c>
      <c r="O1647" s="13">
        <f t="shared" si="115"/>
        <v>0</v>
      </c>
    </row>
    <row r="1648" spans="2:15">
      <c r="B1648" s="12">
        <v>14</v>
      </c>
      <c r="C1648" s="4" t="s">
        <v>152</v>
      </c>
      <c r="D1648" s="4" t="s">
        <v>149</v>
      </c>
      <c r="E1648" s="4">
        <v>9</v>
      </c>
      <c r="F1648" s="4">
        <v>9</v>
      </c>
      <c r="G1648" s="4">
        <v>7</v>
      </c>
      <c r="H1648" s="115"/>
      <c r="I1648" s="115"/>
      <c r="J1648" s="115"/>
      <c r="K1648" s="115">
        <v>0</v>
      </c>
      <c r="L1648" s="12">
        <f t="shared" si="112"/>
        <v>0</v>
      </c>
      <c r="M1648" s="4">
        <f t="shared" si="113"/>
        <v>0</v>
      </c>
      <c r="N1648" s="4">
        <f t="shared" si="114"/>
        <v>0</v>
      </c>
      <c r="O1648" s="13">
        <f t="shared" si="115"/>
        <v>0</v>
      </c>
    </row>
    <row r="1649" spans="2:15">
      <c r="B1649" s="12">
        <v>14</v>
      </c>
      <c r="C1649" s="4" t="s">
        <v>152</v>
      </c>
      <c r="D1649" s="4" t="s">
        <v>149</v>
      </c>
      <c r="E1649" s="4">
        <v>9</v>
      </c>
      <c r="F1649" s="4">
        <v>9</v>
      </c>
      <c r="G1649" s="4">
        <v>8</v>
      </c>
      <c r="H1649" s="115"/>
      <c r="I1649" s="115"/>
      <c r="J1649" s="115"/>
      <c r="K1649" s="115">
        <v>0</v>
      </c>
      <c r="L1649" s="12">
        <f t="shared" si="112"/>
        <v>0</v>
      </c>
      <c r="M1649" s="4">
        <f t="shared" si="113"/>
        <v>0</v>
      </c>
      <c r="N1649" s="4">
        <f t="shared" si="114"/>
        <v>0</v>
      </c>
      <c r="O1649" s="13">
        <f t="shared" si="115"/>
        <v>0</v>
      </c>
    </row>
    <row r="1650" spans="2:15">
      <c r="B1650" s="12">
        <v>14</v>
      </c>
      <c r="C1650" s="4" t="s">
        <v>152</v>
      </c>
      <c r="D1650" s="4" t="s">
        <v>149</v>
      </c>
      <c r="E1650" s="4">
        <v>9</v>
      </c>
      <c r="F1650" s="4">
        <v>9</v>
      </c>
      <c r="G1650" s="4">
        <v>9</v>
      </c>
      <c r="H1650" s="115"/>
      <c r="I1650" s="115"/>
      <c r="J1650" s="115"/>
      <c r="K1650" s="115">
        <v>0</v>
      </c>
      <c r="L1650" s="12">
        <f t="shared" si="112"/>
        <v>0</v>
      </c>
      <c r="M1650" s="4">
        <f t="shared" si="113"/>
        <v>0</v>
      </c>
      <c r="N1650" s="4">
        <f t="shared" si="114"/>
        <v>0</v>
      </c>
      <c r="O1650" s="13">
        <f t="shared" si="115"/>
        <v>0</v>
      </c>
    </row>
    <row r="1651" spans="2:15" ht="13.8" thickBot="1">
      <c r="B1651" s="14">
        <v>14</v>
      </c>
      <c r="C1651" s="15" t="s">
        <v>152</v>
      </c>
      <c r="D1651" s="15" t="s">
        <v>149</v>
      </c>
      <c r="E1651" s="15">
        <v>9</v>
      </c>
      <c r="F1651" s="15">
        <v>9</v>
      </c>
      <c r="G1651" s="15">
        <v>10</v>
      </c>
      <c r="H1651" s="121"/>
      <c r="I1651" s="121"/>
      <c r="J1651" s="121"/>
      <c r="K1651" s="121">
        <v>0</v>
      </c>
      <c r="L1651" s="14">
        <f t="shared" si="112"/>
        <v>0</v>
      </c>
      <c r="M1651" s="15">
        <f t="shared" si="113"/>
        <v>0</v>
      </c>
      <c r="N1651" s="15">
        <f t="shared" si="114"/>
        <v>0</v>
      </c>
      <c r="O1651" s="16">
        <f t="shared" si="115"/>
        <v>0</v>
      </c>
    </row>
    <row r="1652" spans="2:15">
      <c r="B1652" s="9">
        <v>14</v>
      </c>
      <c r="C1652" s="10" t="s">
        <v>152</v>
      </c>
      <c r="D1652" s="10" t="s">
        <v>149</v>
      </c>
      <c r="E1652" s="93">
        <v>10</v>
      </c>
      <c r="F1652" s="93">
        <v>11</v>
      </c>
      <c r="G1652" s="10">
        <v>1</v>
      </c>
      <c r="H1652" s="120">
        <v>0.80000000000006821</v>
      </c>
      <c r="I1652" s="120">
        <v>0.53300000000001546</v>
      </c>
      <c r="J1652" s="120">
        <v>0.66599999999993997</v>
      </c>
      <c r="K1652" s="120">
        <v>1.9990000000000236</v>
      </c>
      <c r="L1652" s="9">
        <f t="shared" si="112"/>
        <v>0.2552725051033225</v>
      </c>
      <c r="M1652" s="10">
        <f t="shared" si="113"/>
        <v>0.18554215485437955</v>
      </c>
      <c r="N1652" s="10">
        <f t="shared" si="114"/>
        <v>0.22167499707075314</v>
      </c>
      <c r="O1652" s="11">
        <f t="shared" si="115"/>
        <v>0.47697646575953057</v>
      </c>
    </row>
    <row r="1653" spans="2:15">
      <c r="B1653" s="12">
        <v>14</v>
      </c>
      <c r="C1653" s="4" t="s">
        <v>152</v>
      </c>
      <c r="D1653" s="4" t="s">
        <v>149</v>
      </c>
      <c r="E1653" s="4">
        <v>10</v>
      </c>
      <c r="F1653" s="4">
        <v>11</v>
      </c>
      <c r="G1653" s="4">
        <v>2</v>
      </c>
      <c r="H1653" s="115">
        <v>0.16700000000003001</v>
      </c>
      <c r="I1653" s="115">
        <v>0.25</v>
      </c>
      <c r="J1653" s="115">
        <v>0.1330000000000382</v>
      </c>
      <c r="K1653" s="115">
        <v>0.55000000000006821</v>
      </c>
      <c r="L1653" s="12">
        <f t="shared" si="112"/>
        <v>6.707085604538135E-2</v>
      </c>
      <c r="M1653" s="4">
        <f t="shared" si="113"/>
        <v>9.691001300805642E-2</v>
      </c>
      <c r="N1653" s="4">
        <f t="shared" si="114"/>
        <v>5.422990986341189E-2</v>
      </c>
      <c r="O1653" s="13">
        <f t="shared" si="115"/>
        <v>0.19033169817031059</v>
      </c>
    </row>
    <row r="1654" spans="2:15">
      <c r="B1654" s="12">
        <v>14</v>
      </c>
      <c r="C1654" s="4" t="s">
        <v>152</v>
      </c>
      <c r="D1654" s="4" t="s">
        <v>149</v>
      </c>
      <c r="E1654" s="4">
        <v>10</v>
      </c>
      <c r="F1654" s="4">
        <v>11</v>
      </c>
      <c r="G1654" s="4">
        <v>3</v>
      </c>
      <c r="H1654" s="115">
        <v>1.8679999999999382</v>
      </c>
      <c r="I1654" s="115">
        <v>0.5829999999998563</v>
      </c>
      <c r="J1654" s="115">
        <v>1.1499999999997499</v>
      </c>
      <c r="K1654" s="115">
        <v>3.6009999999995443</v>
      </c>
      <c r="L1654" s="12">
        <f t="shared" si="112"/>
        <v>0.45757914699575314</v>
      </c>
      <c r="M1654" s="4">
        <f t="shared" si="113"/>
        <v>0.19948091486231648</v>
      </c>
      <c r="N1654" s="4">
        <f t="shared" si="114"/>
        <v>0.33243845991555482</v>
      </c>
      <c r="O1654" s="13">
        <f t="shared" si="115"/>
        <v>0.66285223326475318</v>
      </c>
    </row>
    <row r="1655" spans="2:15">
      <c r="B1655" s="12">
        <v>14</v>
      </c>
      <c r="C1655" s="4" t="s">
        <v>152</v>
      </c>
      <c r="D1655" s="4" t="s">
        <v>149</v>
      </c>
      <c r="E1655" s="4">
        <v>10</v>
      </c>
      <c r="F1655" s="4">
        <v>11</v>
      </c>
      <c r="G1655" s="4">
        <v>4</v>
      </c>
      <c r="H1655" s="115">
        <v>1.1169999999999618</v>
      </c>
      <c r="I1655" s="115">
        <v>0.48300000000006094</v>
      </c>
      <c r="J1655" s="115"/>
      <c r="K1655" s="115">
        <v>1.6000000000000227</v>
      </c>
      <c r="L1655" s="12">
        <f t="shared" si="112"/>
        <v>0.32572085801940415</v>
      </c>
      <c r="M1655" s="4">
        <f t="shared" si="113"/>
        <v>0.17114115102839986</v>
      </c>
      <c r="N1655" s="4">
        <f t="shared" si="114"/>
        <v>0</v>
      </c>
      <c r="O1655" s="13">
        <f t="shared" si="115"/>
        <v>0.41497334797082175</v>
      </c>
    </row>
    <row r="1656" spans="2:15">
      <c r="B1656" s="12">
        <v>14</v>
      </c>
      <c r="C1656" s="4" t="s">
        <v>152</v>
      </c>
      <c r="D1656" s="4" t="s">
        <v>149</v>
      </c>
      <c r="E1656" s="4">
        <v>10</v>
      </c>
      <c r="F1656" s="4">
        <v>11</v>
      </c>
      <c r="G1656" s="4">
        <v>5</v>
      </c>
      <c r="H1656" s="115"/>
      <c r="I1656" s="115"/>
      <c r="J1656" s="115"/>
      <c r="K1656" s="115">
        <v>0</v>
      </c>
      <c r="L1656" s="12">
        <f t="shared" si="112"/>
        <v>0</v>
      </c>
      <c r="M1656" s="4">
        <f t="shared" si="113"/>
        <v>0</v>
      </c>
      <c r="N1656" s="4">
        <f t="shared" si="114"/>
        <v>0</v>
      </c>
      <c r="O1656" s="13">
        <f t="shared" si="115"/>
        <v>0</v>
      </c>
    </row>
    <row r="1657" spans="2:15">
      <c r="B1657" s="12">
        <v>14</v>
      </c>
      <c r="C1657" s="4" t="s">
        <v>152</v>
      </c>
      <c r="D1657" s="4" t="s">
        <v>149</v>
      </c>
      <c r="E1657" s="4">
        <v>10</v>
      </c>
      <c r="F1657" s="4">
        <v>11</v>
      </c>
      <c r="G1657" s="4">
        <v>6</v>
      </c>
      <c r="H1657" s="115"/>
      <c r="I1657" s="115"/>
      <c r="J1657" s="115"/>
      <c r="K1657" s="115">
        <v>0</v>
      </c>
      <c r="L1657" s="12">
        <f t="shared" si="112"/>
        <v>0</v>
      </c>
      <c r="M1657" s="4">
        <f t="shared" si="113"/>
        <v>0</v>
      </c>
      <c r="N1657" s="4">
        <f t="shared" si="114"/>
        <v>0</v>
      </c>
      <c r="O1657" s="13">
        <f t="shared" si="115"/>
        <v>0</v>
      </c>
    </row>
    <row r="1658" spans="2:15">
      <c r="B1658" s="12">
        <v>14</v>
      </c>
      <c r="C1658" s="4" t="s">
        <v>152</v>
      </c>
      <c r="D1658" s="4" t="s">
        <v>149</v>
      </c>
      <c r="E1658" s="4">
        <v>10</v>
      </c>
      <c r="F1658" s="4">
        <v>11</v>
      </c>
      <c r="G1658" s="4">
        <v>7</v>
      </c>
      <c r="H1658" s="115"/>
      <c r="I1658" s="115"/>
      <c r="J1658" s="115"/>
      <c r="K1658" s="115">
        <v>0</v>
      </c>
      <c r="L1658" s="12">
        <f t="shared" si="112"/>
        <v>0</v>
      </c>
      <c r="M1658" s="4">
        <f t="shared" si="113"/>
        <v>0</v>
      </c>
      <c r="N1658" s="4">
        <f t="shared" si="114"/>
        <v>0</v>
      </c>
      <c r="O1658" s="13">
        <f t="shared" si="115"/>
        <v>0</v>
      </c>
    </row>
    <row r="1659" spans="2:15">
      <c r="B1659" s="12">
        <v>14</v>
      </c>
      <c r="C1659" s="4" t="s">
        <v>152</v>
      </c>
      <c r="D1659" s="4" t="s">
        <v>149</v>
      </c>
      <c r="E1659" s="4">
        <v>10</v>
      </c>
      <c r="F1659" s="4">
        <v>11</v>
      </c>
      <c r="G1659" s="4">
        <v>8</v>
      </c>
      <c r="H1659" s="115"/>
      <c r="I1659" s="115"/>
      <c r="J1659" s="115"/>
      <c r="K1659" s="115">
        <v>0</v>
      </c>
      <c r="L1659" s="12">
        <f t="shared" si="112"/>
        <v>0</v>
      </c>
      <c r="M1659" s="4">
        <f t="shared" si="113"/>
        <v>0</v>
      </c>
      <c r="N1659" s="4">
        <f t="shared" si="114"/>
        <v>0</v>
      </c>
      <c r="O1659" s="13">
        <f t="shared" si="115"/>
        <v>0</v>
      </c>
    </row>
    <row r="1660" spans="2:15">
      <c r="B1660" s="12">
        <v>14</v>
      </c>
      <c r="C1660" s="4" t="s">
        <v>152</v>
      </c>
      <c r="D1660" s="4" t="s">
        <v>149</v>
      </c>
      <c r="E1660" s="4">
        <v>10</v>
      </c>
      <c r="F1660" s="4">
        <v>11</v>
      </c>
      <c r="G1660" s="4">
        <v>9</v>
      </c>
      <c r="H1660" s="115"/>
      <c r="I1660" s="115"/>
      <c r="J1660" s="115"/>
      <c r="K1660" s="115">
        <v>0</v>
      </c>
      <c r="L1660" s="12">
        <f t="shared" si="112"/>
        <v>0</v>
      </c>
      <c r="M1660" s="4">
        <f t="shared" si="113"/>
        <v>0</v>
      </c>
      <c r="N1660" s="4">
        <f t="shared" si="114"/>
        <v>0</v>
      </c>
      <c r="O1660" s="13">
        <f t="shared" si="115"/>
        <v>0</v>
      </c>
    </row>
    <row r="1661" spans="2:15" ht="13.8" thickBot="1">
      <c r="B1661" s="14">
        <v>14</v>
      </c>
      <c r="C1661" s="15" t="s">
        <v>152</v>
      </c>
      <c r="D1661" s="15" t="s">
        <v>149</v>
      </c>
      <c r="E1661" s="15">
        <v>10</v>
      </c>
      <c r="F1661" s="15">
        <v>11</v>
      </c>
      <c r="G1661" s="15">
        <v>10</v>
      </c>
      <c r="H1661" s="121"/>
      <c r="I1661" s="121"/>
      <c r="J1661" s="121"/>
      <c r="K1661" s="121">
        <v>0</v>
      </c>
      <c r="L1661" s="14">
        <f t="shared" si="112"/>
        <v>0</v>
      </c>
      <c r="M1661" s="15">
        <f t="shared" si="113"/>
        <v>0</v>
      </c>
      <c r="N1661" s="15">
        <f t="shared" si="114"/>
        <v>0</v>
      </c>
      <c r="O1661" s="16">
        <f t="shared" si="115"/>
        <v>0</v>
      </c>
    </row>
    <row r="1662" spans="2:15">
      <c r="B1662" s="9">
        <v>14</v>
      </c>
      <c r="C1662" s="10" t="s">
        <v>152</v>
      </c>
      <c r="D1662" s="10" t="s">
        <v>154</v>
      </c>
      <c r="E1662" s="93">
        <v>11</v>
      </c>
      <c r="F1662" s="93">
        <v>3</v>
      </c>
      <c r="G1662" s="10">
        <v>1</v>
      </c>
      <c r="H1662" s="120">
        <v>0.69899999999998386</v>
      </c>
      <c r="I1662" s="120">
        <v>0.23300000000003251</v>
      </c>
      <c r="J1662" s="120">
        <v>1.1669999999999447</v>
      </c>
      <c r="K1662" s="120">
        <v>2.0989999999999611</v>
      </c>
      <c r="L1662" s="9">
        <f t="shared" si="112"/>
        <v>0.23019337886904148</v>
      </c>
      <c r="M1662" s="10">
        <f t="shared" si="113"/>
        <v>9.0963076595743098E-2</v>
      </c>
      <c r="N1662" s="10">
        <f t="shared" si="114"/>
        <v>0.33585891131980689</v>
      </c>
      <c r="O1662" s="11">
        <f t="shared" si="115"/>
        <v>0.49122157623927759</v>
      </c>
    </row>
    <row r="1663" spans="2:15">
      <c r="B1663" s="12">
        <v>14</v>
      </c>
      <c r="C1663" s="4" t="s">
        <v>152</v>
      </c>
      <c r="D1663" s="4" t="s">
        <v>154</v>
      </c>
      <c r="E1663" s="4">
        <v>11</v>
      </c>
      <c r="F1663" s="4">
        <v>3</v>
      </c>
      <c r="G1663" s="4">
        <v>2</v>
      </c>
      <c r="H1663" s="115">
        <v>0.44999999999998863</v>
      </c>
      <c r="I1663" s="115">
        <v>0.50100000000000477</v>
      </c>
      <c r="J1663" s="115">
        <v>0.15000000000000568</v>
      </c>
      <c r="K1663" s="115">
        <v>1.1009999999999991</v>
      </c>
      <c r="L1663" s="12">
        <f t="shared" si="112"/>
        <v>0.1613680022349715</v>
      </c>
      <c r="M1663" s="4">
        <f t="shared" si="113"/>
        <v>0.17638069224327177</v>
      </c>
      <c r="N1663" s="4">
        <f t="shared" si="114"/>
        <v>6.0697840353613829E-2</v>
      </c>
      <c r="O1663" s="13">
        <f t="shared" si="115"/>
        <v>0.3224260524059524</v>
      </c>
    </row>
    <row r="1664" spans="2:15">
      <c r="B1664" s="12">
        <v>14</v>
      </c>
      <c r="C1664" s="4" t="s">
        <v>152</v>
      </c>
      <c r="D1664" s="4" t="s">
        <v>154</v>
      </c>
      <c r="E1664" s="4">
        <v>11</v>
      </c>
      <c r="F1664" s="4">
        <v>3</v>
      </c>
      <c r="G1664" s="4">
        <v>3</v>
      </c>
      <c r="H1664" s="115">
        <v>0.25</v>
      </c>
      <c r="I1664" s="115"/>
      <c r="J1664" s="115"/>
      <c r="K1664" s="115">
        <v>0.25</v>
      </c>
      <c r="L1664" s="12">
        <f t="shared" si="112"/>
        <v>9.691001300805642E-2</v>
      </c>
      <c r="M1664" s="4">
        <f t="shared" si="113"/>
        <v>0</v>
      </c>
      <c r="N1664" s="4">
        <f t="shared" si="114"/>
        <v>0</v>
      </c>
      <c r="O1664" s="13">
        <f t="shared" si="115"/>
        <v>9.691001300805642E-2</v>
      </c>
    </row>
    <row r="1665" spans="2:15">
      <c r="B1665" s="12">
        <v>14</v>
      </c>
      <c r="C1665" s="4" t="s">
        <v>152</v>
      </c>
      <c r="D1665" s="4" t="s">
        <v>154</v>
      </c>
      <c r="E1665" s="4">
        <v>11</v>
      </c>
      <c r="F1665" s="4">
        <v>3</v>
      </c>
      <c r="G1665" s="4">
        <v>4</v>
      </c>
      <c r="H1665" s="115"/>
      <c r="I1665" s="115"/>
      <c r="J1665" s="115"/>
      <c r="K1665" s="115">
        <v>0</v>
      </c>
      <c r="L1665" s="12">
        <f t="shared" si="112"/>
        <v>0</v>
      </c>
      <c r="M1665" s="4">
        <f t="shared" si="113"/>
        <v>0</v>
      </c>
      <c r="N1665" s="4">
        <f t="shared" si="114"/>
        <v>0</v>
      </c>
      <c r="O1665" s="13">
        <f t="shared" si="115"/>
        <v>0</v>
      </c>
    </row>
    <row r="1666" spans="2:15">
      <c r="B1666" s="12">
        <v>14</v>
      </c>
      <c r="C1666" s="4" t="s">
        <v>152</v>
      </c>
      <c r="D1666" s="4" t="s">
        <v>154</v>
      </c>
      <c r="E1666" s="4">
        <v>11</v>
      </c>
      <c r="F1666" s="4">
        <v>3</v>
      </c>
      <c r="G1666" s="4">
        <v>5</v>
      </c>
      <c r="H1666" s="115"/>
      <c r="I1666" s="115"/>
      <c r="J1666" s="115"/>
      <c r="K1666" s="115">
        <v>0</v>
      </c>
      <c r="L1666" s="12">
        <f t="shared" si="112"/>
        <v>0</v>
      </c>
      <c r="M1666" s="4">
        <f t="shared" si="113"/>
        <v>0</v>
      </c>
      <c r="N1666" s="4">
        <f t="shared" si="114"/>
        <v>0</v>
      </c>
      <c r="O1666" s="13">
        <f t="shared" si="115"/>
        <v>0</v>
      </c>
    </row>
    <row r="1667" spans="2:15">
      <c r="B1667" s="12">
        <v>14</v>
      </c>
      <c r="C1667" s="4" t="s">
        <v>152</v>
      </c>
      <c r="D1667" s="4" t="s">
        <v>154</v>
      </c>
      <c r="E1667" s="4">
        <v>11</v>
      </c>
      <c r="F1667" s="4">
        <v>3</v>
      </c>
      <c r="G1667" s="4">
        <v>6</v>
      </c>
      <c r="H1667" s="115"/>
      <c r="I1667" s="115"/>
      <c r="J1667" s="115"/>
      <c r="K1667" s="115">
        <v>0</v>
      </c>
      <c r="L1667" s="12">
        <f t="shared" si="112"/>
        <v>0</v>
      </c>
      <c r="M1667" s="4">
        <f t="shared" si="113"/>
        <v>0</v>
      </c>
      <c r="N1667" s="4">
        <f t="shared" si="114"/>
        <v>0</v>
      </c>
      <c r="O1667" s="13">
        <f t="shared" si="115"/>
        <v>0</v>
      </c>
    </row>
    <row r="1668" spans="2:15">
      <c r="B1668" s="12">
        <v>14</v>
      </c>
      <c r="C1668" s="4" t="s">
        <v>152</v>
      </c>
      <c r="D1668" s="4" t="s">
        <v>154</v>
      </c>
      <c r="E1668" s="4">
        <v>11</v>
      </c>
      <c r="F1668" s="4">
        <v>3</v>
      </c>
      <c r="G1668" s="4">
        <v>7</v>
      </c>
      <c r="H1668" s="115"/>
      <c r="I1668" s="115"/>
      <c r="J1668" s="115"/>
      <c r="K1668" s="115">
        <v>0</v>
      </c>
      <c r="L1668" s="12">
        <f t="shared" si="112"/>
        <v>0</v>
      </c>
      <c r="M1668" s="4">
        <f t="shared" si="113"/>
        <v>0</v>
      </c>
      <c r="N1668" s="4">
        <f t="shared" si="114"/>
        <v>0</v>
      </c>
      <c r="O1668" s="13">
        <f t="shared" si="115"/>
        <v>0</v>
      </c>
    </row>
    <row r="1669" spans="2:15">
      <c r="B1669" s="12">
        <v>14</v>
      </c>
      <c r="C1669" s="4" t="s">
        <v>152</v>
      </c>
      <c r="D1669" s="4" t="s">
        <v>154</v>
      </c>
      <c r="E1669" s="4">
        <v>11</v>
      </c>
      <c r="F1669" s="4">
        <v>3</v>
      </c>
      <c r="G1669" s="4">
        <v>8</v>
      </c>
      <c r="H1669" s="115"/>
      <c r="I1669" s="115"/>
      <c r="J1669" s="115"/>
      <c r="K1669" s="115">
        <v>0</v>
      </c>
      <c r="L1669" s="12">
        <f t="shared" si="112"/>
        <v>0</v>
      </c>
      <c r="M1669" s="4">
        <f t="shared" si="113"/>
        <v>0</v>
      </c>
      <c r="N1669" s="4">
        <f t="shared" si="114"/>
        <v>0</v>
      </c>
      <c r="O1669" s="13">
        <f t="shared" si="115"/>
        <v>0</v>
      </c>
    </row>
    <row r="1670" spans="2:15">
      <c r="B1670" s="12">
        <v>14</v>
      </c>
      <c r="C1670" s="4" t="s">
        <v>152</v>
      </c>
      <c r="D1670" s="4" t="s">
        <v>154</v>
      </c>
      <c r="E1670" s="4">
        <v>11</v>
      </c>
      <c r="F1670" s="4">
        <v>3</v>
      </c>
      <c r="G1670" s="4">
        <v>9</v>
      </c>
      <c r="H1670" s="115"/>
      <c r="I1670" s="115"/>
      <c r="J1670" s="115"/>
      <c r="K1670" s="115">
        <v>0</v>
      </c>
      <c r="L1670" s="12">
        <f t="shared" si="112"/>
        <v>0</v>
      </c>
      <c r="M1670" s="4">
        <f t="shared" si="113"/>
        <v>0</v>
      </c>
      <c r="N1670" s="4">
        <f t="shared" si="114"/>
        <v>0</v>
      </c>
      <c r="O1670" s="13">
        <f t="shared" si="115"/>
        <v>0</v>
      </c>
    </row>
    <row r="1671" spans="2:15" ht="13.8" thickBot="1">
      <c r="B1671" s="14">
        <v>14</v>
      </c>
      <c r="C1671" s="15" t="s">
        <v>152</v>
      </c>
      <c r="D1671" s="15" t="s">
        <v>154</v>
      </c>
      <c r="E1671" s="15">
        <v>11</v>
      </c>
      <c r="F1671" s="15">
        <v>3</v>
      </c>
      <c r="G1671" s="15">
        <v>10</v>
      </c>
      <c r="H1671" s="121"/>
      <c r="I1671" s="121"/>
      <c r="J1671" s="121"/>
      <c r="K1671" s="121">
        <v>0</v>
      </c>
      <c r="L1671" s="14">
        <f t="shared" si="112"/>
        <v>0</v>
      </c>
      <c r="M1671" s="15">
        <f t="shared" si="113"/>
        <v>0</v>
      </c>
      <c r="N1671" s="15">
        <f t="shared" si="114"/>
        <v>0</v>
      </c>
      <c r="O1671" s="16">
        <f t="shared" si="115"/>
        <v>0</v>
      </c>
    </row>
    <row r="1672" spans="2:15">
      <c r="B1672" s="9">
        <v>14</v>
      </c>
      <c r="C1672" s="10" t="s">
        <v>152</v>
      </c>
      <c r="D1672" s="10" t="s">
        <v>154</v>
      </c>
      <c r="E1672" s="93">
        <v>12</v>
      </c>
      <c r="F1672" s="93">
        <v>1</v>
      </c>
      <c r="G1672" s="10">
        <v>1</v>
      </c>
      <c r="H1672" s="120">
        <v>0.20000000000000284</v>
      </c>
      <c r="I1672" s="120">
        <v>0.28400000000000603</v>
      </c>
      <c r="J1672" s="120">
        <v>0.68300000000000693</v>
      </c>
      <c r="K1672" s="120">
        <v>1.1670000000000158</v>
      </c>
      <c r="L1672" s="9">
        <f t="shared" si="112"/>
        <v>7.9181246047625858E-2</v>
      </c>
      <c r="M1672" s="10">
        <f t="shared" si="113"/>
        <v>0.10856502373283651</v>
      </c>
      <c r="N1672" s="10">
        <f t="shared" si="114"/>
        <v>0.22608411597582564</v>
      </c>
      <c r="O1672" s="11">
        <f t="shared" si="115"/>
        <v>0.33585891131982115</v>
      </c>
    </row>
    <row r="1673" spans="2:15">
      <c r="B1673" s="12">
        <v>14</v>
      </c>
      <c r="C1673" s="4" t="s">
        <v>152</v>
      </c>
      <c r="D1673" s="4" t="s">
        <v>154</v>
      </c>
      <c r="E1673" s="4">
        <v>12</v>
      </c>
      <c r="F1673" s="4">
        <v>1</v>
      </c>
      <c r="G1673" s="4">
        <v>2</v>
      </c>
      <c r="H1673" s="115">
        <v>0.23299999999998988</v>
      </c>
      <c r="I1673" s="115">
        <v>0.78299999999998704</v>
      </c>
      <c r="J1673" s="115">
        <v>0.56700000000002149</v>
      </c>
      <c r="K1673" s="115">
        <v>1.5829999999999984</v>
      </c>
      <c r="L1673" s="12">
        <f t="shared" si="112"/>
        <v>9.0963076595728082E-2</v>
      </c>
      <c r="M1673" s="4">
        <f t="shared" si="113"/>
        <v>0.25115134317535143</v>
      </c>
      <c r="N1673" s="4">
        <f t="shared" si="114"/>
        <v>0.19506899646859607</v>
      </c>
      <c r="O1673" s="13">
        <f t="shared" si="115"/>
        <v>0.41212440617331692</v>
      </c>
    </row>
    <row r="1674" spans="2:15">
      <c r="B1674" s="12">
        <v>14</v>
      </c>
      <c r="C1674" s="4" t="s">
        <v>152</v>
      </c>
      <c r="D1674" s="4" t="s">
        <v>154</v>
      </c>
      <c r="E1674" s="4">
        <v>12</v>
      </c>
      <c r="F1674" s="4">
        <v>1</v>
      </c>
      <c r="G1674" s="4">
        <v>3</v>
      </c>
      <c r="H1674" s="115">
        <v>0.38400000000001455</v>
      </c>
      <c r="I1674" s="115">
        <v>3.762999999999991</v>
      </c>
      <c r="J1674" s="115">
        <v>0.58299999999999841</v>
      </c>
      <c r="K1674" s="115">
        <v>4.730000000000004</v>
      </c>
      <c r="L1674" s="12">
        <f t="shared" si="112"/>
        <v>0.14113609012074357</v>
      </c>
      <c r="M1674" s="4">
        <f t="shared" si="113"/>
        <v>0.6778805815115897</v>
      </c>
      <c r="N1674" s="4">
        <f t="shared" si="114"/>
        <v>0.19948091486235547</v>
      </c>
      <c r="O1674" s="13">
        <f t="shared" si="115"/>
        <v>0.75815462196739025</v>
      </c>
    </row>
    <row r="1675" spans="2:15">
      <c r="B1675" s="12">
        <v>14</v>
      </c>
      <c r="C1675" s="4" t="s">
        <v>152</v>
      </c>
      <c r="D1675" s="4" t="s">
        <v>154</v>
      </c>
      <c r="E1675" s="4">
        <v>12</v>
      </c>
      <c r="F1675" s="4">
        <v>1</v>
      </c>
      <c r="G1675" s="4">
        <v>4</v>
      </c>
      <c r="H1675" s="115">
        <v>0.11700000000000443</v>
      </c>
      <c r="I1675" s="115"/>
      <c r="J1675" s="115"/>
      <c r="K1675" s="115">
        <v>0.11700000000000443</v>
      </c>
      <c r="L1675" s="12">
        <f t="shared" si="112"/>
        <v>4.8053173115610782E-2</v>
      </c>
      <c r="M1675" s="4">
        <f t="shared" si="113"/>
        <v>0</v>
      </c>
      <c r="N1675" s="4">
        <f t="shared" si="114"/>
        <v>0</v>
      </c>
      <c r="O1675" s="13">
        <f t="shared" si="115"/>
        <v>4.8053173115610782E-2</v>
      </c>
    </row>
    <row r="1676" spans="2:15">
      <c r="B1676" s="12">
        <v>14</v>
      </c>
      <c r="C1676" s="4" t="s">
        <v>152</v>
      </c>
      <c r="D1676" s="4" t="s">
        <v>154</v>
      </c>
      <c r="E1676" s="4">
        <v>12</v>
      </c>
      <c r="F1676" s="4">
        <v>1</v>
      </c>
      <c r="G1676" s="4">
        <v>5</v>
      </c>
      <c r="H1676" s="115"/>
      <c r="I1676" s="115"/>
      <c r="J1676" s="115"/>
      <c r="K1676" s="115">
        <v>0</v>
      </c>
      <c r="L1676" s="12">
        <f t="shared" si="112"/>
        <v>0</v>
      </c>
      <c r="M1676" s="4">
        <f t="shared" si="113"/>
        <v>0</v>
      </c>
      <c r="N1676" s="4">
        <f t="shared" si="114"/>
        <v>0</v>
      </c>
      <c r="O1676" s="13">
        <f t="shared" si="115"/>
        <v>0</v>
      </c>
    </row>
    <row r="1677" spans="2:15">
      <c r="B1677" s="12">
        <v>14</v>
      </c>
      <c r="C1677" s="4" t="s">
        <v>152</v>
      </c>
      <c r="D1677" s="4" t="s">
        <v>154</v>
      </c>
      <c r="E1677" s="4">
        <v>12</v>
      </c>
      <c r="F1677" s="4">
        <v>1</v>
      </c>
      <c r="G1677" s="4">
        <v>6</v>
      </c>
      <c r="H1677" s="115"/>
      <c r="I1677" s="115"/>
      <c r="J1677" s="115"/>
      <c r="K1677" s="115">
        <v>0</v>
      </c>
      <c r="L1677" s="12">
        <f t="shared" si="112"/>
        <v>0</v>
      </c>
      <c r="M1677" s="4">
        <f t="shared" si="113"/>
        <v>0</v>
      </c>
      <c r="N1677" s="4">
        <f t="shared" si="114"/>
        <v>0</v>
      </c>
      <c r="O1677" s="13">
        <f t="shared" si="115"/>
        <v>0</v>
      </c>
    </row>
    <row r="1678" spans="2:15">
      <c r="B1678" s="12">
        <v>14</v>
      </c>
      <c r="C1678" s="4" t="s">
        <v>152</v>
      </c>
      <c r="D1678" s="4" t="s">
        <v>154</v>
      </c>
      <c r="E1678" s="4">
        <v>12</v>
      </c>
      <c r="F1678" s="4">
        <v>1</v>
      </c>
      <c r="G1678" s="4">
        <v>7</v>
      </c>
      <c r="H1678" s="115"/>
      <c r="I1678" s="115"/>
      <c r="J1678" s="115"/>
      <c r="K1678" s="115">
        <v>0</v>
      </c>
      <c r="L1678" s="12">
        <f t="shared" si="112"/>
        <v>0</v>
      </c>
      <c r="M1678" s="4">
        <f t="shared" si="113"/>
        <v>0</v>
      </c>
      <c r="N1678" s="4">
        <f t="shared" si="114"/>
        <v>0</v>
      </c>
      <c r="O1678" s="13">
        <f t="shared" si="115"/>
        <v>0</v>
      </c>
    </row>
    <row r="1679" spans="2:15">
      <c r="B1679" s="12">
        <v>14</v>
      </c>
      <c r="C1679" s="4" t="s">
        <v>152</v>
      </c>
      <c r="D1679" s="4" t="s">
        <v>154</v>
      </c>
      <c r="E1679" s="4">
        <v>12</v>
      </c>
      <c r="F1679" s="4">
        <v>1</v>
      </c>
      <c r="G1679" s="4">
        <v>8</v>
      </c>
      <c r="H1679" s="115"/>
      <c r="I1679" s="115"/>
      <c r="J1679" s="115"/>
      <c r="K1679" s="115">
        <v>0</v>
      </c>
      <c r="L1679" s="12">
        <f t="shared" si="112"/>
        <v>0</v>
      </c>
      <c r="M1679" s="4">
        <f t="shared" si="113"/>
        <v>0</v>
      </c>
      <c r="N1679" s="4">
        <f t="shared" si="114"/>
        <v>0</v>
      </c>
      <c r="O1679" s="13">
        <f t="shared" si="115"/>
        <v>0</v>
      </c>
    </row>
    <row r="1680" spans="2:15">
      <c r="B1680" s="12">
        <v>14</v>
      </c>
      <c r="C1680" s="4" t="s">
        <v>152</v>
      </c>
      <c r="D1680" s="4" t="s">
        <v>154</v>
      </c>
      <c r="E1680" s="4">
        <v>12</v>
      </c>
      <c r="F1680" s="4">
        <v>1</v>
      </c>
      <c r="G1680" s="4">
        <v>9</v>
      </c>
      <c r="H1680" s="115"/>
      <c r="I1680" s="115"/>
      <c r="J1680" s="115"/>
      <c r="K1680" s="115">
        <v>0</v>
      </c>
      <c r="L1680" s="12">
        <f t="shared" si="112"/>
        <v>0</v>
      </c>
      <c r="M1680" s="4">
        <f t="shared" si="113"/>
        <v>0</v>
      </c>
      <c r="N1680" s="4">
        <f t="shared" si="114"/>
        <v>0</v>
      </c>
      <c r="O1680" s="13">
        <f t="shared" si="115"/>
        <v>0</v>
      </c>
    </row>
    <row r="1681" spans="2:15" ht="13.8" thickBot="1">
      <c r="B1681" s="14">
        <v>14</v>
      </c>
      <c r="C1681" s="15" t="s">
        <v>152</v>
      </c>
      <c r="D1681" s="15" t="s">
        <v>154</v>
      </c>
      <c r="E1681" s="15">
        <v>12</v>
      </c>
      <c r="F1681" s="15">
        <v>1</v>
      </c>
      <c r="G1681" s="15">
        <v>10</v>
      </c>
      <c r="H1681" s="121"/>
      <c r="I1681" s="121"/>
      <c r="J1681" s="121"/>
      <c r="K1681" s="121">
        <v>0</v>
      </c>
      <c r="L1681" s="14">
        <f t="shared" si="112"/>
        <v>0</v>
      </c>
      <c r="M1681" s="15">
        <f t="shared" si="113"/>
        <v>0</v>
      </c>
      <c r="N1681" s="15">
        <f t="shared" si="114"/>
        <v>0</v>
      </c>
      <c r="O1681" s="16">
        <f t="shared" si="115"/>
        <v>0</v>
      </c>
    </row>
    <row r="1682" spans="2:15">
      <c r="B1682" s="9">
        <v>15</v>
      </c>
      <c r="C1682" s="10" t="s">
        <v>151</v>
      </c>
      <c r="D1682" s="10" t="s">
        <v>149</v>
      </c>
      <c r="E1682" s="93">
        <v>1</v>
      </c>
      <c r="F1682" s="93">
        <v>4</v>
      </c>
      <c r="G1682" s="10">
        <v>1</v>
      </c>
      <c r="H1682" s="120">
        <v>1.2009999999999934</v>
      </c>
      <c r="I1682" s="120">
        <v>0.21600000000000819</v>
      </c>
      <c r="J1682" s="120"/>
      <c r="K1682" s="120">
        <v>1.4170000000000016</v>
      </c>
      <c r="L1682" s="9">
        <f t="shared" si="112"/>
        <v>0.34262004255334666</v>
      </c>
      <c r="M1682" s="10">
        <f t="shared" si="113"/>
        <v>8.4933574936719061E-2</v>
      </c>
      <c r="N1682" s="10">
        <f t="shared" si="114"/>
        <v>0</v>
      </c>
      <c r="O1682" s="11">
        <f t="shared" si="115"/>
        <v>0.38327665040765063</v>
      </c>
    </row>
    <row r="1683" spans="2:15">
      <c r="B1683" s="12">
        <v>15</v>
      </c>
      <c r="C1683" s="4" t="s">
        <v>151</v>
      </c>
      <c r="D1683" s="4" t="s">
        <v>149</v>
      </c>
      <c r="E1683" s="4">
        <v>1</v>
      </c>
      <c r="F1683" s="4">
        <v>4</v>
      </c>
      <c r="G1683" s="4">
        <v>2</v>
      </c>
      <c r="H1683" s="115"/>
      <c r="I1683" s="115">
        <v>0.14999999999997726</v>
      </c>
      <c r="J1683" s="115">
        <v>0.36599999999998545</v>
      </c>
      <c r="K1683" s="115">
        <v>0.51599999999996271</v>
      </c>
      <c r="L1683" s="12">
        <f t="shared" si="112"/>
        <v>0</v>
      </c>
      <c r="M1683" s="4">
        <f t="shared" si="113"/>
        <v>6.0697840353603094E-2</v>
      </c>
      <c r="N1683" s="4">
        <f t="shared" si="114"/>
        <v>0.13545069934550913</v>
      </c>
      <c r="O1683" s="13">
        <f t="shared" si="115"/>
        <v>0.18069920129602404</v>
      </c>
    </row>
    <row r="1684" spans="2:15">
      <c r="B1684" s="12">
        <v>15</v>
      </c>
      <c r="C1684" s="4" t="s">
        <v>151</v>
      </c>
      <c r="D1684" s="4" t="s">
        <v>149</v>
      </c>
      <c r="E1684" s="4">
        <v>1</v>
      </c>
      <c r="F1684" s="4">
        <v>4</v>
      </c>
      <c r="G1684" s="4">
        <v>3</v>
      </c>
      <c r="H1684" s="115"/>
      <c r="I1684" s="115"/>
      <c r="J1684" s="115"/>
      <c r="K1684" s="115">
        <v>0</v>
      </c>
      <c r="L1684" s="12">
        <f t="shared" si="112"/>
        <v>0</v>
      </c>
      <c r="M1684" s="4">
        <f t="shared" si="113"/>
        <v>0</v>
      </c>
      <c r="N1684" s="4">
        <f t="shared" si="114"/>
        <v>0</v>
      </c>
      <c r="O1684" s="13">
        <f t="shared" si="115"/>
        <v>0</v>
      </c>
    </row>
    <row r="1685" spans="2:15">
      <c r="B1685" s="12">
        <v>15</v>
      </c>
      <c r="C1685" s="4" t="s">
        <v>151</v>
      </c>
      <c r="D1685" s="4" t="s">
        <v>149</v>
      </c>
      <c r="E1685" s="4">
        <v>1</v>
      </c>
      <c r="F1685" s="4">
        <v>4</v>
      </c>
      <c r="G1685" s="4">
        <v>4</v>
      </c>
      <c r="H1685" s="115"/>
      <c r="I1685" s="115"/>
      <c r="J1685" s="115"/>
      <c r="K1685" s="115">
        <v>0</v>
      </c>
      <c r="L1685" s="12">
        <f t="shared" si="112"/>
        <v>0</v>
      </c>
      <c r="M1685" s="4">
        <f t="shared" si="113"/>
        <v>0</v>
      </c>
      <c r="N1685" s="4">
        <f t="shared" si="114"/>
        <v>0</v>
      </c>
      <c r="O1685" s="13">
        <f t="shared" si="115"/>
        <v>0</v>
      </c>
    </row>
    <row r="1686" spans="2:15">
      <c r="B1686" s="12">
        <v>15</v>
      </c>
      <c r="C1686" s="4" t="s">
        <v>151</v>
      </c>
      <c r="D1686" s="4" t="s">
        <v>149</v>
      </c>
      <c r="E1686" s="4">
        <v>1</v>
      </c>
      <c r="F1686" s="4">
        <v>4</v>
      </c>
      <c r="G1686" s="4">
        <v>5</v>
      </c>
      <c r="H1686" s="115"/>
      <c r="I1686" s="115"/>
      <c r="J1686" s="115"/>
      <c r="K1686" s="115">
        <v>0</v>
      </c>
      <c r="L1686" s="12">
        <f t="shared" si="112"/>
        <v>0</v>
      </c>
      <c r="M1686" s="4">
        <f t="shared" si="113"/>
        <v>0</v>
      </c>
      <c r="N1686" s="4">
        <f t="shared" si="114"/>
        <v>0</v>
      </c>
      <c r="O1686" s="13">
        <f t="shared" si="115"/>
        <v>0</v>
      </c>
    </row>
    <row r="1687" spans="2:15">
      <c r="B1687" s="12">
        <v>15</v>
      </c>
      <c r="C1687" s="4" t="s">
        <v>151</v>
      </c>
      <c r="D1687" s="4" t="s">
        <v>149</v>
      </c>
      <c r="E1687" s="4">
        <v>1</v>
      </c>
      <c r="F1687" s="4">
        <v>4</v>
      </c>
      <c r="G1687" s="4">
        <v>6</v>
      </c>
      <c r="H1687" s="115"/>
      <c r="I1687" s="115"/>
      <c r="J1687" s="115"/>
      <c r="K1687" s="115">
        <v>0</v>
      </c>
      <c r="L1687" s="12">
        <f t="shared" si="112"/>
        <v>0</v>
      </c>
      <c r="M1687" s="4">
        <f t="shared" si="113"/>
        <v>0</v>
      </c>
      <c r="N1687" s="4">
        <f t="shared" si="114"/>
        <v>0</v>
      </c>
      <c r="O1687" s="13">
        <f t="shared" si="115"/>
        <v>0</v>
      </c>
    </row>
    <row r="1688" spans="2:15">
      <c r="B1688" s="12">
        <v>15</v>
      </c>
      <c r="C1688" s="4" t="s">
        <v>151</v>
      </c>
      <c r="D1688" s="4" t="s">
        <v>149</v>
      </c>
      <c r="E1688" s="4">
        <v>1</v>
      </c>
      <c r="F1688" s="4">
        <v>4</v>
      </c>
      <c r="G1688" s="4">
        <v>7</v>
      </c>
      <c r="H1688" s="115"/>
      <c r="I1688" s="115"/>
      <c r="J1688" s="115"/>
      <c r="K1688" s="115">
        <v>0</v>
      </c>
      <c r="L1688" s="12">
        <f t="shared" si="112"/>
        <v>0</v>
      </c>
      <c r="M1688" s="4">
        <f t="shared" si="113"/>
        <v>0</v>
      </c>
      <c r="N1688" s="4">
        <f t="shared" si="114"/>
        <v>0</v>
      </c>
      <c r="O1688" s="13">
        <f t="shared" si="115"/>
        <v>0</v>
      </c>
    </row>
    <row r="1689" spans="2:15">
      <c r="B1689" s="12">
        <v>15</v>
      </c>
      <c r="C1689" s="4" t="s">
        <v>151</v>
      </c>
      <c r="D1689" s="4" t="s">
        <v>149</v>
      </c>
      <c r="E1689" s="4">
        <v>1</v>
      </c>
      <c r="F1689" s="4">
        <v>4</v>
      </c>
      <c r="G1689" s="4">
        <v>8</v>
      </c>
      <c r="H1689" s="115"/>
      <c r="I1689" s="115"/>
      <c r="J1689" s="115"/>
      <c r="K1689" s="115">
        <v>0</v>
      </c>
      <c r="L1689" s="12">
        <f t="shared" si="112"/>
        <v>0</v>
      </c>
      <c r="M1689" s="4">
        <f t="shared" si="113"/>
        <v>0</v>
      </c>
      <c r="N1689" s="4">
        <f t="shared" si="114"/>
        <v>0</v>
      </c>
      <c r="O1689" s="13">
        <f t="shared" si="115"/>
        <v>0</v>
      </c>
    </row>
    <row r="1690" spans="2:15">
      <c r="B1690" s="12">
        <v>15</v>
      </c>
      <c r="C1690" s="4" t="s">
        <v>151</v>
      </c>
      <c r="D1690" s="4" t="s">
        <v>149</v>
      </c>
      <c r="E1690" s="4">
        <v>1</v>
      </c>
      <c r="F1690" s="4">
        <v>4</v>
      </c>
      <c r="G1690" s="4">
        <v>9</v>
      </c>
      <c r="H1690" s="115"/>
      <c r="I1690" s="115"/>
      <c r="J1690" s="115"/>
      <c r="K1690" s="115">
        <v>0</v>
      </c>
      <c r="L1690" s="12">
        <f t="shared" si="112"/>
        <v>0</v>
      </c>
      <c r="M1690" s="4">
        <f t="shared" si="113"/>
        <v>0</v>
      </c>
      <c r="N1690" s="4">
        <f t="shared" si="114"/>
        <v>0</v>
      </c>
      <c r="O1690" s="13">
        <f t="shared" si="115"/>
        <v>0</v>
      </c>
    </row>
    <row r="1691" spans="2:15" ht="13.8" thickBot="1">
      <c r="B1691" s="14">
        <v>15</v>
      </c>
      <c r="C1691" s="15" t="s">
        <v>151</v>
      </c>
      <c r="D1691" s="15" t="s">
        <v>149</v>
      </c>
      <c r="E1691" s="15">
        <v>1</v>
      </c>
      <c r="F1691" s="15">
        <v>4</v>
      </c>
      <c r="G1691" s="15">
        <v>10</v>
      </c>
      <c r="H1691" s="121"/>
      <c r="I1691" s="121"/>
      <c r="J1691" s="121"/>
      <c r="K1691" s="121">
        <v>0</v>
      </c>
      <c r="L1691" s="14">
        <f t="shared" si="112"/>
        <v>0</v>
      </c>
      <c r="M1691" s="15">
        <f t="shared" si="113"/>
        <v>0</v>
      </c>
      <c r="N1691" s="15">
        <f t="shared" si="114"/>
        <v>0</v>
      </c>
      <c r="O1691" s="16">
        <f t="shared" si="115"/>
        <v>0</v>
      </c>
    </row>
    <row r="1692" spans="2:15">
      <c r="B1692" s="9">
        <v>15</v>
      </c>
      <c r="C1692" s="10" t="s">
        <v>151</v>
      </c>
      <c r="D1692" s="10" t="s">
        <v>150</v>
      </c>
      <c r="E1692" s="93">
        <v>2</v>
      </c>
      <c r="F1692" s="93">
        <v>10</v>
      </c>
      <c r="G1692" s="10">
        <v>1</v>
      </c>
      <c r="H1692" s="120">
        <v>4.6990000000000691</v>
      </c>
      <c r="I1692" s="120"/>
      <c r="J1692" s="120">
        <v>7.5809999999999036</v>
      </c>
      <c r="K1692" s="120">
        <v>12.279999999999973</v>
      </c>
      <c r="L1692" s="9">
        <f t="shared" si="112"/>
        <v>0.75579865697383586</v>
      </c>
      <c r="M1692" s="10">
        <f t="shared" si="113"/>
        <v>0</v>
      </c>
      <c r="N1692" s="10">
        <f t="shared" si="114"/>
        <v>0.93353790197169984</v>
      </c>
      <c r="O1692" s="11">
        <f t="shared" si="115"/>
        <v>1.1231980750319979</v>
      </c>
    </row>
    <row r="1693" spans="2:15">
      <c r="B1693" s="12">
        <v>15</v>
      </c>
      <c r="C1693" s="4" t="s">
        <v>151</v>
      </c>
      <c r="D1693" s="4" t="s">
        <v>150</v>
      </c>
      <c r="E1693" s="4">
        <v>2</v>
      </c>
      <c r="F1693" s="4">
        <v>10</v>
      </c>
      <c r="G1693" s="4">
        <v>2</v>
      </c>
      <c r="H1693" s="115">
        <v>2.981000000000563</v>
      </c>
      <c r="I1693" s="115">
        <v>0.59900000000004638</v>
      </c>
      <c r="J1693" s="115">
        <v>3.4169999999999163</v>
      </c>
      <c r="K1693" s="115">
        <v>6.9970000000005257</v>
      </c>
      <c r="L1693" s="12">
        <f t="shared" si="112"/>
        <v>0.59999217758415935</v>
      </c>
      <c r="M1693" s="4">
        <f t="shared" si="113"/>
        <v>0.20384846374624729</v>
      </c>
      <c r="N1693" s="4">
        <f t="shared" si="114"/>
        <v>0.64512739925838292</v>
      </c>
      <c r="O1693" s="13">
        <f t="shared" si="115"/>
        <v>0.90292709601729138</v>
      </c>
    </row>
    <row r="1694" spans="2:15">
      <c r="B1694" s="12">
        <v>15</v>
      </c>
      <c r="C1694" s="4" t="s">
        <v>151</v>
      </c>
      <c r="D1694" s="4" t="s">
        <v>150</v>
      </c>
      <c r="E1694" s="4">
        <v>2</v>
      </c>
      <c r="F1694" s="4">
        <v>10</v>
      </c>
      <c r="G1694" s="4">
        <v>3</v>
      </c>
      <c r="H1694" s="115">
        <v>6.098999999999819</v>
      </c>
      <c r="I1694" s="115">
        <v>2.6010000000001128</v>
      </c>
      <c r="J1694" s="115">
        <v>1.9649999999999181</v>
      </c>
      <c r="K1694" s="115">
        <v>10.66499999999985</v>
      </c>
      <c r="L1694" s="12">
        <f t="shared" si="112"/>
        <v>0.85119717617414958</v>
      </c>
      <c r="M1694" s="4">
        <f t="shared" si="113"/>
        <v>0.5564231213712989</v>
      </c>
      <c r="N1694" s="4">
        <f t="shared" si="114"/>
        <v>0.47202469770026945</v>
      </c>
      <c r="O1694" s="13">
        <f t="shared" si="115"/>
        <v>1.0668847431297659</v>
      </c>
    </row>
    <row r="1695" spans="2:15">
      <c r="B1695" s="12">
        <v>15</v>
      </c>
      <c r="C1695" s="4" t="s">
        <v>151</v>
      </c>
      <c r="D1695" s="4" t="s">
        <v>150</v>
      </c>
      <c r="E1695" s="4">
        <v>2</v>
      </c>
      <c r="F1695" s="4">
        <v>10</v>
      </c>
      <c r="G1695" s="4">
        <v>4</v>
      </c>
      <c r="H1695" s="115">
        <v>3.6470000000001619</v>
      </c>
      <c r="I1695" s="115">
        <v>0.38400000000001455</v>
      </c>
      <c r="J1695" s="115">
        <v>1.6490000000000009</v>
      </c>
      <c r="K1695" s="115">
        <v>5.6800000000001774</v>
      </c>
      <c r="L1695" s="12">
        <f t="shared" si="112"/>
        <v>0.66717267247888357</v>
      </c>
      <c r="M1695" s="4">
        <f t="shared" si="113"/>
        <v>0.14113609012074357</v>
      </c>
      <c r="N1695" s="4">
        <f t="shared" si="114"/>
        <v>0.42308195829723116</v>
      </c>
      <c r="O1695" s="13">
        <f t="shared" si="115"/>
        <v>0.82477646247555725</v>
      </c>
    </row>
    <row r="1696" spans="2:15">
      <c r="B1696" s="12">
        <v>15</v>
      </c>
      <c r="C1696" s="4" t="s">
        <v>151</v>
      </c>
      <c r="D1696" s="4" t="s">
        <v>150</v>
      </c>
      <c r="E1696" s="4">
        <v>2</v>
      </c>
      <c r="F1696" s="4">
        <v>10</v>
      </c>
      <c r="G1696" s="4">
        <v>5</v>
      </c>
      <c r="H1696" s="115">
        <v>2.1319999999998345</v>
      </c>
      <c r="I1696" s="115">
        <v>1.0500000000000682</v>
      </c>
      <c r="J1696" s="115">
        <v>2.3470000000002074</v>
      </c>
      <c r="K1696" s="115">
        <v>5.52900000000011</v>
      </c>
      <c r="L1696" s="12">
        <f t="shared" si="112"/>
        <v>0.49582175338588286</v>
      </c>
      <c r="M1696" s="4">
        <f t="shared" si="113"/>
        <v>0.31175386105576874</v>
      </c>
      <c r="N1696" s="4">
        <f t="shared" si="114"/>
        <v>0.52465571235780406</v>
      </c>
      <c r="O1696" s="13">
        <f t="shared" si="115"/>
        <v>0.81484666860447064</v>
      </c>
    </row>
    <row r="1697" spans="2:15">
      <c r="B1697" s="12">
        <v>15</v>
      </c>
      <c r="C1697" s="4" t="s">
        <v>151</v>
      </c>
      <c r="D1697" s="4" t="s">
        <v>150</v>
      </c>
      <c r="E1697" s="4">
        <v>2</v>
      </c>
      <c r="F1697" s="4">
        <v>10</v>
      </c>
      <c r="G1697" s="4">
        <v>6</v>
      </c>
      <c r="H1697" s="115">
        <v>1.8139999999999645</v>
      </c>
      <c r="I1697" s="115">
        <v>0.2339999999999236</v>
      </c>
      <c r="J1697" s="115">
        <v>3.3170000000000073</v>
      </c>
      <c r="K1697" s="115">
        <v>5.3649999999998954</v>
      </c>
      <c r="L1697" s="12">
        <f t="shared" si="112"/>
        <v>0.4493240930987214</v>
      </c>
      <c r="M1697" s="4">
        <f t="shared" si="113"/>
        <v>9.1315159697195988E-2</v>
      </c>
      <c r="N1697" s="4">
        <f t="shared" si="114"/>
        <v>0.63518204865626837</v>
      </c>
      <c r="O1697" s="13">
        <f t="shared" si="115"/>
        <v>0.80379840798966706</v>
      </c>
    </row>
    <row r="1698" spans="2:15">
      <c r="B1698" s="12">
        <v>15</v>
      </c>
      <c r="C1698" s="4" t="s">
        <v>151</v>
      </c>
      <c r="D1698" s="4" t="s">
        <v>150</v>
      </c>
      <c r="E1698" s="4">
        <v>2</v>
      </c>
      <c r="F1698" s="4">
        <v>10</v>
      </c>
      <c r="G1698" s="4">
        <v>7</v>
      </c>
      <c r="H1698" s="115">
        <v>0.45000000000004547</v>
      </c>
      <c r="I1698" s="115">
        <v>0.71699999999987085</v>
      </c>
      <c r="J1698" s="115">
        <v>1.8830000000001519</v>
      </c>
      <c r="K1698" s="115">
        <v>3.0500000000000682</v>
      </c>
      <c r="L1698" s="12">
        <f t="shared" si="112"/>
        <v>0.16136800223498851</v>
      </c>
      <c r="M1698" s="4">
        <f t="shared" si="113"/>
        <v>0.23477029516088382</v>
      </c>
      <c r="N1698" s="4">
        <f t="shared" si="114"/>
        <v>0.4598446423882307</v>
      </c>
      <c r="O1698" s="13">
        <f t="shared" si="115"/>
        <v>0.60745502321467582</v>
      </c>
    </row>
    <row r="1699" spans="2:15">
      <c r="B1699" s="12">
        <v>15</v>
      </c>
      <c r="C1699" s="4" t="s">
        <v>151</v>
      </c>
      <c r="D1699" s="4" t="s">
        <v>150</v>
      </c>
      <c r="E1699" s="4">
        <v>2</v>
      </c>
      <c r="F1699" s="4">
        <v>10</v>
      </c>
      <c r="G1699" s="4">
        <v>8</v>
      </c>
      <c r="H1699" s="115">
        <v>0.41699999999991633</v>
      </c>
      <c r="I1699" s="115">
        <v>0.41700000000003001</v>
      </c>
      <c r="J1699" s="115">
        <v>1.5320000000000391</v>
      </c>
      <c r="K1699" s="115">
        <v>2.3659999999999854</v>
      </c>
      <c r="L1699" s="12">
        <f t="shared" si="112"/>
        <v>0.15136985024743477</v>
      </c>
      <c r="M1699" s="4">
        <f t="shared" si="113"/>
        <v>0.1513698502474696</v>
      </c>
      <c r="N1699" s="4">
        <f t="shared" si="114"/>
        <v>0.40346370134532422</v>
      </c>
      <c r="O1699" s="13">
        <f t="shared" si="115"/>
        <v>0.52711411163980315</v>
      </c>
    </row>
    <row r="1700" spans="2:15">
      <c r="B1700" s="12">
        <v>15</v>
      </c>
      <c r="C1700" s="4" t="s">
        <v>151</v>
      </c>
      <c r="D1700" s="4" t="s">
        <v>150</v>
      </c>
      <c r="E1700" s="4">
        <v>2</v>
      </c>
      <c r="F1700" s="4">
        <v>10</v>
      </c>
      <c r="G1700" s="4">
        <v>9</v>
      </c>
      <c r="H1700" s="115">
        <v>0.61700000000007549</v>
      </c>
      <c r="I1700" s="115">
        <v>0.11700000000007549</v>
      </c>
      <c r="J1700" s="115">
        <v>1.6000000000000227</v>
      </c>
      <c r="K1700" s="115">
        <v>2.3340000000001737</v>
      </c>
      <c r="L1700" s="12">
        <f t="shared" si="112"/>
        <v>0.20871001990642141</v>
      </c>
      <c r="M1700" s="4">
        <f t="shared" si="113"/>
        <v>4.8053173115638406E-2</v>
      </c>
      <c r="N1700" s="4">
        <f t="shared" si="114"/>
        <v>0.41497334797082175</v>
      </c>
      <c r="O1700" s="13">
        <f t="shared" si="115"/>
        <v>0.52296559549200916</v>
      </c>
    </row>
    <row r="1701" spans="2:15" ht="13.8" thickBot="1">
      <c r="B1701" s="14">
        <v>15</v>
      </c>
      <c r="C1701" s="15" t="s">
        <v>151</v>
      </c>
      <c r="D1701" s="15" t="s">
        <v>150</v>
      </c>
      <c r="E1701" s="15">
        <v>2</v>
      </c>
      <c r="F1701" s="15">
        <v>10</v>
      </c>
      <c r="G1701" s="15">
        <v>10</v>
      </c>
      <c r="H1701" s="121">
        <v>0.96500000000003183</v>
      </c>
      <c r="I1701" s="121">
        <v>0.18399999999996908</v>
      </c>
      <c r="J1701" s="121">
        <v>0.41700000000003001</v>
      </c>
      <c r="K1701" s="121">
        <v>1.5660000000000309</v>
      </c>
      <c r="L1701" s="14">
        <f t="shared" si="112"/>
        <v>0.29336255471145256</v>
      </c>
      <c r="M1701" s="15">
        <f t="shared" si="113"/>
        <v>7.3351702386889636E-2</v>
      </c>
      <c r="N1701" s="15">
        <f t="shared" si="114"/>
        <v>0.1513698502474696</v>
      </c>
      <c r="O1701" s="16">
        <f t="shared" si="115"/>
        <v>0.40925665203891493</v>
      </c>
    </row>
    <row r="1702" spans="2:15">
      <c r="B1702" s="9">
        <v>15</v>
      </c>
      <c r="C1702" s="10" t="s">
        <v>151</v>
      </c>
      <c r="D1702" s="10" t="s">
        <v>150</v>
      </c>
      <c r="E1702" s="93">
        <v>3</v>
      </c>
      <c r="F1702" s="93">
        <v>12</v>
      </c>
      <c r="G1702" s="10">
        <v>1</v>
      </c>
      <c r="H1702" s="120">
        <v>1.1330000000000382</v>
      </c>
      <c r="I1702" s="120"/>
      <c r="J1702" s="120">
        <v>0.63200000000006185</v>
      </c>
      <c r="K1702" s="120">
        <v>1.7650000000001</v>
      </c>
      <c r="L1702" s="9">
        <f t="shared" si="112"/>
        <v>0.32899085544943651</v>
      </c>
      <c r="M1702" s="10">
        <f t="shared" si="113"/>
        <v>0</v>
      </c>
      <c r="N1702" s="10">
        <f t="shared" si="114"/>
        <v>0.2127201544178588</v>
      </c>
      <c r="O1702" s="11">
        <f t="shared" si="115"/>
        <v>0.44169513564073276</v>
      </c>
    </row>
    <row r="1703" spans="2:15">
      <c r="B1703" s="12">
        <v>15</v>
      </c>
      <c r="C1703" s="4" t="s">
        <v>151</v>
      </c>
      <c r="D1703" s="4" t="s">
        <v>150</v>
      </c>
      <c r="E1703" s="4">
        <v>3</v>
      </c>
      <c r="F1703" s="4">
        <v>12</v>
      </c>
      <c r="G1703" s="4">
        <v>2</v>
      </c>
      <c r="H1703" s="115">
        <v>1.2340000000000373</v>
      </c>
      <c r="I1703" s="115">
        <v>0.13400000000001455</v>
      </c>
      <c r="J1703" s="115">
        <v>1.4160000000000537</v>
      </c>
      <c r="K1703" s="115">
        <v>2.7840000000001055</v>
      </c>
      <c r="L1703" s="12">
        <f t="shared" ref="L1703:L1766" si="116">LOG10(H1703+1)</f>
        <v>0.3490831687795975</v>
      </c>
      <c r="M1703" s="4">
        <f t="shared" ref="M1703:M1766" si="117">LOG10(I1703+1)</f>
        <v>5.4613054556893345E-2</v>
      </c>
      <c r="N1703" s="4">
        <f t="shared" ref="N1703:N1766" si="118">LOG10(J1703+1)</f>
        <v>0.38309692994910388</v>
      </c>
      <c r="O1703" s="13">
        <f t="shared" ref="O1703:O1766" si="119">LOG10(K1703+1)</f>
        <v>0.57795112772976731</v>
      </c>
    </row>
    <row r="1704" spans="2:15">
      <c r="B1704" s="12">
        <v>15</v>
      </c>
      <c r="C1704" s="4" t="s">
        <v>151</v>
      </c>
      <c r="D1704" s="4" t="s">
        <v>150</v>
      </c>
      <c r="E1704" s="4">
        <v>3</v>
      </c>
      <c r="F1704" s="4">
        <v>12</v>
      </c>
      <c r="G1704" s="4">
        <v>3</v>
      </c>
      <c r="H1704" s="115"/>
      <c r="I1704" s="115"/>
      <c r="J1704" s="115"/>
      <c r="K1704" s="115">
        <v>0</v>
      </c>
      <c r="L1704" s="12">
        <f t="shared" si="116"/>
        <v>0</v>
      </c>
      <c r="M1704" s="4">
        <f t="shared" si="117"/>
        <v>0</v>
      </c>
      <c r="N1704" s="4">
        <f t="shared" si="118"/>
        <v>0</v>
      </c>
      <c r="O1704" s="13">
        <f t="shared" si="119"/>
        <v>0</v>
      </c>
    </row>
    <row r="1705" spans="2:15">
      <c r="B1705" s="12">
        <v>15</v>
      </c>
      <c r="C1705" s="4" t="s">
        <v>151</v>
      </c>
      <c r="D1705" s="4" t="s">
        <v>150</v>
      </c>
      <c r="E1705" s="4">
        <v>3</v>
      </c>
      <c r="F1705" s="4">
        <v>12</v>
      </c>
      <c r="G1705" s="4">
        <v>4</v>
      </c>
      <c r="H1705" s="115"/>
      <c r="I1705" s="115"/>
      <c r="J1705" s="115"/>
      <c r="K1705" s="115">
        <v>0</v>
      </c>
      <c r="L1705" s="12">
        <f t="shared" si="116"/>
        <v>0</v>
      </c>
      <c r="M1705" s="4">
        <f t="shared" si="117"/>
        <v>0</v>
      </c>
      <c r="N1705" s="4">
        <f t="shared" si="118"/>
        <v>0</v>
      </c>
      <c r="O1705" s="13">
        <f t="shared" si="119"/>
        <v>0</v>
      </c>
    </row>
    <row r="1706" spans="2:15">
      <c r="B1706" s="12">
        <v>15</v>
      </c>
      <c r="C1706" s="4" t="s">
        <v>151</v>
      </c>
      <c r="D1706" s="4" t="s">
        <v>150</v>
      </c>
      <c r="E1706" s="4">
        <v>3</v>
      </c>
      <c r="F1706" s="4">
        <v>12</v>
      </c>
      <c r="G1706" s="4">
        <v>5</v>
      </c>
      <c r="H1706" s="115"/>
      <c r="I1706" s="115"/>
      <c r="J1706" s="115"/>
      <c r="K1706" s="115">
        <v>0</v>
      </c>
      <c r="L1706" s="12">
        <f t="shared" si="116"/>
        <v>0</v>
      </c>
      <c r="M1706" s="4">
        <f t="shared" si="117"/>
        <v>0</v>
      </c>
      <c r="N1706" s="4">
        <f t="shared" si="118"/>
        <v>0</v>
      </c>
      <c r="O1706" s="13">
        <f t="shared" si="119"/>
        <v>0</v>
      </c>
    </row>
    <row r="1707" spans="2:15">
      <c r="B1707" s="12">
        <v>15</v>
      </c>
      <c r="C1707" s="4" t="s">
        <v>151</v>
      </c>
      <c r="D1707" s="4" t="s">
        <v>150</v>
      </c>
      <c r="E1707" s="4">
        <v>3</v>
      </c>
      <c r="F1707" s="4">
        <v>12</v>
      </c>
      <c r="G1707" s="4">
        <v>6</v>
      </c>
      <c r="H1707" s="115"/>
      <c r="I1707" s="115"/>
      <c r="J1707" s="115"/>
      <c r="K1707" s="115">
        <v>0</v>
      </c>
      <c r="L1707" s="12">
        <f t="shared" si="116"/>
        <v>0</v>
      </c>
      <c r="M1707" s="4">
        <f t="shared" si="117"/>
        <v>0</v>
      </c>
      <c r="N1707" s="4">
        <f t="shared" si="118"/>
        <v>0</v>
      </c>
      <c r="O1707" s="13">
        <f t="shared" si="119"/>
        <v>0</v>
      </c>
    </row>
    <row r="1708" spans="2:15">
      <c r="B1708" s="12">
        <v>15</v>
      </c>
      <c r="C1708" s="4" t="s">
        <v>151</v>
      </c>
      <c r="D1708" s="4" t="s">
        <v>150</v>
      </c>
      <c r="E1708" s="4">
        <v>3</v>
      </c>
      <c r="F1708" s="4">
        <v>12</v>
      </c>
      <c r="G1708" s="4">
        <v>7</v>
      </c>
      <c r="H1708" s="115"/>
      <c r="I1708" s="115"/>
      <c r="J1708" s="115"/>
      <c r="K1708" s="115">
        <v>0</v>
      </c>
      <c r="L1708" s="12">
        <f t="shared" si="116"/>
        <v>0</v>
      </c>
      <c r="M1708" s="4">
        <f t="shared" si="117"/>
        <v>0</v>
      </c>
      <c r="N1708" s="4">
        <f t="shared" si="118"/>
        <v>0</v>
      </c>
      <c r="O1708" s="13">
        <f t="shared" si="119"/>
        <v>0</v>
      </c>
    </row>
    <row r="1709" spans="2:15">
      <c r="B1709" s="12">
        <v>15</v>
      </c>
      <c r="C1709" s="4" t="s">
        <v>151</v>
      </c>
      <c r="D1709" s="4" t="s">
        <v>150</v>
      </c>
      <c r="E1709" s="4">
        <v>3</v>
      </c>
      <c r="F1709" s="4">
        <v>12</v>
      </c>
      <c r="G1709" s="4">
        <v>8</v>
      </c>
      <c r="H1709" s="115"/>
      <c r="I1709" s="115"/>
      <c r="J1709" s="115"/>
      <c r="K1709" s="115">
        <v>0</v>
      </c>
      <c r="L1709" s="12">
        <f t="shared" si="116"/>
        <v>0</v>
      </c>
      <c r="M1709" s="4">
        <f t="shared" si="117"/>
        <v>0</v>
      </c>
      <c r="N1709" s="4">
        <f t="shared" si="118"/>
        <v>0</v>
      </c>
      <c r="O1709" s="13">
        <f t="shared" si="119"/>
        <v>0</v>
      </c>
    </row>
    <row r="1710" spans="2:15">
      <c r="B1710" s="12">
        <v>15</v>
      </c>
      <c r="C1710" s="4" t="s">
        <v>151</v>
      </c>
      <c r="D1710" s="4" t="s">
        <v>150</v>
      </c>
      <c r="E1710" s="4">
        <v>3</v>
      </c>
      <c r="F1710" s="4">
        <v>12</v>
      </c>
      <c r="G1710" s="4">
        <v>9</v>
      </c>
      <c r="H1710" s="115"/>
      <c r="I1710" s="115"/>
      <c r="J1710" s="115"/>
      <c r="K1710" s="115">
        <v>0</v>
      </c>
      <c r="L1710" s="12">
        <f t="shared" si="116"/>
        <v>0</v>
      </c>
      <c r="M1710" s="4">
        <f t="shared" si="117"/>
        <v>0</v>
      </c>
      <c r="N1710" s="4">
        <f t="shared" si="118"/>
        <v>0</v>
      </c>
      <c r="O1710" s="13">
        <f t="shared" si="119"/>
        <v>0</v>
      </c>
    </row>
    <row r="1711" spans="2:15" ht="13.8" thickBot="1">
      <c r="B1711" s="14">
        <v>15</v>
      </c>
      <c r="C1711" s="15" t="s">
        <v>151</v>
      </c>
      <c r="D1711" s="15" t="s">
        <v>150</v>
      </c>
      <c r="E1711" s="15">
        <v>3</v>
      </c>
      <c r="F1711" s="15">
        <v>12</v>
      </c>
      <c r="G1711" s="15">
        <v>10</v>
      </c>
      <c r="H1711" s="121"/>
      <c r="I1711" s="121"/>
      <c r="J1711" s="121"/>
      <c r="K1711" s="121">
        <v>0</v>
      </c>
      <c r="L1711" s="14">
        <f t="shared" si="116"/>
        <v>0</v>
      </c>
      <c r="M1711" s="15">
        <f t="shared" si="117"/>
        <v>0</v>
      </c>
      <c r="N1711" s="15">
        <f t="shared" si="118"/>
        <v>0</v>
      </c>
      <c r="O1711" s="16">
        <f t="shared" si="119"/>
        <v>0</v>
      </c>
    </row>
    <row r="1712" spans="2:15">
      <c r="B1712" s="9">
        <v>15</v>
      </c>
      <c r="C1712" s="10" t="s">
        <v>151</v>
      </c>
      <c r="D1712" s="10" t="s">
        <v>154</v>
      </c>
      <c r="E1712" s="93">
        <v>4</v>
      </c>
      <c r="F1712" s="93">
        <v>6</v>
      </c>
      <c r="G1712" s="10">
        <v>1</v>
      </c>
      <c r="H1712" s="120">
        <v>2.5170000000000528</v>
      </c>
      <c r="I1712" s="120">
        <v>0.53399999999999181</v>
      </c>
      <c r="J1712" s="120">
        <v>0.10000000000002274</v>
      </c>
      <c r="K1712" s="120">
        <v>3.1510000000000673</v>
      </c>
      <c r="L1712" s="9">
        <f t="shared" si="116"/>
        <v>0.54617236831694904</v>
      </c>
      <c r="M1712" s="10">
        <f t="shared" si="117"/>
        <v>0.18582535961295985</v>
      </c>
      <c r="N1712" s="10">
        <f t="shared" si="118"/>
        <v>4.1392685158234015E-2</v>
      </c>
      <c r="O1712" s="11">
        <f t="shared" si="119"/>
        <v>0.6181527333785265</v>
      </c>
    </row>
    <row r="1713" spans="2:15">
      <c r="B1713" s="12">
        <v>15</v>
      </c>
      <c r="C1713" s="4" t="s">
        <v>151</v>
      </c>
      <c r="D1713" s="4" t="s">
        <v>154</v>
      </c>
      <c r="E1713" s="4">
        <v>4</v>
      </c>
      <c r="F1713" s="4">
        <v>6</v>
      </c>
      <c r="G1713" s="4">
        <v>2</v>
      </c>
      <c r="H1713" s="115">
        <v>2.6499999999999773</v>
      </c>
      <c r="I1713" s="115">
        <v>0.31599999999997408</v>
      </c>
      <c r="J1713" s="115">
        <v>0.1169999999999618</v>
      </c>
      <c r="K1713" s="115">
        <v>3.0829999999999131</v>
      </c>
      <c r="L1713" s="12">
        <f t="shared" si="116"/>
        <v>0.56229286445647197</v>
      </c>
      <c r="M1713" s="4">
        <f t="shared" si="117"/>
        <v>0.11925588927792813</v>
      </c>
      <c r="N1713" s="4">
        <f t="shared" si="118"/>
        <v>4.8053173115594205E-2</v>
      </c>
      <c r="O1713" s="13">
        <f t="shared" si="119"/>
        <v>0.6109793799229879</v>
      </c>
    </row>
    <row r="1714" spans="2:15">
      <c r="B1714" s="12">
        <v>15</v>
      </c>
      <c r="C1714" s="4" t="s">
        <v>151</v>
      </c>
      <c r="D1714" s="4" t="s">
        <v>154</v>
      </c>
      <c r="E1714" s="4">
        <v>4</v>
      </c>
      <c r="F1714" s="4">
        <v>6</v>
      </c>
      <c r="G1714" s="4">
        <v>3</v>
      </c>
      <c r="H1714" s="115">
        <v>2.3020000000003051</v>
      </c>
      <c r="I1714" s="115">
        <v>0.21600000000000819</v>
      </c>
      <c r="J1714" s="115">
        <v>0.84999999999996589</v>
      </c>
      <c r="K1714" s="115">
        <v>3.3680000000002792</v>
      </c>
      <c r="L1714" s="12">
        <f t="shared" si="116"/>
        <v>0.51877706892681497</v>
      </c>
      <c r="M1714" s="4">
        <f t="shared" si="117"/>
        <v>8.4933574936719061E-2</v>
      </c>
      <c r="N1714" s="4">
        <f t="shared" si="118"/>
        <v>0.26717172840300579</v>
      </c>
      <c r="O1714" s="13">
        <f t="shared" si="119"/>
        <v>0.64028262969670857</v>
      </c>
    </row>
    <row r="1715" spans="2:15">
      <c r="B1715" s="12">
        <v>15</v>
      </c>
      <c r="C1715" s="4" t="s">
        <v>151</v>
      </c>
      <c r="D1715" s="4" t="s">
        <v>154</v>
      </c>
      <c r="E1715" s="4">
        <v>4</v>
      </c>
      <c r="F1715" s="4">
        <v>6</v>
      </c>
      <c r="G1715" s="4">
        <v>4</v>
      </c>
      <c r="H1715" s="115">
        <v>1.3510000000000559</v>
      </c>
      <c r="I1715" s="115">
        <v>0.38400000000001455</v>
      </c>
      <c r="J1715" s="115">
        <v>0.55000000000006821</v>
      </c>
      <c r="K1715" s="115">
        <v>2.2850000000001387</v>
      </c>
      <c r="L1715" s="12">
        <f t="shared" si="116"/>
        <v>0.37125262912494972</v>
      </c>
      <c r="M1715" s="4">
        <f t="shared" si="117"/>
        <v>0.14113609012074357</v>
      </c>
      <c r="N1715" s="4">
        <f t="shared" si="118"/>
        <v>0.19033169817031059</v>
      </c>
      <c r="O1715" s="13">
        <f t="shared" si="119"/>
        <v>0.51653537389581794</v>
      </c>
    </row>
    <row r="1716" spans="2:15">
      <c r="B1716" s="12">
        <v>15</v>
      </c>
      <c r="C1716" s="4" t="s">
        <v>151</v>
      </c>
      <c r="D1716" s="4" t="s">
        <v>154</v>
      </c>
      <c r="E1716" s="4">
        <v>4</v>
      </c>
      <c r="F1716" s="4">
        <v>6</v>
      </c>
      <c r="G1716" s="4">
        <v>5</v>
      </c>
      <c r="H1716" s="115">
        <v>0.34999999999996589</v>
      </c>
      <c r="I1716" s="115">
        <v>0.28399999999999181</v>
      </c>
      <c r="J1716" s="115">
        <v>0.21699999999998454</v>
      </c>
      <c r="K1716" s="115">
        <v>0.85099999999994225</v>
      </c>
      <c r="L1716" s="12">
        <f t="shared" si="116"/>
        <v>0.13033376849499514</v>
      </c>
      <c r="M1716" s="4">
        <f t="shared" si="117"/>
        <v>0.10856502373283169</v>
      </c>
      <c r="N1716" s="4">
        <f t="shared" si="118"/>
        <v>8.5290578230059477E-2</v>
      </c>
      <c r="O1716" s="13">
        <f t="shared" si="119"/>
        <v>0.26740641875289056</v>
      </c>
    </row>
    <row r="1717" spans="2:15">
      <c r="B1717" s="12">
        <v>15</v>
      </c>
      <c r="C1717" s="4" t="s">
        <v>151</v>
      </c>
      <c r="D1717" s="4" t="s">
        <v>154</v>
      </c>
      <c r="E1717" s="4">
        <v>4</v>
      </c>
      <c r="F1717" s="4">
        <v>6</v>
      </c>
      <c r="G1717" s="4">
        <v>6</v>
      </c>
      <c r="H1717" s="115"/>
      <c r="I1717" s="115"/>
      <c r="J1717" s="115"/>
      <c r="K1717" s="115">
        <v>0</v>
      </c>
      <c r="L1717" s="12">
        <f t="shared" si="116"/>
        <v>0</v>
      </c>
      <c r="M1717" s="4">
        <f t="shared" si="117"/>
        <v>0</v>
      </c>
      <c r="N1717" s="4">
        <f t="shared" si="118"/>
        <v>0</v>
      </c>
      <c r="O1717" s="13">
        <f t="shared" si="119"/>
        <v>0</v>
      </c>
    </row>
    <row r="1718" spans="2:15">
      <c r="B1718" s="12">
        <v>15</v>
      </c>
      <c r="C1718" s="4" t="s">
        <v>151</v>
      </c>
      <c r="D1718" s="4" t="s">
        <v>154</v>
      </c>
      <c r="E1718" s="4">
        <v>4</v>
      </c>
      <c r="F1718" s="4">
        <v>6</v>
      </c>
      <c r="G1718" s="4">
        <v>7</v>
      </c>
      <c r="H1718" s="115"/>
      <c r="I1718" s="115"/>
      <c r="J1718" s="115"/>
      <c r="K1718" s="115">
        <v>0</v>
      </c>
      <c r="L1718" s="12">
        <f t="shared" si="116"/>
        <v>0</v>
      </c>
      <c r="M1718" s="4">
        <f t="shared" si="117"/>
        <v>0</v>
      </c>
      <c r="N1718" s="4">
        <f t="shared" si="118"/>
        <v>0</v>
      </c>
      <c r="O1718" s="13">
        <f t="shared" si="119"/>
        <v>0</v>
      </c>
    </row>
    <row r="1719" spans="2:15">
      <c r="B1719" s="12">
        <v>15</v>
      </c>
      <c r="C1719" s="4" t="s">
        <v>151</v>
      </c>
      <c r="D1719" s="4" t="s">
        <v>154</v>
      </c>
      <c r="E1719" s="4">
        <v>4</v>
      </c>
      <c r="F1719" s="4">
        <v>6</v>
      </c>
      <c r="G1719" s="4">
        <v>8</v>
      </c>
      <c r="H1719" s="115"/>
      <c r="I1719" s="115"/>
      <c r="J1719" s="115"/>
      <c r="K1719" s="115">
        <v>0</v>
      </c>
      <c r="L1719" s="12">
        <f t="shared" si="116"/>
        <v>0</v>
      </c>
      <c r="M1719" s="4">
        <f t="shared" si="117"/>
        <v>0</v>
      </c>
      <c r="N1719" s="4">
        <f t="shared" si="118"/>
        <v>0</v>
      </c>
      <c r="O1719" s="13">
        <f t="shared" si="119"/>
        <v>0</v>
      </c>
    </row>
    <row r="1720" spans="2:15">
      <c r="B1720" s="12">
        <v>15</v>
      </c>
      <c r="C1720" s="4" t="s">
        <v>151</v>
      </c>
      <c r="D1720" s="4" t="s">
        <v>154</v>
      </c>
      <c r="E1720" s="4">
        <v>4</v>
      </c>
      <c r="F1720" s="4">
        <v>6</v>
      </c>
      <c r="G1720" s="4">
        <v>9</v>
      </c>
      <c r="H1720" s="115"/>
      <c r="I1720" s="115"/>
      <c r="J1720" s="115"/>
      <c r="K1720" s="115">
        <v>0</v>
      </c>
      <c r="L1720" s="12">
        <f t="shared" si="116"/>
        <v>0</v>
      </c>
      <c r="M1720" s="4">
        <f t="shared" si="117"/>
        <v>0</v>
      </c>
      <c r="N1720" s="4">
        <f t="shared" si="118"/>
        <v>0</v>
      </c>
      <c r="O1720" s="13">
        <f t="shared" si="119"/>
        <v>0</v>
      </c>
    </row>
    <row r="1721" spans="2:15" ht="13.8" thickBot="1">
      <c r="B1721" s="14">
        <v>15</v>
      </c>
      <c r="C1721" s="15" t="s">
        <v>151</v>
      </c>
      <c r="D1721" s="15" t="s">
        <v>154</v>
      </c>
      <c r="E1721" s="15">
        <v>4</v>
      </c>
      <c r="F1721" s="15">
        <v>6</v>
      </c>
      <c r="G1721" s="15">
        <v>10</v>
      </c>
      <c r="H1721" s="121"/>
      <c r="I1721" s="121"/>
      <c r="J1721" s="121"/>
      <c r="K1721" s="121">
        <v>0</v>
      </c>
      <c r="L1721" s="14">
        <f t="shared" si="116"/>
        <v>0</v>
      </c>
      <c r="M1721" s="15">
        <f t="shared" si="117"/>
        <v>0</v>
      </c>
      <c r="N1721" s="15">
        <f t="shared" si="118"/>
        <v>0</v>
      </c>
      <c r="O1721" s="16">
        <f t="shared" si="119"/>
        <v>0</v>
      </c>
    </row>
    <row r="1722" spans="2:15">
      <c r="B1722" s="9">
        <v>15</v>
      </c>
      <c r="C1722" s="10" t="s">
        <v>151</v>
      </c>
      <c r="D1722" s="10" t="s">
        <v>154</v>
      </c>
      <c r="E1722" s="93">
        <v>5</v>
      </c>
      <c r="F1722" s="93">
        <v>8</v>
      </c>
      <c r="G1722" s="10">
        <v>1</v>
      </c>
      <c r="H1722" s="120">
        <v>1.200999999999965</v>
      </c>
      <c r="I1722" s="120">
        <v>0.66599999999999682</v>
      </c>
      <c r="J1722" s="120">
        <v>1.9820000000000846</v>
      </c>
      <c r="K1722" s="120">
        <v>3.8490000000000464</v>
      </c>
      <c r="L1722" s="9">
        <f t="shared" si="116"/>
        <v>0.34262004255334105</v>
      </c>
      <c r="M1722" s="10">
        <f t="shared" si="117"/>
        <v>0.22167499707076796</v>
      </c>
      <c r="N1722" s="10">
        <f t="shared" si="118"/>
        <v>0.47450763911698807</v>
      </c>
      <c r="O1722" s="11">
        <f t="shared" si="119"/>
        <v>0.68565218411552853</v>
      </c>
    </row>
    <row r="1723" spans="2:15">
      <c r="B1723" s="12">
        <v>15</v>
      </c>
      <c r="C1723" s="4" t="s">
        <v>151</v>
      </c>
      <c r="D1723" s="4" t="s">
        <v>154</v>
      </c>
      <c r="E1723" s="4">
        <v>5</v>
      </c>
      <c r="F1723" s="4">
        <v>8</v>
      </c>
      <c r="G1723" s="4">
        <v>2</v>
      </c>
      <c r="H1723" s="115">
        <v>0.85000000000002274</v>
      </c>
      <c r="I1723" s="115">
        <v>0.76600000000001955</v>
      </c>
      <c r="J1723" s="115">
        <v>1.5830000000001405</v>
      </c>
      <c r="K1723" s="115">
        <v>3.1990000000001828</v>
      </c>
      <c r="L1723" s="12">
        <f t="shared" si="116"/>
        <v>0.26717172840301912</v>
      </c>
      <c r="M1723" s="4">
        <f t="shared" si="117"/>
        <v>0.24699069924155459</v>
      </c>
      <c r="N1723" s="4">
        <f t="shared" si="118"/>
        <v>0.41212440617334084</v>
      </c>
      <c r="O1723" s="13">
        <f t="shared" si="119"/>
        <v>0.62314587463795856</v>
      </c>
    </row>
    <row r="1724" spans="2:15">
      <c r="B1724" s="12">
        <v>15</v>
      </c>
      <c r="C1724" s="4" t="s">
        <v>151</v>
      </c>
      <c r="D1724" s="4" t="s">
        <v>154</v>
      </c>
      <c r="E1724" s="4">
        <v>5</v>
      </c>
      <c r="F1724" s="4">
        <v>8</v>
      </c>
      <c r="G1724" s="4">
        <v>3</v>
      </c>
      <c r="H1724" s="115">
        <v>0.5</v>
      </c>
      <c r="I1724" s="115">
        <v>0.38399999999995771</v>
      </c>
      <c r="J1724" s="115">
        <v>0.56700000000000728</v>
      </c>
      <c r="K1724" s="115">
        <v>1.450999999999965</v>
      </c>
      <c r="L1724" s="12">
        <f t="shared" si="116"/>
        <v>0.17609125905568124</v>
      </c>
      <c r="M1724" s="4">
        <f t="shared" si="117"/>
        <v>0.14113609012072573</v>
      </c>
      <c r="N1724" s="4">
        <f t="shared" si="118"/>
        <v>0.19506899646859216</v>
      </c>
      <c r="O1724" s="13">
        <f t="shared" si="119"/>
        <v>0.38934331125207172</v>
      </c>
    </row>
    <row r="1725" spans="2:15">
      <c r="B1725" s="12">
        <v>15</v>
      </c>
      <c r="C1725" s="4" t="s">
        <v>151</v>
      </c>
      <c r="D1725" s="4" t="s">
        <v>154</v>
      </c>
      <c r="E1725" s="4">
        <v>5</v>
      </c>
      <c r="F1725" s="4">
        <v>8</v>
      </c>
      <c r="G1725" s="4">
        <v>4</v>
      </c>
      <c r="H1725" s="115">
        <v>5.0990000000000464</v>
      </c>
      <c r="I1725" s="115">
        <v>2.3979999999999677</v>
      </c>
      <c r="J1725" s="115">
        <v>2.8319999999999368</v>
      </c>
      <c r="K1725" s="115">
        <v>10.328999999999951</v>
      </c>
      <c r="L1725" s="12">
        <f t="shared" si="116"/>
        <v>0.78525863335770429</v>
      </c>
      <c r="M1725" s="4">
        <f t="shared" si="117"/>
        <v>0.53122337453302271</v>
      </c>
      <c r="N1725" s="4">
        <f t="shared" si="118"/>
        <v>0.58342550040649965</v>
      </c>
      <c r="O1725" s="13">
        <f t="shared" si="119"/>
        <v>1.0541915767964298</v>
      </c>
    </row>
    <row r="1726" spans="2:15">
      <c r="B1726" s="12">
        <v>15</v>
      </c>
      <c r="C1726" s="4" t="s">
        <v>151</v>
      </c>
      <c r="D1726" s="4" t="s">
        <v>154</v>
      </c>
      <c r="E1726" s="4">
        <v>5</v>
      </c>
      <c r="F1726" s="4">
        <v>8</v>
      </c>
      <c r="G1726" s="4">
        <v>5</v>
      </c>
      <c r="H1726" s="115">
        <v>4.0129999999999768</v>
      </c>
      <c r="I1726" s="115">
        <v>0.882000000000005</v>
      </c>
      <c r="J1726" s="115">
        <v>1.0330000000000723</v>
      </c>
      <c r="K1726" s="115">
        <v>5.9280000000000541</v>
      </c>
      <c r="L1726" s="12">
        <f t="shared" si="116"/>
        <v>0.70009770461305176</v>
      </c>
      <c r="M1726" s="4">
        <f t="shared" si="117"/>
        <v>0.27461961909123928</v>
      </c>
      <c r="N1726" s="4">
        <f t="shared" si="118"/>
        <v>0.30813737863805407</v>
      </c>
      <c r="O1726" s="13">
        <f t="shared" si="119"/>
        <v>0.84060787900929357</v>
      </c>
    </row>
    <row r="1727" spans="2:15">
      <c r="B1727" s="12">
        <v>15</v>
      </c>
      <c r="C1727" s="4" t="s">
        <v>151</v>
      </c>
      <c r="D1727" s="4" t="s">
        <v>154</v>
      </c>
      <c r="E1727" s="4">
        <v>5</v>
      </c>
      <c r="F1727" s="4">
        <v>8</v>
      </c>
      <c r="G1727" s="4">
        <v>6</v>
      </c>
      <c r="H1727" s="115">
        <v>2.0330000000000155</v>
      </c>
      <c r="I1727" s="115">
        <v>0.1169999999999618</v>
      </c>
      <c r="J1727" s="115">
        <v>1.3829999999999814</v>
      </c>
      <c r="K1727" s="115">
        <v>3.5329999999999586</v>
      </c>
      <c r="L1727" s="12">
        <f t="shared" si="116"/>
        <v>0.48187241031066569</v>
      </c>
      <c r="M1727" s="4">
        <f t="shared" si="117"/>
        <v>4.8053173115594205E-2</v>
      </c>
      <c r="N1727" s="4">
        <f t="shared" si="118"/>
        <v>0.37712404234645269</v>
      </c>
      <c r="O1727" s="13">
        <f t="shared" si="119"/>
        <v>0.65638571905868381</v>
      </c>
    </row>
    <row r="1728" spans="2:15">
      <c r="B1728" s="12">
        <v>15</v>
      </c>
      <c r="C1728" s="4" t="s">
        <v>151</v>
      </c>
      <c r="D1728" s="4" t="s">
        <v>154</v>
      </c>
      <c r="E1728" s="4">
        <v>5</v>
      </c>
      <c r="F1728" s="4">
        <v>8</v>
      </c>
      <c r="G1728" s="4">
        <v>7</v>
      </c>
      <c r="H1728" s="115">
        <v>0.53300000000001546</v>
      </c>
      <c r="I1728" s="115">
        <v>0.18299999999999272</v>
      </c>
      <c r="J1728" s="115">
        <v>0.2169999999999277</v>
      </c>
      <c r="K1728" s="115">
        <v>0.93299999999993588</v>
      </c>
      <c r="L1728" s="12">
        <f t="shared" si="116"/>
        <v>0.18554215485437955</v>
      </c>
      <c r="M1728" s="4">
        <f t="shared" si="117"/>
        <v>7.29847446279277E-2</v>
      </c>
      <c r="N1728" s="4">
        <f t="shared" si="118"/>
        <v>8.5290578230039188E-2</v>
      </c>
      <c r="O1728" s="13">
        <f t="shared" si="119"/>
        <v>0.28623185402853862</v>
      </c>
    </row>
    <row r="1729" spans="2:15">
      <c r="B1729" s="12">
        <v>15</v>
      </c>
      <c r="C1729" s="4" t="s">
        <v>151</v>
      </c>
      <c r="D1729" s="4" t="s">
        <v>154</v>
      </c>
      <c r="E1729" s="4">
        <v>5</v>
      </c>
      <c r="F1729" s="4">
        <v>8</v>
      </c>
      <c r="G1729" s="4">
        <v>8</v>
      </c>
      <c r="H1729" s="115">
        <v>1.0499999999998977</v>
      </c>
      <c r="I1729" s="115"/>
      <c r="J1729" s="115"/>
      <c r="K1729" s="115">
        <v>1.0499999999998977</v>
      </c>
      <c r="L1729" s="12">
        <f t="shared" si="116"/>
        <v>0.31175386105573261</v>
      </c>
      <c r="M1729" s="4">
        <f t="shared" si="117"/>
        <v>0</v>
      </c>
      <c r="N1729" s="4">
        <f t="shared" si="118"/>
        <v>0</v>
      </c>
      <c r="O1729" s="13">
        <f t="shared" si="119"/>
        <v>0.31175386105573261</v>
      </c>
    </row>
    <row r="1730" spans="2:15">
      <c r="B1730" s="12">
        <v>15</v>
      </c>
      <c r="C1730" s="4" t="s">
        <v>151</v>
      </c>
      <c r="D1730" s="4" t="s">
        <v>154</v>
      </c>
      <c r="E1730" s="4">
        <v>5</v>
      </c>
      <c r="F1730" s="4">
        <v>8</v>
      </c>
      <c r="G1730" s="4">
        <v>9</v>
      </c>
      <c r="H1730" s="115">
        <v>0.11600000000004229</v>
      </c>
      <c r="I1730" s="115">
        <v>0.11600000000004229</v>
      </c>
      <c r="J1730" s="115">
        <v>0.30000000000001137</v>
      </c>
      <c r="K1730" s="115">
        <v>0.53200000000009595</v>
      </c>
      <c r="L1730" s="12">
        <f t="shared" si="116"/>
        <v>4.76641946015764E-2</v>
      </c>
      <c r="M1730" s="4">
        <f t="shared" si="117"/>
        <v>4.76641946015764E-2</v>
      </c>
      <c r="N1730" s="4">
        <f t="shared" si="118"/>
        <v>0.11394335230684056</v>
      </c>
      <c r="O1730" s="13">
        <f t="shared" si="119"/>
        <v>0.18525876529661234</v>
      </c>
    </row>
    <row r="1731" spans="2:15" ht="13.8" thickBot="1">
      <c r="B1731" s="14">
        <v>15</v>
      </c>
      <c r="C1731" s="15" t="s">
        <v>151</v>
      </c>
      <c r="D1731" s="15" t="s">
        <v>154</v>
      </c>
      <c r="E1731" s="15">
        <v>5</v>
      </c>
      <c r="F1731" s="15">
        <v>8</v>
      </c>
      <c r="G1731" s="15">
        <v>10</v>
      </c>
      <c r="H1731" s="121">
        <v>0.3830000000000382</v>
      </c>
      <c r="I1731" s="121"/>
      <c r="J1731" s="121"/>
      <c r="K1731" s="121">
        <v>0.3830000000000382</v>
      </c>
      <c r="L1731" s="14">
        <f t="shared" si="116"/>
        <v>0.14082218010932257</v>
      </c>
      <c r="M1731" s="15">
        <f t="shared" si="117"/>
        <v>0</v>
      </c>
      <c r="N1731" s="15">
        <f t="shared" si="118"/>
        <v>0</v>
      </c>
      <c r="O1731" s="16">
        <f t="shared" si="119"/>
        <v>0.14082218010932257</v>
      </c>
    </row>
    <row r="1732" spans="2:15">
      <c r="B1732" s="9">
        <v>15</v>
      </c>
      <c r="C1732" s="10" t="s">
        <v>151</v>
      </c>
      <c r="D1732" s="10" t="s">
        <v>149</v>
      </c>
      <c r="E1732" s="93">
        <v>6</v>
      </c>
      <c r="F1732" s="93">
        <v>2</v>
      </c>
      <c r="G1732" s="10">
        <v>1</v>
      </c>
      <c r="H1732" s="120">
        <v>1.1329999999999956</v>
      </c>
      <c r="I1732" s="120">
        <v>0.16599999999999682</v>
      </c>
      <c r="J1732" s="120">
        <v>9.9999999999994316E-2</v>
      </c>
      <c r="K1732" s="120">
        <v>1.3989999999999867</v>
      </c>
      <c r="L1732" s="9">
        <f t="shared" si="116"/>
        <v>0.32899085544942785</v>
      </c>
      <c r="M1732" s="10">
        <f t="shared" si="117"/>
        <v>6.6698550422994093E-2</v>
      </c>
      <c r="N1732" s="10">
        <f t="shared" si="118"/>
        <v>4.1392685158222794E-2</v>
      </c>
      <c r="O1732" s="11">
        <f t="shared" si="119"/>
        <v>0.38003024796782819</v>
      </c>
    </row>
    <row r="1733" spans="2:15">
      <c r="B1733" s="12">
        <v>15</v>
      </c>
      <c r="C1733" s="4" t="s">
        <v>151</v>
      </c>
      <c r="D1733" s="4" t="s">
        <v>149</v>
      </c>
      <c r="E1733" s="4">
        <v>6</v>
      </c>
      <c r="F1733" s="4">
        <v>2</v>
      </c>
      <c r="G1733" s="4">
        <v>2</v>
      </c>
      <c r="H1733" s="115">
        <v>3.597999999999999</v>
      </c>
      <c r="I1733" s="115">
        <v>0.28400000000000603</v>
      </c>
      <c r="J1733" s="115"/>
      <c r="K1733" s="115">
        <v>3.882000000000005</v>
      </c>
      <c r="L1733" s="12">
        <f t="shared" si="116"/>
        <v>0.66256896693326017</v>
      </c>
      <c r="M1733" s="4">
        <f t="shared" si="117"/>
        <v>0.10856502373283651</v>
      </c>
      <c r="N1733" s="4">
        <f t="shared" si="118"/>
        <v>0</v>
      </c>
      <c r="O1733" s="13">
        <f t="shared" si="119"/>
        <v>0.68859777508117026</v>
      </c>
    </row>
    <row r="1734" spans="2:15">
      <c r="B1734" s="12">
        <v>15</v>
      </c>
      <c r="C1734" s="4" t="s">
        <v>151</v>
      </c>
      <c r="D1734" s="4" t="s">
        <v>149</v>
      </c>
      <c r="E1734" s="4">
        <v>6</v>
      </c>
      <c r="F1734" s="4">
        <v>2</v>
      </c>
      <c r="G1734" s="4">
        <v>3</v>
      </c>
      <c r="H1734" s="115">
        <v>0.99900000000000944</v>
      </c>
      <c r="I1734" s="115"/>
      <c r="J1734" s="115">
        <v>0.3989999999999867</v>
      </c>
      <c r="K1734" s="115">
        <v>1.3979999999999961</v>
      </c>
      <c r="L1734" s="12">
        <f t="shared" si="116"/>
        <v>0.30081279411811901</v>
      </c>
      <c r="M1734" s="4">
        <f t="shared" si="117"/>
        <v>0</v>
      </c>
      <c r="N1734" s="4">
        <f t="shared" si="118"/>
        <v>0.14581771449182349</v>
      </c>
      <c r="O1734" s="13">
        <f t="shared" si="119"/>
        <v>0.3798491787628292</v>
      </c>
    </row>
    <row r="1735" spans="2:15">
      <c r="B1735" s="12">
        <v>15</v>
      </c>
      <c r="C1735" s="4" t="s">
        <v>151</v>
      </c>
      <c r="D1735" s="4" t="s">
        <v>149</v>
      </c>
      <c r="E1735" s="4">
        <v>6</v>
      </c>
      <c r="F1735" s="4">
        <v>2</v>
      </c>
      <c r="G1735" s="4">
        <v>4</v>
      </c>
      <c r="H1735" s="115">
        <v>0.46699999999998454</v>
      </c>
      <c r="I1735" s="115"/>
      <c r="J1735" s="115"/>
      <c r="K1735" s="115">
        <v>0.46699999999998454</v>
      </c>
      <c r="L1735" s="12">
        <f t="shared" si="116"/>
        <v>0.1664301138432781</v>
      </c>
      <c r="M1735" s="4">
        <f t="shared" si="117"/>
        <v>0</v>
      </c>
      <c r="N1735" s="4">
        <f t="shared" si="118"/>
        <v>0</v>
      </c>
      <c r="O1735" s="13">
        <f t="shared" si="119"/>
        <v>0.1664301138432781</v>
      </c>
    </row>
    <row r="1736" spans="2:15">
      <c r="B1736" s="12">
        <v>15</v>
      </c>
      <c r="C1736" s="4" t="s">
        <v>151</v>
      </c>
      <c r="D1736" s="4" t="s">
        <v>149</v>
      </c>
      <c r="E1736" s="4">
        <v>6</v>
      </c>
      <c r="F1736" s="4">
        <v>2</v>
      </c>
      <c r="G1736" s="4">
        <v>5</v>
      </c>
      <c r="H1736" s="115"/>
      <c r="I1736" s="115"/>
      <c r="J1736" s="115"/>
      <c r="K1736" s="115">
        <v>0</v>
      </c>
      <c r="L1736" s="12">
        <f t="shared" si="116"/>
        <v>0</v>
      </c>
      <c r="M1736" s="4">
        <f t="shared" si="117"/>
        <v>0</v>
      </c>
      <c r="N1736" s="4">
        <f t="shared" si="118"/>
        <v>0</v>
      </c>
      <c r="O1736" s="13">
        <f t="shared" si="119"/>
        <v>0</v>
      </c>
    </row>
    <row r="1737" spans="2:15">
      <c r="B1737" s="12">
        <v>15</v>
      </c>
      <c r="C1737" s="4" t="s">
        <v>151</v>
      </c>
      <c r="D1737" s="4" t="s">
        <v>149</v>
      </c>
      <c r="E1737" s="4">
        <v>6</v>
      </c>
      <c r="F1737" s="4">
        <v>2</v>
      </c>
      <c r="G1737" s="4">
        <v>6</v>
      </c>
      <c r="H1737" s="115"/>
      <c r="I1737" s="115"/>
      <c r="J1737" s="115"/>
      <c r="K1737" s="115">
        <v>0</v>
      </c>
      <c r="L1737" s="12">
        <f t="shared" si="116"/>
        <v>0</v>
      </c>
      <c r="M1737" s="4">
        <f t="shared" si="117"/>
        <v>0</v>
      </c>
      <c r="N1737" s="4">
        <f t="shared" si="118"/>
        <v>0</v>
      </c>
      <c r="O1737" s="13">
        <f t="shared" si="119"/>
        <v>0</v>
      </c>
    </row>
    <row r="1738" spans="2:15">
      <c r="B1738" s="12">
        <v>15</v>
      </c>
      <c r="C1738" s="4" t="s">
        <v>151</v>
      </c>
      <c r="D1738" s="4" t="s">
        <v>149</v>
      </c>
      <c r="E1738" s="4">
        <v>6</v>
      </c>
      <c r="F1738" s="4">
        <v>2</v>
      </c>
      <c r="G1738" s="4">
        <v>7</v>
      </c>
      <c r="H1738" s="115"/>
      <c r="I1738" s="115"/>
      <c r="J1738" s="115"/>
      <c r="K1738" s="115">
        <v>0</v>
      </c>
      <c r="L1738" s="12">
        <f t="shared" si="116"/>
        <v>0</v>
      </c>
      <c r="M1738" s="4">
        <f t="shared" si="117"/>
        <v>0</v>
      </c>
      <c r="N1738" s="4">
        <f t="shared" si="118"/>
        <v>0</v>
      </c>
      <c r="O1738" s="13">
        <f t="shared" si="119"/>
        <v>0</v>
      </c>
    </row>
    <row r="1739" spans="2:15">
      <c r="B1739" s="12">
        <v>15</v>
      </c>
      <c r="C1739" s="4" t="s">
        <v>151</v>
      </c>
      <c r="D1739" s="4" t="s">
        <v>149</v>
      </c>
      <c r="E1739" s="4">
        <v>6</v>
      </c>
      <c r="F1739" s="4">
        <v>2</v>
      </c>
      <c r="G1739" s="4">
        <v>8</v>
      </c>
      <c r="H1739" s="115"/>
      <c r="I1739" s="115"/>
      <c r="J1739" s="115"/>
      <c r="K1739" s="115">
        <v>0</v>
      </c>
      <c r="L1739" s="12">
        <f t="shared" si="116"/>
        <v>0</v>
      </c>
      <c r="M1739" s="4">
        <f t="shared" si="117"/>
        <v>0</v>
      </c>
      <c r="N1739" s="4">
        <f t="shared" si="118"/>
        <v>0</v>
      </c>
      <c r="O1739" s="13">
        <f t="shared" si="119"/>
        <v>0</v>
      </c>
    </row>
    <row r="1740" spans="2:15">
      <c r="B1740" s="12">
        <v>15</v>
      </c>
      <c r="C1740" s="4" t="s">
        <v>151</v>
      </c>
      <c r="D1740" s="4" t="s">
        <v>149</v>
      </c>
      <c r="E1740" s="4">
        <v>6</v>
      </c>
      <c r="F1740" s="4">
        <v>2</v>
      </c>
      <c r="G1740" s="4">
        <v>9</v>
      </c>
      <c r="H1740" s="115"/>
      <c r="I1740" s="115"/>
      <c r="J1740" s="115"/>
      <c r="K1740" s="115">
        <v>0</v>
      </c>
      <c r="L1740" s="12">
        <f t="shared" si="116"/>
        <v>0</v>
      </c>
      <c r="M1740" s="4">
        <f t="shared" si="117"/>
        <v>0</v>
      </c>
      <c r="N1740" s="4">
        <f t="shared" si="118"/>
        <v>0</v>
      </c>
      <c r="O1740" s="13">
        <f t="shared" si="119"/>
        <v>0</v>
      </c>
    </row>
    <row r="1741" spans="2:15" ht="13.8" thickBot="1">
      <c r="B1741" s="14">
        <v>15</v>
      </c>
      <c r="C1741" s="15" t="s">
        <v>151</v>
      </c>
      <c r="D1741" s="15" t="s">
        <v>149</v>
      </c>
      <c r="E1741" s="15">
        <v>6</v>
      </c>
      <c r="F1741" s="15">
        <v>2</v>
      </c>
      <c r="G1741" s="15">
        <v>10</v>
      </c>
      <c r="H1741" s="121"/>
      <c r="I1741" s="121"/>
      <c r="J1741" s="121"/>
      <c r="K1741" s="121">
        <v>0</v>
      </c>
      <c r="L1741" s="14">
        <f t="shared" si="116"/>
        <v>0</v>
      </c>
      <c r="M1741" s="15">
        <f t="shared" si="117"/>
        <v>0</v>
      </c>
      <c r="N1741" s="15">
        <f t="shared" si="118"/>
        <v>0</v>
      </c>
      <c r="O1741" s="16">
        <f t="shared" si="119"/>
        <v>0</v>
      </c>
    </row>
    <row r="1742" spans="2:15">
      <c r="B1742" s="9">
        <v>15</v>
      </c>
      <c r="C1742" s="10" t="s">
        <v>152</v>
      </c>
      <c r="D1742" s="10" t="s">
        <v>154</v>
      </c>
      <c r="E1742" s="93">
        <v>7</v>
      </c>
      <c r="F1742" s="93">
        <v>7</v>
      </c>
      <c r="G1742" s="10">
        <v>1</v>
      </c>
      <c r="H1742" s="120">
        <v>3.5140000000000668</v>
      </c>
      <c r="I1742" s="120">
        <v>1.9330000000000496</v>
      </c>
      <c r="J1742" s="120">
        <v>1.6840000000000259</v>
      </c>
      <c r="K1742" s="120">
        <v>7.1310000000001423</v>
      </c>
      <c r="L1742" s="9">
        <f t="shared" si="116"/>
        <v>0.65456155474174971</v>
      </c>
      <c r="M1742" s="10">
        <f t="shared" si="117"/>
        <v>0.46731206298055949</v>
      </c>
      <c r="N1742" s="10">
        <f t="shared" si="118"/>
        <v>0.42878251149695867</v>
      </c>
      <c r="O1742" s="11">
        <f t="shared" si="119"/>
        <v>0.91014396106452045</v>
      </c>
    </row>
    <row r="1743" spans="2:15">
      <c r="B1743" s="12">
        <v>15</v>
      </c>
      <c r="C1743" s="4" t="s">
        <v>152</v>
      </c>
      <c r="D1743" s="4" t="s">
        <v>154</v>
      </c>
      <c r="E1743" s="4">
        <v>7</v>
      </c>
      <c r="F1743" s="4">
        <v>7</v>
      </c>
      <c r="G1743" s="4">
        <v>2</v>
      </c>
      <c r="H1743" s="115">
        <v>2.700999999999965</v>
      </c>
      <c r="I1743" s="115">
        <v>0.91700000000003001</v>
      </c>
      <c r="J1743" s="115">
        <v>1.7669999999999391</v>
      </c>
      <c r="K1743" s="115">
        <v>5.3849999999999341</v>
      </c>
      <c r="L1743" s="12">
        <f t="shared" si="116"/>
        <v>0.56831908509510765</v>
      </c>
      <c r="M1743" s="4">
        <f t="shared" si="117"/>
        <v>0.28262211287806938</v>
      </c>
      <c r="N1743" s="4">
        <f t="shared" si="118"/>
        <v>0.44200915914094241</v>
      </c>
      <c r="O1743" s="13">
        <f t="shared" si="119"/>
        <v>0.80516090159942966</v>
      </c>
    </row>
    <row r="1744" spans="2:15">
      <c r="B1744" s="12">
        <v>15</v>
      </c>
      <c r="C1744" s="4" t="s">
        <v>152</v>
      </c>
      <c r="D1744" s="4" t="s">
        <v>154</v>
      </c>
      <c r="E1744" s="4">
        <v>7</v>
      </c>
      <c r="F1744" s="4">
        <v>7</v>
      </c>
      <c r="G1744" s="4">
        <v>3</v>
      </c>
      <c r="H1744" s="115">
        <v>1.4669999999999845</v>
      </c>
      <c r="I1744" s="115">
        <v>0.43299999999993588</v>
      </c>
      <c r="J1744" s="115">
        <v>1.7509999999998627</v>
      </c>
      <c r="K1744" s="115">
        <v>3.6509999999997831</v>
      </c>
      <c r="L1744" s="12">
        <f t="shared" si="116"/>
        <v>0.3921691494897333</v>
      </c>
      <c r="M1744" s="4">
        <f t="shared" si="117"/>
        <v>0.15624619039732504</v>
      </c>
      <c r="N1744" s="4">
        <f t="shared" si="118"/>
        <v>0.43949059038966187</v>
      </c>
      <c r="O1744" s="13">
        <f t="shared" si="119"/>
        <v>0.66754633951149622</v>
      </c>
    </row>
    <row r="1745" spans="2:15">
      <c r="B1745" s="12">
        <v>15</v>
      </c>
      <c r="C1745" s="4" t="s">
        <v>152</v>
      </c>
      <c r="D1745" s="4" t="s">
        <v>154</v>
      </c>
      <c r="E1745" s="4">
        <v>7</v>
      </c>
      <c r="F1745" s="4">
        <v>7</v>
      </c>
      <c r="G1745" s="4">
        <v>4</v>
      </c>
      <c r="H1745" s="115">
        <v>0.5</v>
      </c>
      <c r="I1745" s="115">
        <v>0.56699999999995043</v>
      </c>
      <c r="J1745" s="115">
        <v>0.33400000000000318</v>
      </c>
      <c r="K1745" s="115">
        <v>1.4009999999999536</v>
      </c>
      <c r="L1745" s="12">
        <f t="shared" si="116"/>
        <v>0.17609125905568124</v>
      </c>
      <c r="M1745" s="4">
        <f t="shared" si="117"/>
        <v>0.19506899646857639</v>
      </c>
      <c r="N1745" s="4">
        <f t="shared" si="118"/>
        <v>0.1251558295805312</v>
      </c>
      <c r="O1745" s="13">
        <f t="shared" si="119"/>
        <v>0.38039216005701892</v>
      </c>
    </row>
    <row r="1746" spans="2:15">
      <c r="B1746" s="12">
        <v>15</v>
      </c>
      <c r="C1746" s="4" t="s">
        <v>152</v>
      </c>
      <c r="D1746" s="4" t="s">
        <v>154</v>
      </c>
      <c r="E1746" s="4">
        <v>7</v>
      </c>
      <c r="F1746" s="4">
        <v>7</v>
      </c>
      <c r="G1746" s="4">
        <v>5</v>
      </c>
      <c r="H1746" s="115">
        <v>1.8339999999999463</v>
      </c>
      <c r="I1746" s="115"/>
      <c r="J1746" s="115"/>
      <c r="K1746" s="115">
        <v>1.8339999999999463</v>
      </c>
      <c r="L1746" s="12">
        <f t="shared" si="116"/>
        <v>0.4523998459114334</v>
      </c>
      <c r="M1746" s="4">
        <f t="shared" si="117"/>
        <v>0</v>
      </c>
      <c r="N1746" s="4">
        <f t="shared" si="118"/>
        <v>0</v>
      </c>
      <c r="O1746" s="13">
        <f t="shared" si="119"/>
        <v>0.4523998459114334</v>
      </c>
    </row>
    <row r="1747" spans="2:15">
      <c r="B1747" s="12">
        <v>15</v>
      </c>
      <c r="C1747" s="4" t="s">
        <v>152</v>
      </c>
      <c r="D1747" s="4" t="s">
        <v>154</v>
      </c>
      <c r="E1747" s="4">
        <v>7</v>
      </c>
      <c r="F1747" s="4">
        <v>7</v>
      </c>
      <c r="G1747" s="4">
        <v>6</v>
      </c>
      <c r="H1747" s="115">
        <v>0.33300000000002683</v>
      </c>
      <c r="I1747" s="115"/>
      <c r="J1747" s="115"/>
      <c r="K1747" s="115">
        <v>0.33300000000002683</v>
      </c>
      <c r="L1747" s="12">
        <f t="shared" si="116"/>
        <v>0.12483014941386794</v>
      </c>
      <c r="M1747" s="4">
        <f t="shared" si="117"/>
        <v>0</v>
      </c>
      <c r="N1747" s="4">
        <f t="shared" si="118"/>
        <v>0</v>
      </c>
      <c r="O1747" s="13">
        <f t="shared" si="119"/>
        <v>0.12483014941386794</v>
      </c>
    </row>
    <row r="1748" spans="2:15">
      <c r="B1748" s="12">
        <v>15</v>
      </c>
      <c r="C1748" s="4" t="s">
        <v>152</v>
      </c>
      <c r="D1748" s="4" t="s">
        <v>154</v>
      </c>
      <c r="E1748" s="4">
        <v>7</v>
      </c>
      <c r="F1748" s="4">
        <v>7</v>
      </c>
      <c r="G1748" s="4">
        <v>7</v>
      </c>
      <c r="H1748" s="115"/>
      <c r="I1748" s="115">
        <v>0.51699999999999591</v>
      </c>
      <c r="J1748" s="115">
        <v>0.14999999999997726</v>
      </c>
      <c r="K1748" s="115">
        <v>0.66699999999997317</v>
      </c>
      <c r="L1748" s="12">
        <f t="shared" si="116"/>
        <v>0</v>
      </c>
      <c r="M1748" s="4">
        <f t="shared" si="117"/>
        <v>0.18098558078672933</v>
      </c>
      <c r="N1748" s="4">
        <f t="shared" si="118"/>
        <v>6.0697840353603094E-2</v>
      </c>
      <c r="O1748" s="13">
        <f t="shared" si="119"/>
        <v>0.22193559982799835</v>
      </c>
    </row>
    <row r="1749" spans="2:15">
      <c r="B1749" s="12">
        <v>15</v>
      </c>
      <c r="C1749" s="4" t="s">
        <v>152</v>
      </c>
      <c r="D1749" s="4" t="s">
        <v>154</v>
      </c>
      <c r="E1749" s="4">
        <v>7</v>
      </c>
      <c r="F1749" s="4">
        <v>7</v>
      </c>
      <c r="G1749" s="4">
        <v>8</v>
      </c>
      <c r="H1749" s="115">
        <v>0.64999999999997726</v>
      </c>
      <c r="I1749" s="115"/>
      <c r="J1749" s="115"/>
      <c r="K1749" s="115">
        <v>0.64999999999997726</v>
      </c>
      <c r="L1749" s="12">
        <f t="shared" si="116"/>
        <v>0.2174839442139003</v>
      </c>
      <c r="M1749" s="4">
        <f t="shared" si="117"/>
        <v>0</v>
      </c>
      <c r="N1749" s="4">
        <f t="shared" si="118"/>
        <v>0</v>
      </c>
      <c r="O1749" s="13">
        <f t="shared" si="119"/>
        <v>0.2174839442139003</v>
      </c>
    </row>
    <row r="1750" spans="2:15">
      <c r="B1750" s="12">
        <v>15</v>
      </c>
      <c r="C1750" s="4" t="s">
        <v>152</v>
      </c>
      <c r="D1750" s="4" t="s">
        <v>154</v>
      </c>
      <c r="E1750" s="4">
        <v>7</v>
      </c>
      <c r="F1750" s="4">
        <v>7</v>
      </c>
      <c r="G1750" s="4">
        <v>9</v>
      </c>
      <c r="H1750" s="115"/>
      <c r="I1750" s="115"/>
      <c r="J1750" s="115"/>
      <c r="K1750" s="115">
        <v>0</v>
      </c>
      <c r="L1750" s="12">
        <f t="shared" si="116"/>
        <v>0</v>
      </c>
      <c r="M1750" s="4">
        <f t="shared" si="117"/>
        <v>0</v>
      </c>
      <c r="N1750" s="4">
        <f t="shared" si="118"/>
        <v>0</v>
      </c>
      <c r="O1750" s="13">
        <f t="shared" si="119"/>
        <v>0</v>
      </c>
    </row>
    <row r="1751" spans="2:15" ht="13.8" thickBot="1">
      <c r="B1751" s="14">
        <v>15</v>
      </c>
      <c r="C1751" s="15" t="s">
        <v>152</v>
      </c>
      <c r="D1751" s="15" t="s">
        <v>154</v>
      </c>
      <c r="E1751" s="15">
        <v>7</v>
      </c>
      <c r="F1751" s="15">
        <v>7</v>
      </c>
      <c r="G1751" s="15">
        <v>10</v>
      </c>
      <c r="H1751" s="121"/>
      <c r="I1751" s="121"/>
      <c r="J1751" s="121"/>
      <c r="K1751" s="121">
        <v>0</v>
      </c>
      <c r="L1751" s="14">
        <f t="shared" si="116"/>
        <v>0</v>
      </c>
      <c r="M1751" s="15">
        <f t="shared" si="117"/>
        <v>0</v>
      </c>
      <c r="N1751" s="15">
        <f t="shared" si="118"/>
        <v>0</v>
      </c>
      <c r="O1751" s="16">
        <f t="shared" si="119"/>
        <v>0</v>
      </c>
    </row>
    <row r="1752" spans="2:15">
      <c r="B1752" s="9">
        <v>15</v>
      </c>
      <c r="C1752" s="10" t="s">
        <v>152</v>
      </c>
      <c r="D1752" s="10" t="s">
        <v>150</v>
      </c>
      <c r="E1752" s="93">
        <v>8</v>
      </c>
      <c r="F1752" s="93">
        <v>11</v>
      </c>
      <c r="G1752" s="10">
        <v>1</v>
      </c>
      <c r="H1752" s="120">
        <v>2.7150000000001455</v>
      </c>
      <c r="I1752" s="120">
        <v>1.4660000000000082</v>
      </c>
      <c r="J1752" s="120">
        <v>0.31699999999989359</v>
      </c>
      <c r="K1752" s="120">
        <v>4.4980000000000473</v>
      </c>
      <c r="L1752" s="9">
        <f t="shared" si="116"/>
        <v>0.56995881809661109</v>
      </c>
      <c r="M1752" s="10">
        <f t="shared" si="117"/>
        <v>0.3919930722597143</v>
      </c>
      <c r="N1752" s="10">
        <f t="shared" si="118"/>
        <v>0.11958577496174871</v>
      </c>
      <c r="O1752" s="11">
        <f t="shared" si="119"/>
        <v>0.74020473550745336</v>
      </c>
    </row>
    <row r="1753" spans="2:15">
      <c r="B1753" s="12">
        <v>15</v>
      </c>
      <c r="C1753" s="4" t="s">
        <v>152</v>
      </c>
      <c r="D1753" s="4" t="s">
        <v>150</v>
      </c>
      <c r="E1753" s="4">
        <v>8</v>
      </c>
      <c r="F1753" s="4">
        <v>11</v>
      </c>
      <c r="G1753" s="4">
        <v>2</v>
      </c>
      <c r="H1753" s="115">
        <v>2.83400000000006</v>
      </c>
      <c r="I1753" s="115"/>
      <c r="J1753" s="115"/>
      <c r="K1753" s="115">
        <v>2.83400000000006</v>
      </c>
      <c r="L1753" s="12">
        <f t="shared" si="116"/>
        <v>0.58365210854205063</v>
      </c>
      <c r="M1753" s="4">
        <f t="shared" si="117"/>
        <v>0</v>
      </c>
      <c r="N1753" s="4">
        <f t="shared" si="118"/>
        <v>0</v>
      </c>
      <c r="O1753" s="13">
        <f t="shared" si="119"/>
        <v>0.58365210854205063</v>
      </c>
    </row>
    <row r="1754" spans="2:15">
      <c r="B1754" s="12">
        <v>15</v>
      </c>
      <c r="C1754" s="4" t="s">
        <v>152</v>
      </c>
      <c r="D1754" s="4" t="s">
        <v>150</v>
      </c>
      <c r="E1754" s="4">
        <v>8</v>
      </c>
      <c r="F1754" s="4">
        <v>11</v>
      </c>
      <c r="G1754" s="4">
        <v>3</v>
      </c>
      <c r="H1754" s="115"/>
      <c r="I1754" s="115"/>
      <c r="J1754" s="115"/>
      <c r="K1754" s="115">
        <v>0</v>
      </c>
      <c r="L1754" s="12">
        <f t="shared" si="116"/>
        <v>0</v>
      </c>
      <c r="M1754" s="4">
        <f t="shared" si="117"/>
        <v>0</v>
      </c>
      <c r="N1754" s="4">
        <f t="shared" si="118"/>
        <v>0</v>
      </c>
      <c r="O1754" s="13">
        <f t="shared" si="119"/>
        <v>0</v>
      </c>
    </row>
    <row r="1755" spans="2:15">
      <c r="B1755" s="12">
        <v>15</v>
      </c>
      <c r="C1755" s="4" t="s">
        <v>152</v>
      </c>
      <c r="D1755" s="4" t="s">
        <v>150</v>
      </c>
      <c r="E1755" s="4">
        <v>8</v>
      </c>
      <c r="F1755" s="4">
        <v>11</v>
      </c>
      <c r="G1755" s="4">
        <v>4</v>
      </c>
      <c r="H1755" s="115"/>
      <c r="I1755" s="115"/>
      <c r="J1755" s="115"/>
      <c r="K1755" s="115">
        <v>0</v>
      </c>
      <c r="L1755" s="12">
        <f t="shared" si="116"/>
        <v>0</v>
      </c>
      <c r="M1755" s="4">
        <f t="shared" si="117"/>
        <v>0</v>
      </c>
      <c r="N1755" s="4">
        <f t="shared" si="118"/>
        <v>0</v>
      </c>
      <c r="O1755" s="13">
        <f t="shared" si="119"/>
        <v>0</v>
      </c>
    </row>
    <row r="1756" spans="2:15">
      <c r="B1756" s="12">
        <v>15</v>
      </c>
      <c r="C1756" s="4" t="s">
        <v>152</v>
      </c>
      <c r="D1756" s="4" t="s">
        <v>150</v>
      </c>
      <c r="E1756" s="4">
        <v>8</v>
      </c>
      <c r="F1756" s="4">
        <v>11</v>
      </c>
      <c r="G1756" s="4">
        <v>5</v>
      </c>
      <c r="H1756" s="115"/>
      <c r="I1756" s="115"/>
      <c r="J1756" s="115"/>
      <c r="K1756" s="115">
        <v>0</v>
      </c>
      <c r="L1756" s="12">
        <f t="shared" si="116"/>
        <v>0</v>
      </c>
      <c r="M1756" s="4">
        <f t="shared" si="117"/>
        <v>0</v>
      </c>
      <c r="N1756" s="4">
        <f t="shared" si="118"/>
        <v>0</v>
      </c>
      <c r="O1756" s="13">
        <f t="shared" si="119"/>
        <v>0</v>
      </c>
    </row>
    <row r="1757" spans="2:15">
      <c r="B1757" s="12">
        <v>15</v>
      </c>
      <c r="C1757" s="4" t="s">
        <v>152</v>
      </c>
      <c r="D1757" s="4" t="s">
        <v>150</v>
      </c>
      <c r="E1757" s="4">
        <v>8</v>
      </c>
      <c r="F1757" s="4">
        <v>11</v>
      </c>
      <c r="G1757" s="4">
        <v>6</v>
      </c>
      <c r="H1757" s="115"/>
      <c r="I1757" s="115"/>
      <c r="J1757" s="115"/>
      <c r="K1757" s="115">
        <v>0</v>
      </c>
      <c r="L1757" s="12">
        <f t="shared" si="116"/>
        <v>0</v>
      </c>
      <c r="M1757" s="4">
        <f t="shared" si="117"/>
        <v>0</v>
      </c>
      <c r="N1757" s="4">
        <f t="shared" si="118"/>
        <v>0</v>
      </c>
      <c r="O1757" s="13">
        <f t="shared" si="119"/>
        <v>0</v>
      </c>
    </row>
    <row r="1758" spans="2:15">
      <c r="B1758" s="12">
        <v>15</v>
      </c>
      <c r="C1758" s="4" t="s">
        <v>152</v>
      </c>
      <c r="D1758" s="4" t="s">
        <v>150</v>
      </c>
      <c r="E1758" s="4">
        <v>8</v>
      </c>
      <c r="F1758" s="4">
        <v>11</v>
      </c>
      <c r="G1758" s="4">
        <v>7</v>
      </c>
      <c r="H1758" s="115"/>
      <c r="I1758" s="115"/>
      <c r="J1758" s="115"/>
      <c r="K1758" s="115">
        <v>0</v>
      </c>
      <c r="L1758" s="12">
        <f t="shared" si="116"/>
        <v>0</v>
      </c>
      <c r="M1758" s="4">
        <f t="shared" si="117"/>
        <v>0</v>
      </c>
      <c r="N1758" s="4">
        <f t="shared" si="118"/>
        <v>0</v>
      </c>
      <c r="O1758" s="13">
        <f t="shared" si="119"/>
        <v>0</v>
      </c>
    </row>
    <row r="1759" spans="2:15">
      <c r="B1759" s="12">
        <v>15</v>
      </c>
      <c r="C1759" s="4" t="s">
        <v>152</v>
      </c>
      <c r="D1759" s="4" t="s">
        <v>150</v>
      </c>
      <c r="E1759" s="4">
        <v>8</v>
      </c>
      <c r="F1759" s="4">
        <v>11</v>
      </c>
      <c r="G1759" s="4">
        <v>8</v>
      </c>
      <c r="H1759" s="115"/>
      <c r="I1759" s="115"/>
      <c r="J1759" s="115"/>
      <c r="K1759" s="115">
        <v>0</v>
      </c>
      <c r="L1759" s="12">
        <f t="shared" si="116"/>
        <v>0</v>
      </c>
      <c r="M1759" s="4">
        <f t="shared" si="117"/>
        <v>0</v>
      </c>
      <c r="N1759" s="4">
        <f t="shared" si="118"/>
        <v>0</v>
      </c>
      <c r="O1759" s="13">
        <f t="shared" si="119"/>
        <v>0</v>
      </c>
    </row>
    <row r="1760" spans="2:15">
      <c r="B1760" s="12">
        <v>15</v>
      </c>
      <c r="C1760" s="4" t="s">
        <v>152</v>
      </c>
      <c r="D1760" s="4" t="s">
        <v>150</v>
      </c>
      <c r="E1760" s="4">
        <v>8</v>
      </c>
      <c r="F1760" s="4">
        <v>11</v>
      </c>
      <c r="G1760" s="4">
        <v>9</v>
      </c>
      <c r="H1760" s="115"/>
      <c r="I1760" s="115"/>
      <c r="J1760" s="115"/>
      <c r="K1760" s="115">
        <v>0</v>
      </c>
      <c r="L1760" s="12">
        <f t="shared" si="116"/>
        <v>0</v>
      </c>
      <c r="M1760" s="4">
        <f t="shared" si="117"/>
        <v>0</v>
      </c>
      <c r="N1760" s="4">
        <f t="shared" si="118"/>
        <v>0</v>
      </c>
      <c r="O1760" s="13">
        <f t="shared" si="119"/>
        <v>0</v>
      </c>
    </row>
    <row r="1761" spans="2:15" ht="13.8" thickBot="1">
      <c r="B1761" s="14">
        <v>15</v>
      </c>
      <c r="C1761" s="15" t="s">
        <v>152</v>
      </c>
      <c r="D1761" s="15" t="s">
        <v>150</v>
      </c>
      <c r="E1761" s="15">
        <v>8</v>
      </c>
      <c r="F1761" s="15">
        <v>11</v>
      </c>
      <c r="G1761" s="15">
        <v>10</v>
      </c>
      <c r="H1761" s="121"/>
      <c r="I1761" s="121"/>
      <c r="J1761" s="121"/>
      <c r="K1761" s="121">
        <v>0</v>
      </c>
      <c r="L1761" s="14">
        <f t="shared" si="116"/>
        <v>0</v>
      </c>
      <c r="M1761" s="15">
        <f t="shared" si="117"/>
        <v>0</v>
      </c>
      <c r="N1761" s="15">
        <f t="shared" si="118"/>
        <v>0</v>
      </c>
      <c r="O1761" s="16">
        <f t="shared" si="119"/>
        <v>0</v>
      </c>
    </row>
    <row r="1762" spans="2:15">
      <c r="B1762" s="9">
        <v>15</v>
      </c>
      <c r="C1762" s="10" t="s">
        <v>152</v>
      </c>
      <c r="D1762" s="10" t="s">
        <v>149</v>
      </c>
      <c r="E1762" s="93">
        <v>9</v>
      </c>
      <c r="F1762" s="93">
        <v>3</v>
      </c>
      <c r="G1762" s="10">
        <v>1</v>
      </c>
      <c r="H1762" s="120">
        <v>2.1330000000000098</v>
      </c>
      <c r="I1762" s="120"/>
      <c r="J1762" s="120">
        <v>0.54999999999998295</v>
      </c>
      <c r="K1762" s="120">
        <v>2.6829999999999927</v>
      </c>
      <c r="L1762" s="9">
        <f t="shared" si="116"/>
        <v>0.49596039488170651</v>
      </c>
      <c r="M1762" s="10">
        <f t="shared" si="117"/>
        <v>0</v>
      </c>
      <c r="N1762" s="10">
        <f t="shared" si="118"/>
        <v>0.1903316981702867</v>
      </c>
      <c r="O1762" s="11">
        <f t="shared" si="119"/>
        <v>0.56620171885491211</v>
      </c>
    </row>
    <row r="1763" spans="2:15">
      <c r="B1763" s="12">
        <v>15</v>
      </c>
      <c r="C1763" s="4" t="s">
        <v>152</v>
      </c>
      <c r="D1763" s="4" t="s">
        <v>149</v>
      </c>
      <c r="E1763" s="4">
        <v>9</v>
      </c>
      <c r="F1763" s="4">
        <v>3</v>
      </c>
      <c r="G1763" s="4">
        <v>2</v>
      </c>
      <c r="H1763" s="115">
        <v>1.4170000000000016</v>
      </c>
      <c r="I1763" s="115">
        <v>0.48400000000003729</v>
      </c>
      <c r="J1763" s="115">
        <v>1.716000000000065</v>
      </c>
      <c r="K1763" s="115">
        <v>3.6170000000001039</v>
      </c>
      <c r="L1763" s="12">
        <f t="shared" si="116"/>
        <v>0.38327665040765063</v>
      </c>
      <c r="M1763" s="4">
        <f t="shared" si="117"/>
        <v>0.17143390094301919</v>
      </c>
      <c r="N1763" s="4">
        <f t="shared" si="118"/>
        <v>0.43392976560847446</v>
      </c>
      <c r="O1763" s="13">
        <f t="shared" si="119"/>
        <v>0.66435987455115098</v>
      </c>
    </row>
    <row r="1764" spans="2:15">
      <c r="B1764" s="12">
        <v>15</v>
      </c>
      <c r="C1764" s="4" t="s">
        <v>152</v>
      </c>
      <c r="D1764" s="4" t="s">
        <v>149</v>
      </c>
      <c r="E1764" s="4">
        <v>9</v>
      </c>
      <c r="F1764" s="4">
        <v>3</v>
      </c>
      <c r="G1764" s="4">
        <v>3</v>
      </c>
      <c r="H1764" s="115">
        <v>0.78400000000002024</v>
      </c>
      <c r="I1764" s="115"/>
      <c r="J1764" s="115">
        <v>0.76600000000001955</v>
      </c>
      <c r="K1764" s="115">
        <v>1.5500000000000398</v>
      </c>
      <c r="L1764" s="12">
        <f t="shared" si="116"/>
        <v>0.2513948500401092</v>
      </c>
      <c r="M1764" s="4">
        <f t="shared" si="117"/>
        <v>0</v>
      </c>
      <c r="N1764" s="4">
        <f t="shared" si="118"/>
        <v>0.24699069924155459</v>
      </c>
      <c r="O1764" s="13">
        <f t="shared" si="119"/>
        <v>0.40654018043396195</v>
      </c>
    </row>
    <row r="1765" spans="2:15">
      <c r="B1765" s="12">
        <v>15</v>
      </c>
      <c r="C1765" s="4" t="s">
        <v>152</v>
      </c>
      <c r="D1765" s="4" t="s">
        <v>149</v>
      </c>
      <c r="E1765" s="4">
        <v>9</v>
      </c>
      <c r="F1765" s="4">
        <v>3</v>
      </c>
      <c r="G1765" s="4">
        <v>4</v>
      </c>
      <c r="H1765" s="115">
        <v>0.382000000000005</v>
      </c>
      <c r="I1765" s="115">
        <v>0.66700000000000159</v>
      </c>
      <c r="J1765" s="115">
        <v>0.45000000000004547</v>
      </c>
      <c r="K1765" s="115">
        <v>1.4990000000000521</v>
      </c>
      <c r="L1765" s="12">
        <f t="shared" si="116"/>
        <v>0.14050804303818118</v>
      </c>
      <c r="M1765" s="4">
        <f t="shared" si="117"/>
        <v>0.22193559982800573</v>
      </c>
      <c r="N1765" s="4">
        <f t="shared" si="118"/>
        <v>0.16136800223498851</v>
      </c>
      <c r="O1765" s="13">
        <f t="shared" si="119"/>
        <v>0.39776625612645905</v>
      </c>
    </row>
    <row r="1766" spans="2:15">
      <c r="B1766" s="12">
        <v>15</v>
      </c>
      <c r="C1766" s="4" t="s">
        <v>152</v>
      </c>
      <c r="D1766" s="4" t="s">
        <v>149</v>
      </c>
      <c r="E1766" s="4">
        <v>9</v>
      </c>
      <c r="F1766" s="4">
        <v>3</v>
      </c>
      <c r="G1766" s="4">
        <v>5</v>
      </c>
      <c r="H1766" s="115"/>
      <c r="I1766" s="115"/>
      <c r="J1766" s="115"/>
      <c r="K1766" s="115">
        <v>0</v>
      </c>
      <c r="L1766" s="12">
        <f t="shared" si="116"/>
        <v>0</v>
      </c>
      <c r="M1766" s="4">
        <f t="shared" si="117"/>
        <v>0</v>
      </c>
      <c r="N1766" s="4">
        <f t="shared" si="118"/>
        <v>0</v>
      </c>
      <c r="O1766" s="13">
        <f t="shared" si="119"/>
        <v>0</v>
      </c>
    </row>
    <row r="1767" spans="2:15">
      <c r="B1767" s="12">
        <v>15</v>
      </c>
      <c r="C1767" s="4" t="s">
        <v>152</v>
      </c>
      <c r="D1767" s="4" t="s">
        <v>149</v>
      </c>
      <c r="E1767" s="4">
        <v>9</v>
      </c>
      <c r="F1767" s="4">
        <v>3</v>
      </c>
      <c r="G1767" s="4">
        <v>6</v>
      </c>
      <c r="H1767" s="115"/>
      <c r="I1767" s="115"/>
      <c r="J1767" s="115"/>
      <c r="K1767" s="115">
        <v>0</v>
      </c>
      <c r="L1767" s="12">
        <f t="shared" ref="L1767:L1830" si="120">LOG10(H1767+1)</f>
        <v>0</v>
      </c>
      <c r="M1767" s="4">
        <f t="shared" ref="M1767:M1830" si="121">LOG10(I1767+1)</f>
        <v>0</v>
      </c>
      <c r="N1767" s="4">
        <f t="shared" ref="N1767:N1830" si="122">LOG10(J1767+1)</f>
        <v>0</v>
      </c>
      <c r="O1767" s="13">
        <f t="shared" ref="O1767:O1830" si="123">LOG10(K1767+1)</f>
        <v>0</v>
      </c>
    </row>
    <row r="1768" spans="2:15">
      <c r="B1768" s="12">
        <v>15</v>
      </c>
      <c r="C1768" s="4" t="s">
        <v>152</v>
      </c>
      <c r="D1768" s="4" t="s">
        <v>149</v>
      </c>
      <c r="E1768" s="4">
        <v>9</v>
      </c>
      <c r="F1768" s="4">
        <v>3</v>
      </c>
      <c r="G1768" s="4">
        <v>7</v>
      </c>
      <c r="H1768" s="115"/>
      <c r="I1768" s="115"/>
      <c r="J1768" s="115"/>
      <c r="K1768" s="115">
        <v>0</v>
      </c>
      <c r="L1768" s="12">
        <f t="shared" si="120"/>
        <v>0</v>
      </c>
      <c r="M1768" s="4">
        <f t="shared" si="121"/>
        <v>0</v>
      </c>
      <c r="N1768" s="4">
        <f t="shared" si="122"/>
        <v>0</v>
      </c>
      <c r="O1768" s="13">
        <f t="shared" si="123"/>
        <v>0</v>
      </c>
    </row>
    <row r="1769" spans="2:15">
      <c r="B1769" s="12">
        <v>15</v>
      </c>
      <c r="C1769" s="4" t="s">
        <v>152</v>
      </c>
      <c r="D1769" s="4" t="s">
        <v>149</v>
      </c>
      <c r="E1769" s="4">
        <v>9</v>
      </c>
      <c r="F1769" s="4">
        <v>3</v>
      </c>
      <c r="G1769" s="4">
        <v>8</v>
      </c>
      <c r="H1769" s="115"/>
      <c r="I1769" s="115"/>
      <c r="J1769" s="115"/>
      <c r="K1769" s="115">
        <v>0</v>
      </c>
      <c r="L1769" s="12">
        <f t="shared" si="120"/>
        <v>0</v>
      </c>
      <c r="M1769" s="4">
        <f t="shared" si="121"/>
        <v>0</v>
      </c>
      <c r="N1769" s="4">
        <f t="shared" si="122"/>
        <v>0</v>
      </c>
      <c r="O1769" s="13">
        <f t="shared" si="123"/>
        <v>0</v>
      </c>
    </row>
    <row r="1770" spans="2:15">
      <c r="B1770" s="12">
        <v>15</v>
      </c>
      <c r="C1770" s="4" t="s">
        <v>152</v>
      </c>
      <c r="D1770" s="4" t="s">
        <v>149</v>
      </c>
      <c r="E1770" s="4">
        <v>9</v>
      </c>
      <c r="F1770" s="4">
        <v>3</v>
      </c>
      <c r="G1770" s="4">
        <v>9</v>
      </c>
      <c r="H1770" s="115"/>
      <c r="I1770" s="115"/>
      <c r="J1770" s="115"/>
      <c r="K1770" s="115">
        <v>0</v>
      </c>
      <c r="L1770" s="12">
        <f t="shared" si="120"/>
        <v>0</v>
      </c>
      <c r="M1770" s="4">
        <f t="shared" si="121"/>
        <v>0</v>
      </c>
      <c r="N1770" s="4">
        <f t="shared" si="122"/>
        <v>0</v>
      </c>
      <c r="O1770" s="13">
        <f t="shared" si="123"/>
        <v>0</v>
      </c>
    </row>
    <row r="1771" spans="2:15" ht="13.8" thickBot="1">
      <c r="B1771" s="14">
        <v>15</v>
      </c>
      <c r="C1771" s="15" t="s">
        <v>152</v>
      </c>
      <c r="D1771" s="15" t="s">
        <v>149</v>
      </c>
      <c r="E1771" s="15">
        <v>9</v>
      </c>
      <c r="F1771" s="15">
        <v>3</v>
      </c>
      <c r="G1771" s="15">
        <v>10</v>
      </c>
      <c r="H1771" s="121"/>
      <c r="I1771" s="121"/>
      <c r="J1771" s="121"/>
      <c r="K1771" s="121">
        <v>0</v>
      </c>
      <c r="L1771" s="14">
        <f t="shared" si="120"/>
        <v>0</v>
      </c>
      <c r="M1771" s="15">
        <f t="shared" si="121"/>
        <v>0</v>
      </c>
      <c r="N1771" s="15">
        <f t="shared" si="122"/>
        <v>0</v>
      </c>
      <c r="O1771" s="16">
        <f t="shared" si="123"/>
        <v>0</v>
      </c>
    </row>
    <row r="1772" spans="2:15">
      <c r="B1772" s="9">
        <v>15</v>
      </c>
      <c r="C1772" s="10" t="s">
        <v>152</v>
      </c>
      <c r="D1772" s="10" t="s">
        <v>154</v>
      </c>
      <c r="E1772" s="93">
        <v>10</v>
      </c>
      <c r="F1772" s="93">
        <v>5</v>
      </c>
      <c r="G1772" s="10">
        <v>1</v>
      </c>
      <c r="H1772" s="120">
        <v>4.218000000000103</v>
      </c>
      <c r="I1772" s="120">
        <v>3.9990000000000521</v>
      </c>
      <c r="J1772" s="120"/>
      <c r="K1772" s="120">
        <v>8.2170000000001551</v>
      </c>
      <c r="L1772" s="9">
        <f t="shared" si="120"/>
        <v>0.71750407476421052</v>
      </c>
      <c r="M1772" s="10">
        <f t="shared" si="121"/>
        <v>0.69888313675259472</v>
      </c>
      <c r="N1772" s="10">
        <f t="shared" si="122"/>
        <v>0</v>
      </c>
      <c r="O1772" s="11">
        <f t="shared" si="123"/>
        <v>0.96458958748991064</v>
      </c>
    </row>
    <row r="1773" spans="2:15">
      <c r="B1773" s="12">
        <v>15</v>
      </c>
      <c r="C1773" s="4" t="s">
        <v>152</v>
      </c>
      <c r="D1773" s="4" t="s">
        <v>154</v>
      </c>
      <c r="E1773" s="4">
        <v>10</v>
      </c>
      <c r="F1773" s="4">
        <v>5</v>
      </c>
      <c r="G1773" s="4">
        <v>2</v>
      </c>
      <c r="H1773" s="115">
        <v>0.70000000000001705</v>
      </c>
      <c r="I1773" s="115">
        <v>0.51599999999996271</v>
      </c>
      <c r="J1773" s="115">
        <v>0.35000000000005116</v>
      </c>
      <c r="K1773" s="115">
        <v>1.5660000000000309</v>
      </c>
      <c r="L1773" s="12">
        <f t="shared" si="120"/>
        <v>0.2304489213782783</v>
      </c>
      <c r="M1773" s="4">
        <f t="shared" si="121"/>
        <v>0.18069920129602404</v>
      </c>
      <c r="N1773" s="4">
        <f t="shared" si="122"/>
        <v>0.13033376849502257</v>
      </c>
      <c r="O1773" s="13">
        <f t="shared" si="123"/>
        <v>0.40925665203891493</v>
      </c>
    </row>
    <row r="1774" spans="2:15">
      <c r="B1774" s="12">
        <v>15</v>
      </c>
      <c r="C1774" s="4" t="s">
        <v>152</v>
      </c>
      <c r="D1774" s="4" t="s">
        <v>154</v>
      </c>
      <c r="E1774" s="4">
        <v>10</v>
      </c>
      <c r="F1774" s="4">
        <v>5</v>
      </c>
      <c r="G1774" s="4">
        <v>3</v>
      </c>
      <c r="H1774" s="115">
        <v>0.49900000000002365</v>
      </c>
      <c r="I1774" s="115">
        <v>0.26599999999999113</v>
      </c>
      <c r="J1774" s="115">
        <v>0.61699999999999022</v>
      </c>
      <c r="K1774" s="115">
        <v>1.382000000000005</v>
      </c>
      <c r="L1774" s="12">
        <f t="shared" si="120"/>
        <v>0.17580163284828632</v>
      </c>
      <c r="M1774" s="4">
        <f t="shared" si="121"/>
        <v>0.10243370568133325</v>
      </c>
      <c r="N1774" s="4">
        <f t="shared" si="122"/>
        <v>0.20871001990639851</v>
      </c>
      <c r="O1774" s="13">
        <f t="shared" si="123"/>
        <v>0.37694175714675959</v>
      </c>
    </row>
    <row r="1775" spans="2:15">
      <c r="B1775" s="12">
        <v>15</v>
      </c>
      <c r="C1775" s="4" t="s">
        <v>152</v>
      </c>
      <c r="D1775" s="4" t="s">
        <v>154</v>
      </c>
      <c r="E1775" s="4">
        <v>10</v>
      </c>
      <c r="F1775" s="4">
        <v>5</v>
      </c>
      <c r="G1775" s="4">
        <v>4</v>
      </c>
      <c r="H1775" s="115">
        <v>2.3690000000000282</v>
      </c>
      <c r="I1775" s="115"/>
      <c r="J1775" s="115">
        <v>0.10000000000002274</v>
      </c>
      <c r="K1775" s="115">
        <v>2.4690000000000509</v>
      </c>
      <c r="L1775" s="12">
        <f t="shared" si="120"/>
        <v>0.5275010109811239</v>
      </c>
      <c r="M1775" s="4">
        <f t="shared" si="121"/>
        <v>0</v>
      </c>
      <c r="N1775" s="4">
        <f t="shared" si="122"/>
        <v>4.1392685158234015E-2</v>
      </c>
      <c r="O1775" s="13">
        <f t="shared" si="123"/>
        <v>0.54020429984206619</v>
      </c>
    </row>
    <row r="1776" spans="2:15">
      <c r="B1776" s="12">
        <v>15</v>
      </c>
      <c r="C1776" s="4" t="s">
        <v>152</v>
      </c>
      <c r="D1776" s="4" t="s">
        <v>154</v>
      </c>
      <c r="E1776" s="4">
        <v>10</v>
      </c>
      <c r="F1776" s="4">
        <v>5</v>
      </c>
      <c r="G1776" s="4">
        <v>5</v>
      </c>
      <c r="H1776" s="115"/>
      <c r="I1776" s="115"/>
      <c r="J1776" s="115"/>
      <c r="K1776" s="115">
        <v>0</v>
      </c>
      <c r="L1776" s="12">
        <f t="shared" si="120"/>
        <v>0</v>
      </c>
      <c r="M1776" s="4">
        <f t="shared" si="121"/>
        <v>0</v>
      </c>
      <c r="N1776" s="4">
        <f t="shared" si="122"/>
        <v>0</v>
      </c>
      <c r="O1776" s="13">
        <f t="shared" si="123"/>
        <v>0</v>
      </c>
    </row>
    <row r="1777" spans="2:15">
      <c r="B1777" s="12">
        <v>15</v>
      </c>
      <c r="C1777" s="4" t="s">
        <v>152</v>
      </c>
      <c r="D1777" s="4" t="s">
        <v>154</v>
      </c>
      <c r="E1777" s="4">
        <v>10</v>
      </c>
      <c r="F1777" s="4">
        <v>5</v>
      </c>
      <c r="G1777" s="4">
        <v>6</v>
      </c>
      <c r="H1777" s="115"/>
      <c r="I1777" s="115"/>
      <c r="J1777" s="115"/>
      <c r="K1777" s="115">
        <v>0</v>
      </c>
      <c r="L1777" s="12">
        <f t="shared" si="120"/>
        <v>0</v>
      </c>
      <c r="M1777" s="4">
        <f t="shared" si="121"/>
        <v>0</v>
      </c>
      <c r="N1777" s="4">
        <f t="shared" si="122"/>
        <v>0</v>
      </c>
      <c r="O1777" s="13">
        <f t="shared" si="123"/>
        <v>0</v>
      </c>
    </row>
    <row r="1778" spans="2:15">
      <c r="B1778" s="12">
        <v>15</v>
      </c>
      <c r="C1778" s="4" t="s">
        <v>152</v>
      </c>
      <c r="D1778" s="4" t="s">
        <v>154</v>
      </c>
      <c r="E1778" s="4">
        <v>10</v>
      </c>
      <c r="F1778" s="4">
        <v>5</v>
      </c>
      <c r="G1778" s="4">
        <v>7</v>
      </c>
      <c r="H1778" s="115"/>
      <c r="I1778" s="115"/>
      <c r="J1778" s="115"/>
      <c r="K1778" s="115">
        <v>0</v>
      </c>
      <c r="L1778" s="12">
        <f t="shared" si="120"/>
        <v>0</v>
      </c>
      <c r="M1778" s="4">
        <f t="shared" si="121"/>
        <v>0</v>
      </c>
      <c r="N1778" s="4">
        <f t="shared" si="122"/>
        <v>0</v>
      </c>
      <c r="O1778" s="13">
        <f t="shared" si="123"/>
        <v>0</v>
      </c>
    </row>
    <row r="1779" spans="2:15">
      <c r="B1779" s="12">
        <v>15</v>
      </c>
      <c r="C1779" s="4" t="s">
        <v>152</v>
      </c>
      <c r="D1779" s="4" t="s">
        <v>154</v>
      </c>
      <c r="E1779" s="4">
        <v>10</v>
      </c>
      <c r="F1779" s="4">
        <v>5</v>
      </c>
      <c r="G1779" s="4">
        <v>8</v>
      </c>
      <c r="H1779" s="115"/>
      <c r="I1779" s="115"/>
      <c r="J1779" s="115"/>
      <c r="K1779" s="115">
        <v>0</v>
      </c>
      <c r="L1779" s="12">
        <f t="shared" si="120"/>
        <v>0</v>
      </c>
      <c r="M1779" s="4">
        <f t="shared" si="121"/>
        <v>0</v>
      </c>
      <c r="N1779" s="4">
        <f t="shared" si="122"/>
        <v>0</v>
      </c>
      <c r="O1779" s="13">
        <f t="shared" si="123"/>
        <v>0</v>
      </c>
    </row>
    <row r="1780" spans="2:15">
      <c r="B1780" s="12">
        <v>15</v>
      </c>
      <c r="C1780" s="4" t="s">
        <v>152</v>
      </c>
      <c r="D1780" s="4" t="s">
        <v>154</v>
      </c>
      <c r="E1780" s="4">
        <v>10</v>
      </c>
      <c r="F1780" s="4">
        <v>5</v>
      </c>
      <c r="G1780" s="4">
        <v>9</v>
      </c>
      <c r="H1780" s="115"/>
      <c r="I1780" s="115"/>
      <c r="J1780" s="115"/>
      <c r="K1780" s="115">
        <v>0</v>
      </c>
      <c r="L1780" s="12">
        <f t="shared" si="120"/>
        <v>0</v>
      </c>
      <c r="M1780" s="4">
        <f t="shared" si="121"/>
        <v>0</v>
      </c>
      <c r="N1780" s="4">
        <f t="shared" si="122"/>
        <v>0</v>
      </c>
      <c r="O1780" s="13">
        <f t="shared" si="123"/>
        <v>0</v>
      </c>
    </row>
    <row r="1781" spans="2:15" ht="13.8" thickBot="1">
      <c r="B1781" s="14">
        <v>15</v>
      </c>
      <c r="C1781" s="15" t="s">
        <v>152</v>
      </c>
      <c r="D1781" s="15" t="s">
        <v>154</v>
      </c>
      <c r="E1781" s="15">
        <v>10</v>
      </c>
      <c r="F1781" s="15">
        <v>5</v>
      </c>
      <c r="G1781" s="15">
        <v>10</v>
      </c>
      <c r="H1781" s="121"/>
      <c r="I1781" s="121"/>
      <c r="J1781" s="121"/>
      <c r="K1781" s="121">
        <v>0</v>
      </c>
      <c r="L1781" s="14">
        <f t="shared" si="120"/>
        <v>0</v>
      </c>
      <c r="M1781" s="15">
        <f t="shared" si="121"/>
        <v>0</v>
      </c>
      <c r="N1781" s="15">
        <f t="shared" si="122"/>
        <v>0</v>
      </c>
      <c r="O1781" s="16">
        <f t="shared" si="123"/>
        <v>0</v>
      </c>
    </row>
    <row r="1782" spans="2:15">
      <c r="B1782" s="9">
        <v>15</v>
      </c>
      <c r="C1782" s="10" t="s">
        <v>152</v>
      </c>
      <c r="D1782" s="10" t="s">
        <v>150</v>
      </c>
      <c r="E1782" s="93">
        <v>11</v>
      </c>
      <c r="F1782" s="93">
        <v>9</v>
      </c>
      <c r="G1782" s="10">
        <v>1</v>
      </c>
      <c r="H1782" s="120">
        <v>2.7019999999999413</v>
      </c>
      <c r="I1782" s="120"/>
      <c r="J1782" s="120"/>
      <c r="K1782" s="120">
        <v>2.7019999999999413</v>
      </c>
      <c r="L1782" s="9">
        <f t="shared" si="120"/>
        <v>0.56843641441687842</v>
      </c>
      <c r="M1782" s="10">
        <f t="shared" si="121"/>
        <v>0</v>
      </c>
      <c r="N1782" s="10">
        <f t="shared" si="122"/>
        <v>0</v>
      </c>
      <c r="O1782" s="11">
        <f t="shared" si="123"/>
        <v>0.56843641441687842</v>
      </c>
    </row>
    <row r="1783" spans="2:15">
      <c r="B1783" s="12">
        <v>15</v>
      </c>
      <c r="C1783" s="4" t="s">
        <v>152</v>
      </c>
      <c r="D1783" s="4" t="s">
        <v>150</v>
      </c>
      <c r="E1783" s="4">
        <v>11</v>
      </c>
      <c r="F1783" s="4">
        <v>9</v>
      </c>
      <c r="G1783" s="4">
        <v>2</v>
      </c>
      <c r="H1783" s="115">
        <v>0.88299999999998136</v>
      </c>
      <c r="I1783" s="115"/>
      <c r="J1783" s="115">
        <v>2.25</v>
      </c>
      <c r="K1783" s="115">
        <v>3.1329999999999814</v>
      </c>
      <c r="L1783" s="12">
        <f t="shared" si="120"/>
        <v>0.27485032001666049</v>
      </c>
      <c r="M1783" s="4">
        <f t="shared" si="121"/>
        <v>0</v>
      </c>
      <c r="N1783" s="4">
        <f t="shared" si="122"/>
        <v>0.51188336097887432</v>
      </c>
      <c r="O1783" s="13">
        <f t="shared" si="123"/>
        <v>0.61626540528170626</v>
      </c>
    </row>
    <row r="1784" spans="2:15">
      <c r="B1784" s="12">
        <v>15</v>
      </c>
      <c r="C1784" s="4" t="s">
        <v>152</v>
      </c>
      <c r="D1784" s="4" t="s">
        <v>150</v>
      </c>
      <c r="E1784" s="4">
        <v>11</v>
      </c>
      <c r="F1784" s="4">
        <v>9</v>
      </c>
      <c r="G1784" s="4">
        <v>3</v>
      </c>
      <c r="H1784" s="115">
        <v>0.14999999999997726</v>
      </c>
      <c r="I1784" s="115"/>
      <c r="J1784" s="115"/>
      <c r="K1784" s="115">
        <v>0.14999999999997726</v>
      </c>
      <c r="L1784" s="12">
        <f t="shared" si="120"/>
        <v>6.0697840353603094E-2</v>
      </c>
      <c r="M1784" s="4">
        <f t="shared" si="121"/>
        <v>0</v>
      </c>
      <c r="N1784" s="4">
        <f t="shared" si="122"/>
        <v>0</v>
      </c>
      <c r="O1784" s="13">
        <f t="shared" si="123"/>
        <v>6.0697840353603094E-2</v>
      </c>
    </row>
    <row r="1785" spans="2:15">
      <c r="B1785" s="12">
        <v>15</v>
      </c>
      <c r="C1785" s="4" t="s">
        <v>152</v>
      </c>
      <c r="D1785" s="4" t="s">
        <v>150</v>
      </c>
      <c r="E1785" s="4">
        <v>11</v>
      </c>
      <c r="F1785" s="4">
        <v>9</v>
      </c>
      <c r="G1785" s="4">
        <v>4</v>
      </c>
      <c r="H1785" s="115"/>
      <c r="I1785" s="115"/>
      <c r="J1785" s="115"/>
      <c r="K1785" s="115">
        <v>0</v>
      </c>
      <c r="L1785" s="12">
        <f t="shared" si="120"/>
        <v>0</v>
      </c>
      <c r="M1785" s="4">
        <f t="shared" si="121"/>
        <v>0</v>
      </c>
      <c r="N1785" s="4">
        <f t="shared" si="122"/>
        <v>0</v>
      </c>
      <c r="O1785" s="13">
        <f t="shared" si="123"/>
        <v>0</v>
      </c>
    </row>
    <row r="1786" spans="2:15">
      <c r="B1786" s="12">
        <v>15</v>
      </c>
      <c r="C1786" s="4" t="s">
        <v>152</v>
      </c>
      <c r="D1786" s="4" t="s">
        <v>150</v>
      </c>
      <c r="E1786" s="4">
        <v>11</v>
      </c>
      <c r="F1786" s="4">
        <v>9</v>
      </c>
      <c r="G1786" s="4">
        <v>5</v>
      </c>
      <c r="H1786" s="115"/>
      <c r="I1786" s="115"/>
      <c r="J1786" s="115"/>
      <c r="K1786" s="115">
        <v>0</v>
      </c>
      <c r="L1786" s="12">
        <f t="shared" si="120"/>
        <v>0</v>
      </c>
      <c r="M1786" s="4">
        <f t="shared" si="121"/>
        <v>0</v>
      </c>
      <c r="N1786" s="4">
        <f t="shared" si="122"/>
        <v>0</v>
      </c>
      <c r="O1786" s="13">
        <f t="shared" si="123"/>
        <v>0</v>
      </c>
    </row>
    <row r="1787" spans="2:15">
      <c r="B1787" s="12">
        <v>15</v>
      </c>
      <c r="C1787" s="4" t="s">
        <v>152</v>
      </c>
      <c r="D1787" s="4" t="s">
        <v>150</v>
      </c>
      <c r="E1787" s="4">
        <v>11</v>
      </c>
      <c r="F1787" s="4">
        <v>9</v>
      </c>
      <c r="G1787" s="4">
        <v>6</v>
      </c>
      <c r="H1787" s="115"/>
      <c r="I1787" s="115"/>
      <c r="J1787" s="115"/>
      <c r="K1787" s="115">
        <v>0</v>
      </c>
      <c r="L1787" s="12">
        <f t="shared" si="120"/>
        <v>0</v>
      </c>
      <c r="M1787" s="4">
        <f t="shared" si="121"/>
        <v>0</v>
      </c>
      <c r="N1787" s="4">
        <f t="shared" si="122"/>
        <v>0</v>
      </c>
      <c r="O1787" s="13">
        <f t="shared" si="123"/>
        <v>0</v>
      </c>
    </row>
    <row r="1788" spans="2:15">
      <c r="B1788" s="12">
        <v>15</v>
      </c>
      <c r="C1788" s="4" t="s">
        <v>152</v>
      </c>
      <c r="D1788" s="4" t="s">
        <v>150</v>
      </c>
      <c r="E1788" s="4">
        <v>11</v>
      </c>
      <c r="F1788" s="4">
        <v>9</v>
      </c>
      <c r="G1788" s="4">
        <v>7</v>
      </c>
      <c r="H1788" s="115"/>
      <c r="I1788" s="115"/>
      <c r="J1788" s="115"/>
      <c r="K1788" s="115">
        <v>0</v>
      </c>
      <c r="L1788" s="12">
        <f t="shared" si="120"/>
        <v>0</v>
      </c>
      <c r="M1788" s="4">
        <f t="shared" si="121"/>
        <v>0</v>
      </c>
      <c r="N1788" s="4">
        <f t="shared" si="122"/>
        <v>0</v>
      </c>
      <c r="O1788" s="13">
        <f t="shared" si="123"/>
        <v>0</v>
      </c>
    </row>
    <row r="1789" spans="2:15">
      <c r="B1789" s="12">
        <v>15</v>
      </c>
      <c r="C1789" s="4" t="s">
        <v>152</v>
      </c>
      <c r="D1789" s="4" t="s">
        <v>150</v>
      </c>
      <c r="E1789" s="4">
        <v>11</v>
      </c>
      <c r="F1789" s="4">
        <v>9</v>
      </c>
      <c r="G1789" s="4">
        <v>8</v>
      </c>
      <c r="H1789" s="115"/>
      <c r="I1789" s="115"/>
      <c r="J1789" s="115"/>
      <c r="K1789" s="115">
        <v>0</v>
      </c>
      <c r="L1789" s="12">
        <f t="shared" si="120"/>
        <v>0</v>
      </c>
      <c r="M1789" s="4">
        <f t="shared" si="121"/>
        <v>0</v>
      </c>
      <c r="N1789" s="4">
        <f t="shared" si="122"/>
        <v>0</v>
      </c>
      <c r="O1789" s="13">
        <f t="shared" si="123"/>
        <v>0</v>
      </c>
    </row>
    <row r="1790" spans="2:15">
      <c r="B1790" s="12">
        <v>15</v>
      </c>
      <c r="C1790" s="4" t="s">
        <v>152</v>
      </c>
      <c r="D1790" s="4" t="s">
        <v>150</v>
      </c>
      <c r="E1790" s="4">
        <v>11</v>
      </c>
      <c r="F1790" s="4">
        <v>9</v>
      </c>
      <c r="G1790" s="4">
        <v>9</v>
      </c>
      <c r="H1790" s="115"/>
      <c r="I1790" s="115"/>
      <c r="J1790" s="115"/>
      <c r="K1790" s="115">
        <v>0</v>
      </c>
      <c r="L1790" s="12">
        <f t="shared" si="120"/>
        <v>0</v>
      </c>
      <c r="M1790" s="4">
        <f t="shared" si="121"/>
        <v>0</v>
      </c>
      <c r="N1790" s="4">
        <f t="shared" si="122"/>
        <v>0</v>
      </c>
      <c r="O1790" s="13">
        <f t="shared" si="123"/>
        <v>0</v>
      </c>
    </row>
    <row r="1791" spans="2:15" ht="13.8" thickBot="1">
      <c r="B1791" s="14">
        <v>15</v>
      </c>
      <c r="C1791" s="15" t="s">
        <v>152</v>
      </c>
      <c r="D1791" s="15" t="s">
        <v>150</v>
      </c>
      <c r="E1791" s="15">
        <v>11</v>
      </c>
      <c r="F1791" s="15">
        <v>9</v>
      </c>
      <c r="G1791" s="15">
        <v>10</v>
      </c>
      <c r="H1791" s="121"/>
      <c r="I1791" s="121"/>
      <c r="J1791" s="121"/>
      <c r="K1791" s="121">
        <v>0</v>
      </c>
      <c r="L1791" s="14">
        <f t="shared" si="120"/>
        <v>0</v>
      </c>
      <c r="M1791" s="15">
        <f t="shared" si="121"/>
        <v>0</v>
      </c>
      <c r="N1791" s="15">
        <f t="shared" si="122"/>
        <v>0</v>
      </c>
      <c r="O1791" s="16">
        <f t="shared" si="123"/>
        <v>0</v>
      </c>
    </row>
    <row r="1792" spans="2:15">
      <c r="B1792" s="9">
        <v>15</v>
      </c>
      <c r="C1792" s="10" t="s">
        <v>152</v>
      </c>
      <c r="D1792" s="10" t="s">
        <v>149</v>
      </c>
      <c r="E1792" s="93">
        <v>12</v>
      </c>
      <c r="F1792" s="93">
        <v>1</v>
      </c>
      <c r="G1792" s="10">
        <v>1</v>
      </c>
      <c r="H1792" s="120">
        <v>1.0510000000000019</v>
      </c>
      <c r="I1792" s="120">
        <v>0.44999999999998863</v>
      </c>
      <c r="J1792" s="120">
        <v>0.83299999999999841</v>
      </c>
      <c r="K1792" s="120">
        <v>2.333999999999989</v>
      </c>
      <c r="L1792" s="9">
        <f t="shared" si="120"/>
        <v>0.3119656603683667</v>
      </c>
      <c r="M1792" s="10">
        <f t="shared" si="121"/>
        <v>0.1613680022349715</v>
      </c>
      <c r="N1792" s="10">
        <f t="shared" si="122"/>
        <v>0.26316246496221629</v>
      </c>
      <c r="O1792" s="11">
        <f t="shared" si="123"/>
        <v>0.52296559549198507</v>
      </c>
    </row>
    <row r="1793" spans="2:15">
      <c r="B1793" s="12">
        <v>15</v>
      </c>
      <c r="C1793" s="4" t="s">
        <v>152</v>
      </c>
      <c r="D1793" s="4" t="s">
        <v>149</v>
      </c>
      <c r="E1793" s="4">
        <v>12</v>
      </c>
      <c r="F1793" s="4">
        <v>1</v>
      </c>
      <c r="G1793" s="4">
        <v>2</v>
      </c>
      <c r="H1793" s="115">
        <v>0.58400000000000318</v>
      </c>
      <c r="I1793" s="115"/>
      <c r="J1793" s="115"/>
      <c r="K1793" s="115">
        <v>0.58400000000000318</v>
      </c>
      <c r="L1793" s="12">
        <f t="shared" si="120"/>
        <v>0.19975517725347558</v>
      </c>
      <c r="M1793" s="4">
        <f t="shared" si="121"/>
        <v>0</v>
      </c>
      <c r="N1793" s="4">
        <f t="shared" si="122"/>
        <v>0</v>
      </c>
      <c r="O1793" s="13">
        <f t="shared" si="123"/>
        <v>0.19975517725347558</v>
      </c>
    </row>
    <row r="1794" spans="2:15">
      <c r="B1794" s="12">
        <v>15</v>
      </c>
      <c r="C1794" s="4" t="s">
        <v>152</v>
      </c>
      <c r="D1794" s="4" t="s">
        <v>149</v>
      </c>
      <c r="E1794" s="4">
        <v>12</v>
      </c>
      <c r="F1794" s="4">
        <v>1</v>
      </c>
      <c r="G1794" s="4">
        <v>3</v>
      </c>
      <c r="H1794" s="115">
        <v>2.916000000000011</v>
      </c>
      <c r="I1794" s="115"/>
      <c r="J1794" s="115"/>
      <c r="K1794" s="115">
        <v>2.916000000000011</v>
      </c>
      <c r="L1794" s="12">
        <f t="shared" si="120"/>
        <v>0.59284268313110144</v>
      </c>
      <c r="M1794" s="4">
        <f t="shared" si="121"/>
        <v>0</v>
      </c>
      <c r="N1794" s="4">
        <f t="shared" si="122"/>
        <v>0</v>
      </c>
      <c r="O1794" s="13">
        <f t="shared" si="123"/>
        <v>0.59284268313110144</v>
      </c>
    </row>
    <row r="1795" spans="2:15">
      <c r="B1795" s="12">
        <v>15</v>
      </c>
      <c r="C1795" s="4" t="s">
        <v>152</v>
      </c>
      <c r="D1795" s="4" t="s">
        <v>149</v>
      </c>
      <c r="E1795" s="4">
        <v>12</v>
      </c>
      <c r="F1795" s="4">
        <v>1</v>
      </c>
      <c r="G1795" s="4">
        <v>4</v>
      </c>
      <c r="H1795" s="115"/>
      <c r="I1795" s="115"/>
      <c r="J1795" s="115"/>
      <c r="K1795" s="115">
        <v>0</v>
      </c>
      <c r="L1795" s="12">
        <f t="shared" si="120"/>
        <v>0</v>
      </c>
      <c r="M1795" s="4">
        <f t="shared" si="121"/>
        <v>0</v>
      </c>
      <c r="N1795" s="4">
        <f t="shared" si="122"/>
        <v>0</v>
      </c>
      <c r="O1795" s="13">
        <f t="shared" si="123"/>
        <v>0</v>
      </c>
    </row>
    <row r="1796" spans="2:15">
      <c r="B1796" s="12">
        <v>15</v>
      </c>
      <c r="C1796" s="4" t="s">
        <v>152</v>
      </c>
      <c r="D1796" s="4" t="s">
        <v>149</v>
      </c>
      <c r="E1796" s="4">
        <v>12</v>
      </c>
      <c r="F1796" s="4">
        <v>1</v>
      </c>
      <c r="G1796" s="4">
        <v>5</v>
      </c>
      <c r="H1796" s="115"/>
      <c r="I1796" s="115"/>
      <c r="J1796" s="115"/>
      <c r="K1796" s="115">
        <v>0</v>
      </c>
      <c r="L1796" s="12">
        <f t="shared" si="120"/>
        <v>0</v>
      </c>
      <c r="M1796" s="4">
        <f t="shared" si="121"/>
        <v>0</v>
      </c>
      <c r="N1796" s="4">
        <f t="shared" si="122"/>
        <v>0</v>
      </c>
      <c r="O1796" s="13">
        <f t="shared" si="123"/>
        <v>0</v>
      </c>
    </row>
    <row r="1797" spans="2:15">
      <c r="B1797" s="12">
        <v>15</v>
      </c>
      <c r="C1797" s="4" t="s">
        <v>152</v>
      </c>
      <c r="D1797" s="4" t="s">
        <v>149</v>
      </c>
      <c r="E1797" s="4">
        <v>12</v>
      </c>
      <c r="F1797" s="4">
        <v>1</v>
      </c>
      <c r="G1797" s="4">
        <v>6</v>
      </c>
      <c r="H1797" s="115"/>
      <c r="I1797" s="115"/>
      <c r="J1797" s="115"/>
      <c r="K1797" s="115">
        <v>0</v>
      </c>
      <c r="L1797" s="12">
        <f t="shared" si="120"/>
        <v>0</v>
      </c>
      <c r="M1797" s="4">
        <f t="shared" si="121"/>
        <v>0</v>
      </c>
      <c r="N1797" s="4">
        <f t="shared" si="122"/>
        <v>0</v>
      </c>
      <c r="O1797" s="13">
        <f t="shared" si="123"/>
        <v>0</v>
      </c>
    </row>
    <row r="1798" spans="2:15">
      <c r="B1798" s="12">
        <v>15</v>
      </c>
      <c r="C1798" s="4" t="s">
        <v>152</v>
      </c>
      <c r="D1798" s="4" t="s">
        <v>149</v>
      </c>
      <c r="E1798" s="4">
        <v>12</v>
      </c>
      <c r="F1798" s="4">
        <v>1</v>
      </c>
      <c r="G1798" s="4">
        <v>7</v>
      </c>
      <c r="H1798" s="115"/>
      <c r="I1798" s="115"/>
      <c r="J1798" s="115"/>
      <c r="K1798" s="115">
        <v>0</v>
      </c>
      <c r="L1798" s="12">
        <f t="shared" si="120"/>
        <v>0</v>
      </c>
      <c r="M1798" s="4">
        <f t="shared" si="121"/>
        <v>0</v>
      </c>
      <c r="N1798" s="4">
        <f t="shared" si="122"/>
        <v>0</v>
      </c>
      <c r="O1798" s="13">
        <f t="shared" si="123"/>
        <v>0</v>
      </c>
    </row>
    <row r="1799" spans="2:15">
      <c r="B1799" s="12">
        <v>15</v>
      </c>
      <c r="C1799" s="4" t="s">
        <v>152</v>
      </c>
      <c r="D1799" s="4" t="s">
        <v>149</v>
      </c>
      <c r="E1799" s="4">
        <v>12</v>
      </c>
      <c r="F1799" s="4">
        <v>1</v>
      </c>
      <c r="G1799" s="4">
        <v>8</v>
      </c>
      <c r="H1799" s="115"/>
      <c r="I1799" s="115"/>
      <c r="J1799" s="115"/>
      <c r="K1799" s="115">
        <v>0</v>
      </c>
      <c r="L1799" s="12">
        <f t="shared" si="120"/>
        <v>0</v>
      </c>
      <c r="M1799" s="4">
        <f t="shared" si="121"/>
        <v>0</v>
      </c>
      <c r="N1799" s="4">
        <f t="shared" si="122"/>
        <v>0</v>
      </c>
      <c r="O1799" s="13">
        <f t="shared" si="123"/>
        <v>0</v>
      </c>
    </row>
    <row r="1800" spans="2:15">
      <c r="B1800" s="12">
        <v>15</v>
      </c>
      <c r="C1800" s="4" t="s">
        <v>152</v>
      </c>
      <c r="D1800" s="4" t="s">
        <v>149</v>
      </c>
      <c r="E1800" s="4">
        <v>12</v>
      </c>
      <c r="F1800" s="4">
        <v>1</v>
      </c>
      <c r="G1800" s="4">
        <v>9</v>
      </c>
      <c r="H1800" s="115"/>
      <c r="I1800" s="115"/>
      <c r="J1800" s="115"/>
      <c r="K1800" s="115">
        <v>0</v>
      </c>
      <c r="L1800" s="12">
        <f t="shared" si="120"/>
        <v>0</v>
      </c>
      <c r="M1800" s="4">
        <f t="shared" si="121"/>
        <v>0</v>
      </c>
      <c r="N1800" s="4">
        <f t="shared" si="122"/>
        <v>0</v>
      </c>
      <c r="O1800" s="13">
        <f t="shared" si="123"/>
        <v>0</v>
      </c>
    </row>
    <row r="1801" spans="2:15" ht="13.8" thickBot="1">
      <c r="B1801" s="14">
        <v>15</v>
      </c>
      <c r="C1801" s="15" t="s">
        <v>152</v>
      </c>
      <c r="D1801" s="15" t="s">
        <v>149</v>
      </c>
      <c r="E1801" s="15">
        <v>12</v>
      </c>
      <c r="F1801" s="15">
        <v>1</v>
      </c>
      <c r="G1801" s="15">
        <v>10</v>
      </c>
      <c r="H1801" s="121"/>
      <c r="I1801" s="121"/>
      <c r="J1801" s="121"/>
      <c r="K1801" s="121">
        <v>0</v>
      </c>
      <c r="L1801" s="14">
        <f t="shared" si="120"/>
        <v>0</v>
      </c>
      <c r="M1801" s="15">
        <f t="shared" si="121"/>
        <v>0</v>
      </c>
      <c r="N1801" s="15">
        <f t="shared" si="122"/>
        <v>0</v>
      </c>
      <c r="O1801" s="16">
        <f t="shared" si="123"/>
        <v>0</v>
      </c>
    </row>
    <row r="1802" spans="2:15">
      <c r="B1802" s="9">
        <v>16</v>
      </c>
      <c r="C1802" s="10" t="s">
        <v>151</v>
      </c>
      <c r="D1802" s="10" t="s">
        <v>154</v>
      </c>
      <c r="E1802" s="93">
        <v>1</v>
      </c>
      <c r="F1802" s="93">
        <v>10</v>
      </c>
      <c r="G1802" s="10">
        <v>1</v>
      </c>
      <c r="H1802" s="120">
        <v>0.21700000000004138</v>
      </c>
      <c r="I1802" s="120">
        <v>0.28399999999993497</v>
      </c>
      <c r="J1802" s="120"/>
      <c r="K1802" s="120">
        <v>0.50099999999997635</v>
      </c>
      <c r="L1802" s="9">
        <f t="shared" si="120"/>
        <v>8.5290578230079753E-2</v>
      </c>
      <c r="M1802" s="10">
        <f t="shared" si="121"/>
        <v>0.10856502373281247</v>
      </c>
      <c r="N1802" s="10">
        <f t="shared" si="122"/>
        <v>0</v>
      </c>
      <c r="O1802" s="11">
        <f t="shared" si="123"/>
        <v>0.17638069224326355</v>
      </c>
    </row>
    <row r="1803" spans="2:15">
      <c r="B1803" s="12">
        <v>16</v>
      </c>
      <c r="C1803" s="4" t="s">
        <v>151</v>
      </c>
      <c r="D1803" s="4" t="s">
        <v>154</v>
      </c>
      <c r="E1803" s="4">
        <v>1</v>
      </c>
      <c r="F1803" s="4">
        <v>10</v>
      </c>
      <c r="G1803" s="4">
        <v>2</v>
      </c>
      <c r="H1803" s="115">
        <v>0.41599999999999682</v>
      </c>
      <c r="I1803" s="115">
        <v>0.21700000000004138</v>
      </c>
      <c r="J1803" s="115">
        <v>0.53399999999999181</v>
      </c>
      <c r="K1803" s="115">
        <v>1.16700000000003</v>
      </c>
      <c r="L1803" s="12">
        <f t="shared" si="120"/>
        <v>0.15106325335374923</v>
      </c>
      <c r="M1803" s="4">
        <f t="shared" si="121"/>
        <v>8.5290578230079753E-2</v>
      </c>
      <c r="N1803" s="4">
        <f t="shared" si="122"/>
        <v>0.18582535961295985</v>
      </c>
      <c r="O1803" s="13">
        <f t="shared" si="123"/>
        <v>0.33585891131982398</v>
      </c>
    </row>
    <row r="1804" spans="2:15">
      <c r="B1804" s="12">
        <v>16</v>
      </c>
      <c r="C1804" s="4" t="s">
        <v>151</v>
      </c>
      <c r="D1804" s="4" t="s">
        <v>154</v>
      </c>
      <c r="E1804" s="4">
        <v>1</v>
      </c>
      <c r="F1804" s="4">
        <v>10</v>
      </c>
      <c r="G1804" s="4">
        <v>3</v>
      </c>
      <c r="H1804" s="115">
        <v>0.31599999999997408</v>
      </c>
      <c r="I1804" s="115"/>
      <c r="J1804" s="115">
        <v>0.21600000000000819</v>
      </c>
      <c r="K1804" s="115">
        <v>0.53199999999998226</v>
      </c>
      <c r="L1804" s="12">
        <f t="shared" si="120"/>
        <v>0.11925588927792813</v>
      </c>
      <c r="M1804" s="4">
        <f t="shared" si="121"/>
        <v>0</v>
      </c>
      <c r="N1804" s="4">
        <f t="shared" si="122"/>
        <v>8.4933574936719061E-2</v>
      </c>
      <c r="O1804" s="13">
        <f t="shared" si="123"/>
        <v>0.18525876529658011</v>
      </c>
    </row>
    <row r="1805" spans="2:15">
      <c r="B1805" s="12">
        <v>16</v>
      </c>
      <c r="C1805" s="4" t="s">
        <v>151</v>
      </c>
      <c r="D1805" s="4" t="s">
        <v>154</v>
      </c>
      <c r="E1805" s="4">
        <v>1</v>
      </c>
      <c r="F1805" s="4">
        <v>10</v>
      </c>
      <c r="G1805" s="4">
        <v>4</v>
      </c>
      <c r="H1805" s="115">
        <v>0.19999999999993179</v>
      </c>
      <c r="I1805" s="115"/>
      <c r="J1805" s="115"/>
      <c r="K1805" s="115">
        <v>0.19999999999993179</v>
      </c>
      <c r="L1805" s="12">
        <f t="shared" si="120"/>
        <v>7.9181246047600143E-2</v>
      </c>
      <c r="M1805" s="4">
        <f t="shared" si="121"/>
        <v>0</v>
      </c>
      <c r="N1805" s="4">
        <f t="shared" si="122"/>
        <v>0</v>
      </c>
      <c r="O1805" s="13">
        <f t="shared" si="123"/>
        <v>7.9181246047600143E-2</v>
      </c>
    </row>
    <row r="1806" spans="2:15">
      <c r="B1806" s="12">
        <v>16</v>
      </c>
      <c r="C1806" s="4" t="s">
        <v>151</v>
      </c>
      <c r="D1806" s="4" t="s">
        <v>154</v>
      </c>
      <c r="E1806" s="4">
        <v>1</v>
      </c>
      <c r="F1806" s="4">
        <v>10</v>
      </c>
      <c r="G1806" s="4">
        <v>5</v>
      </c>
      <c r="H1806" s="115"/>
      <c r="I1806" s="115"/>
      <c r="J1806" s="115"/>
      <c r="K1806" s="115">
        <v>0</v>
      </c>
      <c r="L1806" s="12">
        <f t="shared" si="120"/>
        <v>0</v>
      </c>
      <c r="M1806" s="4">
        <f t="shared" si="121"/>
        <v>0</v>
      </c>
      <c r="N1806" s="4">
        <f t="shared" si="122"/>
        <v>0</v>
      </c>
      <c r="O1806" s="13">
        <f t="shared" si="123"/>
        <v>0</v>
      </c>
    </row>
    <row r="1807" spans="2:15">
      <c r="B1807" s="12">
        <v>16</v>
      </c>
      <c r="C1807" s="4" t="s">
        <v>151</v>
      </c>
      <c r="D1807" s="4" t="s">
        <v>154</v>
      </c>
      <c r="E1807" s="4">
        <v>1</v>
      </c>
      <c r="F1807" s="4">
        <v>10</v>
      </c>
      <c r="G1807" s="4">
        <v>6</v>
      </c>
      <c r="H1807" s="115"/>
      <c r="I1807" s="115"/>
      <c r="J1807" s="115"/>
      <c r="K1807" s="115">
        <v>0</v>
      </c>
      <c r="L1807" s="12">
        <f t="shared" si="120"/>
        <v>0</v>
      </c>
      <c r="M1807" s="4">
        <f t="shared" si="121"/>
        <v>0</v>
      </c>
      <c r="N1807" s="4">
        <f t="shared" si="122"/>
        <v>0</v>
      </c>
      <c r="O1807" s="13">
        <f t="shared" si="123"/>
        <v>0</v>
      </c>
    </row>
    <row r="1808" spans="2:15">
      <c r="B1808" s="12">
        <v>16</v>
      </c>
      <c r="C1808" s="4" t="s">
        <v>151</v>
      </c>
      <c r="D1808" s="4" t="s">
        <v>154</v>
      </c>
      <c r="E1808" s="4">
        <v>1</v>
      </c>
      <c r="F1808" s="4">
        <v>10</v>
      </c>
      <c r="G1808" s="4">
        <v>7</v>
      </c>
      <c r="H1808" s="115"/>
      <c r="I1808" s="115"/>
      <c r="J1808" s="115"/>
      <c r="K1808" s="115">
        <v>0</v>
      </c>
      <c r="L1808" s="12">
        <f t="shared" si="120"/>
        <v>0</v>
      </c>
      <c r="M1808" s="4">
        <f t="shared" si="121"/>
        <v>0</v>
      </c>
      <c r="N1808" s="4">
        <f t="shared" si="122"/>
        <v>0</v>
      </c>
      <c r="O1808" s="13">
        <f t="shared" si="123"/>
        <v>0</v>
      </c>
    </row>
    <row r="1809" spans="2:15">
      <c r="B1809" s="12">
        <v>16</v>
      </c>
      <c r="C1809" s="4" t="s">
        <v>151</v>
      </c>
      <c r="D1809" s="4" t="s">
        <v>154</v>
      </c>
      <c r="E1809" s="4">
        <v>1</v>
      </c>
      <c r="F1809" s="4">
        <v>10</v>
      </c>
      <c r="G1809" s="4">
        <v>8</v>
      </c>
      <c r="H1809" s="115"/>
      <c r="I1809" s="115"/>
      <c r="J1809" s="115"/>
      <c r="K1809" s="115">
        <v>0</v>
      </c>
      <c r="L1809" s="12">
        <f t="shared" si="120"/>
        <v>0</v>
      </c>
      <c r="M1809" s="4">
        <f t="shared" si="121"/>
        <v>0</v>
      </c>
      <c r="N1809" s="4">
        <f t="shared" si="122"/>
        <v>0</v>
      </c>
      <c r="O1809" s="13">
        <f t="shared" si="123"/>
        <v>0</v>
      </c>
    </row>
    <row r="1810" spans="2:15">
      <c r="B1810" s="12">
        <v>16</v>
      </c>
      <c r="C1810" s="4" t="s">
        <v>151</v>
      </c>
      <c r="D1810" s="4" t="s">
        <v>154</v>
      </c>
      <c r="E1810" s="4">
        <v>1</v>
      </c>
      <c r="F1810" s="4">
        <v>10</v>
      </c>
      <c r="G1810" s="4">
        <v>9</v>
      </c>
      <c r="H1810" s="115"/>
      <c r="I1810" s="115"/>
      <c r="J1810" s="115"/>
      <c r="K1810" s="115">
        <v>0</v>
      </c>
      <c r="L1810" s="12">
        <f t="shared" si="120"/>
        <v>0</v>
      </c>
      <c r="M1810" s="4">
        <f t="shared" si="121"/>
        <v>0</v>
      </c>
      <c r="N1810" s="4">
        <f t="shared" si="122"/>
        <v>0</v>
      </c>
      <c r="O1810" s="13">
        <f t="shared" si="123"/>
        <v>0</v>
      </c>
    </row>
    <row r="1811" spans="2:15" ht="13.8" thickBot="1">
      <c r="B1811" s="14">
        <v>16</v>
      </c>
      <c r="C1811" s="15" t="s">
        <v>151</v>
      </c>
      <c r="D1811" s="15" t="s">
        <v>154</v>
      </c>
      <c r="E1811" s="15">
        <v>1</v>
      </c>
      <c r="F1811" s="15">
        <v>10</v>
      </c>
      <c r="G1811" s="15">
        <v>10</v>
      </c>
      <c r="H1811" s="121"/>
      <c r="I1811" s="121"/>
      <c r="J1811" s="121"/>
      <c r="K1811" s="121">
        <v>0</v>
      </c>
      <c r="L1811" s="14">
        <f t="shared" si="120"/>
        <v>0</v>
      </c>
      <c r="M1811" s="15">
        <f t="shared" si="121"/>
        <v>0</v>
      </c>
      <c r="N1811" s="15">
        <f t="shared" si="122"/>
        <v>0</v>
      </c>
      <c r="O1811" s="16">
        <f t="shared" si="123"/>
        <v>0</v>
      </c>
    </row>
    <row r="1812" spans="2:15">
      <c r="B1812" s="9">
        <v>16</v>
      </c>
      <c r="C1812" s="10" t="s">
        <v>151</v>
      </c>
      <c r="D1812" s="10" t="s">
        <v>154</v>
      </c>
      <c r="E1812" s="93">
        <v>2</v>
      </c>
      <c r="F1812" s="93">
        <v>12</v>
      </c>
      <c r="G1812" s="10">
        <v>1</v>
      </c>
      <c r="H1812" s="120"/>
      <c r="I1812" s="120">
        <v>0.1330000000000382</v>
      </c>
      <c r="J1812" s="120">
        <v>0.31700000000000728</v>
      </c>
      <c r="K1812" s="120">
        <v>0.45000000000004547</v>
      </c>
      <c r="L1812" s="9">
        <f t="shared" si="120"/>
        <v>0</v>
      </c>
      <c r="M1812" s="10">
        <f t="shared" si="121"/>
        <v>5.422990986341189E-2</v>
      </c>
      <c r="N1812" s="10">
        <f t="shared" si="122"/>
        <v>0.11958577496178621</v>
      </c>
      <c r="O1812" s="11">
        <f t="shared" si="123"/>
        <v>0.16136800223498851</v>
      </c>
    </row>
    <row r="1813" spans="2:15">
      <c r="B1813" s="12">
        <v>16</v>
      </c>
      <c r="C1813" s="4" t="s">
        <v>151</v>
      </c>
      <c r="D1813" s="4" t="s">
        <v>154</v>
      </c>
      <c r="E1813" s="4">
        <v>2</v>
      </c>
      <c r="F1813" s="4">
        <v>12</v>
      </c>
      <c r="G1813" s="4">
        <v>2</v>
      </c>
      <c r="H1813" s="115"/>
      <c r="I1813" s="115"/>
      <c r="J1813" s="115">
        <v>0.38400000000001455</v>
      </c>
      <c r="K1813" s="115">
        <v>0.38400000000001455</v>
      </c>
      <c r="L1813" s="12">
        <f t="shared" si="120"/>
        <v>0</v>
      </c>
      <c r="M1813" s="4">
        <f t="shared" si="121"/>
        <v>0</v>
      </c>
      <c r="N1813" s="4">
        <f t="shared" si="122"/>
        <v>0.14113609012074357</v>
      </c>
      <c r="O1813" s="13">
        <f t="shared" si="123"/>
        <v>0.14113609012074357</v>
      </c>
    </row>
    <row r="1814" spans="2:15">
      <c r="B1814" s="12">
        <v>16</v>
      </c>
      <c r="C1814" s="4" t="s">
        <v>151</v>
      </c>
      <c r="D1814" s="4" t="s">
        <v>154</v>
      </c>
      <c r="E1814" s="4">
        <v>2</v>
      </c>
      <c r="F1814" s="4">
        <v>12</v>
      </c>
      <c r="G1814" s="4">
        <v>3</v>
      </c>
      <c r="H1814" s="115">
        <v>0.23299999999994725</v>
      </c>
      <c r="I1814" s="115">
        <v>0.36700000000007549</v>
      </c>
      <c r="J1814" s="115">
        <v>0.53300000000001546</v>
      </c>
      <c r="K1814" s="115">
        <v>1.1330000000000382</v>
      </c>
      <c r="L1814" s="12">
        <f t="shared" si="120"/>
        <v>9.0963076595713066E-2</v>
      </c>
      <c r="M1814" s="4">
        <f t="shared" si="121"/>
        <v>0.13576851456784625</v>
      </c>
      <c r="N1814" s="4">
        <f t="shared" si="122"/>
        <v>0.18554215485437955</v>
      </c>
      <c r="O1814" s="13">
        <f t="shared" si="123"/>
        <v>0.32899085544943651</v>
      </c>
    </row>
    <row r="1815" spans="2:15">
      <c r="B1815" s="12">
        <v>16</v>
      </c>
      <c r="C1815" s="4" t="s">
        <v>151</v>
      </c>
      <c r="D1815" s="4" t="s">
        <v>154</v>
      </c>
      <c r="E1815" s="4">
        <v>2</v>
      </c>
      <c r="F1815" s="4">
        <v>12</v>
      </c>
      <c r="G1815" s="4">
        <v>4</v>
      </c>
      <c r="H1815" s="115">
        <v>0.33300000000008367</v>
      </c>
      <c r="I1815" s="115"/>
      <c r="J1815" s="115"/>
      <c r="K1815" s="115">
        <v>0.33300000000008367</v>
      </c>
      <c r="L1815" s="12">
        <f t="shared" si="120"/>
        <v>0.12483014941388647</v>
      </c>
      <c r="M1815" s="4">
        <f t="shared" si="121"/>
        <v>0</v>
      </c>
      <c r="N1815" s="4">
        <f t="shared" si="122"/>
        <v>0</v>
      </c>
      <c r="O1815" s="13">
        <f t="shared" si="123"/>
        <v>0.12483014941388647</v>
      </c>
    </row>
    <row r="1816" spans="2:15">
      <c r="B1816" s="12">
        <v>16</v>
      </c>
      <c r="C1816" s="4" t="s">
        <v>151</v>
      </c>
      <c r="D1816" s="4" t="s">
        <v>154</v>
      </c>
      <c r="E1816" s="4">
        <v>2</v>
      </c>
      <c r="F1816" s="4">
        <v>12</v>
      </c>
      <c r="G1816" s="4">
        <v>5</v>
      </c>
      <c r="H1816" s="115"/>
      <c r="I1816" s="115"/>
      <c r="J1816" s="115"/>
      <c r="K1816" s="115">
        <v>0</v>
      </c>
      <c r="L1816" s="12">
        <f t="shared" si="120"/>
        <v>0</v>
      </c>
      <c r="M1816" s="4">
        <f t="shared" si="121"/>
        <v>0</v>
      </c>
      <c r="N1816" s="4">
        <f t="shared" si="122"/>
        <v>0</v>
      </c>
      <c r="O1816" s="13">
        <f t="shared" si="123"/>
        <v>0</v>
      </c>
    </row>
    <row r="1817" spans="2:15">
      <c r="B1817" s="12">
        <v>16</v>
      </c>
      <c r="C1817" s="4" t="s">
        <v>151</v>
      </c>
      <c r="D1817" s="4" t="s">
        <v>154</v>
      </c>
      <c r="E1817" s="4">
        <v>2</v>
      </c>
      <c r="F1817" s="4">
        <v>12</v>
      </c>
      <c r="G1817" s="4">
        <v>6</v>
      </c>
      <c r="H1817" s="115"/>
      <c r="I1817" s="115"/>
      <c r="J1817" s="115"/>
      <c r="K1817" s="115">
        <v>0</v>
      </c>
      <c r="L1817" s="12">
        <f t="shared" si="120"/>
        <v>0</v>
      </c>
      <c r="M1817" s="4">
        <f t="shared" si="121"/>
        <v>0</v>
      </c>
      <c r="N1817" s="4">
        <f t="shared" si="122"/>
        <v>0</v>
      </c>
      <c r="O1817" s="13">
        <f t="shared" si="123"/>
        <v>0</v>
      </c>
    </row>
    <row r="1818" spans="2:15">
      <c r="B1818" s="12">
        <v>16</v>
      </c>
      <c r="C1818" s="4" t="s">
        <v>151</v>
      </c>
      <c r="D1818" s="4" t="s">
        <v>154</v>
      </c>
      <c r="E1818" s="4">
        <v>2</v>
      </c>
      <c r="F1818" s="4">
        <v>12</v>
      </c>
      <c r="G1818" s="4">
        <v>7</v>
      </c>
      <c r="H1818" s="115"/>
      <c r="I1818" s="115"/>
      <c r="J1818" s="115"/>
      <c r="K1818" s="115">
        <v>0</v>
      </c>
      <c r="L1818" s="12">
        <f t="shared" si="120"/>
        <v>0</v>
      </c>
      <c r="M1818" s="4">
        <f t="shared" si="121"/>
        <v>0</v>
      </c>
      <c r="N1818" s="4">
        <f t="shared" si="122"/>
        <v>0</v>
      </c>
      <c r="O1818" s="13">
        <f t="shared" si="123"/>
        <v>0</v>
      </c>
    </row>
    <row r="1819" spans="2:15">
      <c r="B1819" s="12">
        <v>16</v>
      </c>
      <c r="C1819" s="4" t="s">
        <v>151</v>
      </c>
      <c r="D1819" s="4" t="s">
        <v>154</v>
      </c>
      <c r="E1819" s="4">
        <v>2</v>
      </c>
      <c r="F1819" s="4">
        <v>12</v>
      </c>
      <c r="G1819" s="4">
        <v>8</v>
      </c>
      <c r="H1819" s="115"/>
      <c r="I1819" s="115"/>
      <c r="J1819" s="115"/>
      <c r="K1819" s="115">
        <v>0</v>
      </c>
      <c r="L1819" s="12">
        <f t="shared" si="120"/>
        <v>0</v>
      </c>
      <c r="M1819" s="4">
        <f t="shared" si="121"/>
        <v>0</v>
      </c>
      <c r="N1819" s="4">
        <f t="shared" si="122"/>
        <v>0</v>
      </c>
      <c r="O1819" s="13">
        <f t="shared" si="123"/>
        <v>0</v>
      </c>
    </row>
    <row r="1820" spans="2:15">
      <c r="B1820" s="12">
        <v>16</v>
      </c>
      <c r="C1820" s="4" t="s">
        <v>151</v>
      </c>
      <c r="D1820" s="4" t="s">
        <v>154</v>
      </c>
      <c r="E1820" s="4">
        <v>2</v>
      </c>
      <c r="F1820" s="4">
        <v>12</v>
      </c>
      <c r="G1820" s="4">
        <v>9</v>
      </c>
      <c r="H1820" s="115"/>
      <c r="I1820" s="115"/>
      <c r="J1820" s="115"/>
      <c r="K1820" s="115">
        <v>0</v>
      </c>
      <c r="L1820" s="12">
        <f t="shared" si="120"/>
        <v>0</v>
      </c>
      <c r="M1820" s="4">
        <f t="shared" si="121"/>
        <v>0</v>
      </c>
      <c r="N1820" s="4">
        <f t="shared" si="122"/>
        <v>0</v>
      </c>
      <c r="O1820" s="13">
        <f t="shared" si="123"/>
        <v>0</v>
      </c>
    </row>
    <row r="1821" spans="2:15" ht="13.8" thickBot="1">
      <c r="B1821" s="14">
        <v>16</v>
      </c>
      <c r="C1821" s="15" t="s">
        <v>151</v>
      </c>
      <c r="D1821" s="15" t="s">
        <v>154</v>
      </c>
      <c r="E1821" s="15">
        <v>2</v>
      </c>
      <c r="F1821" s="15">
        <v>12</v>
      </c>
      <c r="G1821" s="15">
        <v>10</v>
      </c>
      <c r="H1821" s="121"/>
      <c r="I1821" s="121"/>
      <c r="J1821" s="121"/>
      <c r="K1821" s="121">
        <v>0</v>
      </c>
      <c r="L1821" s="14">
        <f t="shared" si="120"/>
        <v>0</v>
      </c>
      <c r="M1821" s="15">
        <f t="shared" si="121"/>
        <v>0</v>
      </c>
      <c r="N1821" s="15">
        <f t="shared" si="122"/>
        <v>0</v>
      </c>
      <c r="O1821" s="16">
        <f t="shared" si="123"/>
        <v>0</v>
      </c>
    </row>
    <row r="1822" spans="2:15">
      <c r="B1822" s="9">
        <v>16</v>
      </c>
      <c r="C1822" s="10" t="s">
        <v>151</v>
      </c>
      <c r="D1822" s="10" t="s">
        <v>149</v>
      </c>
      <c r="E1822" s="93">
        <v>3</v>
      </c>
      <c r="F1822" s="93">
        <v>4</v>
      </c>
      <c r="G1822" s="10">
        <v>1</v>
      </c>
      <c r="H1822" s="120"/>
      <c r="I1822" s="120"/>
      <c r="J1822" s="120">
        <v>0.11700000000001864</v>
      </c>
      <c r="K1822" s="120">
        <v>0.11700000000001864</v>
      </c>
      <c r="L1822" s="9">
        <f t="shared" si="120"/>
        <v>0</v>
      </c>
      <c r="M1822" s="10">
        <f t="shared" si="121"/>
        <v>0</v>
      </c>
      <c r="N1822" s="10">
        <f t="shared" si="122"/>
        <v>4.8053173115616306E-2</v>
      </c>
      <c r="O1822" s="11">
        <f t="shared" si="123"/>
        <v>4.8053173115616306E-2</v>
      </c>
    </row>
    <row r="1823" spans="2:15">
      <c r="B1823" s="12">
        <v>16</v>
      </c>
      <c r="C1823" s="4" t="s">
        <v>151</v>
      </c>
      <c r="D1823" s="4" t="s">
        <v>149</v>
      </c>
      <c r="E1823" s="4">
        <v>3</v>
      </c>
      <c r="F1823" s="4">
        <v>4</v>
      </c>
      <c r="G1823" s="4">
        <v>2</v>
      </c>
      <c r="H1823" s="115">
        <v>0.90100000000001046</v>
      </c>
      <c r="I1823" s="115">
        <v>0.41599999999999682</v>
      </c>
      <c r="J1823" s="115">
        <v>1.1319999999999766</v>
      </c>
      <c r="K1823" s="115">
        <v>2.4489999999999839</v>
      </c>
      <c r="L1823" s="12">
        <f t="shared" si="120"/>
        <v>0.27898211686544555</v>
      </c>
      <c r="M1823" s="4">
        <f t="shared" si="121"/>
        <v>0.15106325335374923</v>
      </c>
      <c r="N1823" s="4">
        <f t="shared" si="122"/>
        <v>0.32878720035452991</v>
      </c>
      <c r="O1823" s="13">
        <f t="shared" si="123"/>
        <v>0.53769319436738872</v>
      </c>
    </row>
    <row r="1824" spans="2:15">
      <c r="B1824" s="12">
        <v>16</v>
      </c>
      <c r="C1824" s="4" t="s">
        <v>151</v>
      </c>
      <c r="D1824" s="4" t="s">
        <v>149</v>
      </c>
      <c r="E1824" s="4">
        <v>3</v>
      </c>
      <c r="F1824" s="4">
        <v>4</v>
      </c>
      <c r="G1824" s="4">
        <v>3</v>
      </c>
      <c r="H1824" s="115">
        <v>0.34899999999998954</v>
      </c>
      <c r="I1824" s="115">
        <v>0.11600000000001387</v>
      </c>
      <c r="J1824" s="115">
        <v>0.13300000000000978</v>
      </c>
      <c r="K1824" s="115">
        <v>0.59800000000001319</v>
      </c>
      <c r="L1824" s="12">
        <f t="shared" si="120"/>
        <v>0.13001194967190088</v>
      </c>
      <c r="M1824" s="4">
        <f t="shared" si="121"/>
        <v>4.7664194601565339E-2</v>
      </c>
      <c r="N1824" s="4">
        <f t="shared" si="122"/>
        <v>5.4229909863400996E-2</v>
      </c>
      <c r="O1824" s="13">
        <f t="shared" si="123"/>
        <v>0.20357677497797616</v>
      </c>
    </row>
    <row r="1825" spans="2:15">
      <c r="B1825" s="12">
        <v>16</v>
      </c>
      <c r="C1825" s="4" t="s">
        <v>151</v>
      </c>
      <c r="D1825" s="4" t="s">
        <v>149</v>
      </c>
      <c r="E1825" s="4">
        <v>3</v>
      </c>
      <c r="F1825" s="4">
        <v>4</v>
      </c>
      <c r="G1825" s="4">
        <v>4</v>
      </c>
      <c r="H1825" s="115">
        <v>9.9999999999994316E-2</v>
      </c>
      <c r="I1825" s="115">
        <v>9.9999999999994316E-2</v>
      </c>
      <c r="J1825" s="115"/>
      <c r="K1825" s="115">
        <v>0.19999999999998863</v>
      </c>
      <c r="L1825" s="12">
        <f t="shared" si="120"/>
        <v>4.1392685158222794E-2</v>
      </c>
      <c r="M1825" s="4">
        <f t="shared" si="121"/>
        <v>4.1392685158222794E-2</v>
      </c>
      <c r="N1825" s="4">
        <f t="shared" si="122"/>
        <v>0</v>
      </c>
      <c r="O1825" s="13">
        <f t="shared" si="123"/>
        <v>7.918124604762071E-2</v>
      </c>
    </row>
    <row r="1826" spans="2:15">
      <c r="B1826" s="12">
        <v>16</v>
      </c>
      <c r="C1826" s="4" t="s">
        <v>151</v>
      </c>
      <c r="D1826" s="4" t="s">
        <v>149</v>
      </c>
      <c r="E1826" s="4">
        <v>3</v>
      </c>
      <c r="F1826" s="4">
        <v>4</v>
      </c>
      <c r="G1826" s="4">
        <v>5</v>
      </c>
      <c r="H1826" s="115"/>
      <c r="I1826" s="115"/>
      <c r="J1826" s="115"/>
      <c r="K1826" s="115">
        <v>0</v>
      </c>
      <c r="L1826" s="12">
        <f t="shared" si="120"/>
        <v>0</v>
      </c>
      <c r="M1826" s="4">
        <f t="shared" si="121"/>
        <v>0</v>
      </c>
      <c r="N1826" s="4">
        <f t="shared" si="122"/>
        <v>0</v>
      </c>
      <c r="O1826" s="13">
        <f t="shared" si="123"/>
        <v>0</v>
      </c>
    </row>
    <row r="1827" spans="2:15">
      <c r="B1827" s="12">
        <v>16</v>
      </c>
      <c r="C1827" s="4" t="s">
        <v>151</v>
      </c>
      <c r="D1827" s="4" t="s">
        <v>149</v>
      </c>
      <c r="E1827" s="4">
        <v>3</v>
      </c>
      <c r="F1827" s="4">
        <v>4</v>
      </c>
      <c r="G1827" s="4">
        <v>6</v>
      </c>
      <c r="H1827" s="115"/>
      <c r="I1827" s="115"/>
      <c r="J1827" s="115"/>
      <c r="K1827" s="115">
        <v>0</v>
      </c>
      <c r="L1827" s="12">
        <f t="shared" si="120"/>
        <v>0</v>
      </c>
      <c r="M1827" s="4">
        <f t="shared" si="121"/>
        <v>0</v>
      </c>
      <c r="N1827" s="4">
        <f t="shared" si="122"/>
        <v>0</v>
      </c>
      <c r="O1827" s="13">
        <f t="shared" si="123"/>
        <v>0</v>
      </c>
    </row>
    <row r="1828" spans="2:15">
      <c r="B1828" s="12">
        <v>16</v>
      </c>
      <c r="C1828" s="4" t="s">
        <v>151</v>
      </c>
      <c r="D1828" s="4" t="s">
        <v>149</v>
      </c>
      <c r="E1828" s="4">
        <v>3</v>
      </c>
      <c r="F1828" s="4">
        <v>4</v>
      </c>
      <c r="G1828" s="4">
        <v>7</v>
      </c>
      <c r="H1828" s="115"/>
      <c r="I1828" s="115"/>
      <c r="J1828" s="115"/>
      <c r="K1828" s="115">
        <v>0</v>
      </c>
      <c r="L1828" s="12">
        <f t="shared" si="120"/>
        <v>0</v>
      </c>
      <c r="M1828" s="4">
        <f t="shared" si="121"/>
        <v>0</v>
      </c>
      <c r="N1828" s="4">
        <f t="shared" si="122"/>
        <v>0</v>
      </c>
      <c r="O1828" s="13">
        <f t="shared" si="123"/>
        <v>0</v>
      </c>
    </row>
    <row r="1829" spans="2:15">
      <c r="B1829" s="12">
        <v>16</v>
      </c>
      <c r="C1829" s="4" t="s">
        <v>151</v>
      </c>
      <c r="D1829" s="4" t="s">
        <v>149</v>
      </c>
      <c r="E1829" s="4">
        <v>3</v>
      </c>
      <c r="F1829" s="4">
        <v>4</v>
      </c>
      <c r="G1829" s="4">
        <v>8</v>
      </c>
      <c r="H1829" s="115"/>
      <c r="I1829" s="115"/>
      <c r="J1829" s="115"/>
      <c r="K1829" s="115">
        <v>0</v>
      </c>
      <c r="L1829" s="12">
        <f t="shared" si="120"/>
        <v>0</v>
      </c>
      <c r="M1829" s="4">
        <f t="shared" si="121"/>
        <v>0</v>
      </c>
      <c r="N1829" s="4">
        <f t="shared" si="122"/>
        <v>0</v>
      </c>
      <c r="O1829" s="13">
        <f t="shared" si="123"/>
        <v>0</v>
      </c>
    </row>
    <row r="1830" spans="2:15">
      <c r="B1830" s="12">
        <v>16</v>
      </c>
      <c r="C1830" s="4" t="s">
        <v>151</v>
      </c>
      <c r="D1830" s="4" t="s">
        <v>149</v>
      </c>
      <c r="E1830" s="4">
        <v>3</v>
      </c>
      <c r="F1830" s="4">
        <v>4</v>
      </c>
      <c r="G1830" s="4">
        <v>9</v>
      </c>
      <c r="H1830" s="115"/>
      <c r="I1830" s="115"/>
      <c r="J1830" s="115"/>
      <c r="K1830" s="115">
        <v>0</v>
      </c>
      <c r="L1830" s="12">
        <f t="shared" si="120"/>
        <v>0</v>
      </c>
      <c r="M1830" s="4">
        <f t="shared" si="121"/>
        <v>0</v>
      </c>
      <c r="N1830" s="4">
        <f t="shared" si="122"/>
        <v>0</v>
      </c>
      <c r="O1830" s="13">
        <f t="shared" si="123"/>
        <v>0</v>
      </c>
    </row>
    <row r="1831" spans="2:15" ht="13.8" thickBot="1">
      <c r="B1831" s="14">
        <v>16</v>
      </c>
      <c r="C1831" s="15" t="s">
        <v>151</v>
      </c>
      <c r="D1831" s="15" t="s">
        <v>149</v>
      </c>
      <c r="E1831" s="15">
        <v>3</v>
      </c>
      <c r="F1831" s="15">
        <v>4</v>
      </c>
      <c r="G1831" s="15">
        <v>10</v>
      </c>
      <c r="H1831" s="121"/>
      <c r="I1831" s="121"/>
      <c r="J1831" s="121"/>
      <c r="K1831" s="121">
        <v>0</v>
      </c>
      <c r="L1831" s="14">
        <f t="shared" ref="L1831:L1894" si="124">LOG10(H1831+1)</f>
        <v>0</v>
      </c>
      <c r="M1831" s="15">
        <f t="shared" ref="M1831:M1894" si="125">LOG10(I1831+1)</f>
        <v>0</v>
      </c>
      <c r="N1831" s="15">
        <f t="shared" ref="N1831:N1894" si="126">LOG10(J1831+1)</f>
        <v>0</v>
      </c>
      <c r="O1831" s="16">
        <f t="shared" ref="O1831:O1894" si="127">LOG10(K1831+1)</f>
        <v>0</v>
      </c>
    </row>
    <row r="1832" spans="2:15">
      <c r="B1832" s="9">
        <v>16</v>
      </c>
      <c r="C1832" s="10" t="s">
        <v>151</v>
      </c>
      <c r="D1832" s="10" t="s">
        <v>150</v>
      </c>
      <c r="E1832" s="93">
        <v>4</v>
      </c>
      <c r="F1832" s="93">
        <v>8</v>
      </c>
      <c r="G1832" s="10">
        <v>1</v>
      </c>
      <c r="H1832" s="120"/>
      <c r="I1832" s="120">
        <v>0.25000000000005684</v>
      </c>
      <c r="J1832" s="120">
        <v>0.85099999999999909</v>
      </c>
      <c r="K1832" s="120">
        <v>1.1010000000000559</v>
      </c>
      <c r="L1832" s="9">
        <f t="shared" si="124"/>
        <v>0</v>
      </c>
      <c r="M1832" s="10">
        <f t="shared" si="125"/>
        <v>9.6910013008076168E-2</v>
      </c>
      <c r="N1832" s="10">
        <f t="shared" si="126"/>
        <v>0.26740641875290388</v>
      </c>
      <c r="O1832" s="11">
        <f t="shared" si="127"/>
        <v>0.32242605240596411</v>
      </c>
    </row>
    <row r="1833" spans="2:15">
      <c r="B1833" s="12">
        <v>16</v>
      </c>
      <c r="C1833" s="4" t="s">
        <v>151</v>
      </c>
      <c r="D1833" s="4" t="s">
        <v>150</v>
      </c>
      <c r="E1833" s="4">
        <v>4</v>
      </c>
      <c r="F1833" s="4">
        <v>8</v>
      </c>
      <c r="G1833" s="4">
        <v>2</v>
      </c>
      <c r="H1833" s="115">
        <v>0.31600000000003092</v>
      </c>
      <c r="I1833" s="115"/>
      <c r="J1833" s="115">
        <v>0.13299999999998136</v>
      </c>
      <c r="K1833" s="115">
        <v>0.44900000000001228</v>
      </c>
      <c r="L1833" s="12">
        <f t="shared" si="124"/>
        <v>0.11925588927794689</v>
      </c>
      <c r="M1833" s="4">
        <f t="shared" si="125"/>
        <v>0</v>
      </c>
      <c r="N1833" s="4">
        <f t="shared" si="126"/>
        <v>5.4229909863390102E-2</v>
      </c>
      <c r="O1833" s="13">
        <f t="shared" si="127"/>
        <v>0.16106838547117827</v>
      </c>
    </row>
    <row r="1834" spans="2:15">
      <c r="B1834" s="12">
        <v>16</v>
      </c>
      <c r="C1834" s="4" t="s">
        <v>151</v>
      </c>
      <c r="D1834" s="4" t="s">
        <v>150</v>
      </c>
      <c r="E1834" s="4">
        <v>4</v>
      </c>
      <c r="F1834" s="4">
        <v>8</v>
      </c>
      <c r="G1834" s="4">
        <v>3</v>
      </c>
      <c r="H1834" s="115"/>
      <c r="I1834" s="115"/>
      <c r="J1834" s="115"/>
      <c r="K1834" s="115">
        <v>0</v>
      </c>
      <c r="L1834" s="12">
        <f t="shared" si="124"/>
        <v>0</v>
      </c>
      <c r="M1834" s="4">
        <f t="shared" si="125"/>
        <v>0</v>
      </c>
      <c r="N1834" s="4">
        <f t="shared" si="126"/>
        <v>0</v>
      </c>
      <c r="O1834" s="13">
        <f t="shared" si="127"/>
        <v>0</v>
      </c>
    </row>
    <row r="1835" spans="2:15">
      <c r="B1835" s="12">
        <v>16</v>
      </c>
      <c r="C1835" s="4" t="s">
        <v>151</v>
      </c>
      <c r="D1835" s="4" t="s">
        <v>150</v>
      </c>
      <c r="E1835" s="4">
        <v>4</v>
      </c>
      <c r="F1835" s="4">
        <v>8</v>
      </c>
      <c r="G1835" s="4">
        <v>4</v>
      </c>
      <c r="H1835" s="115"/>
      <c r="I1835" s="115"/>
      <c r="J1835" s="115"/>
      <c r="K1835" s="115">
        <v>0</v>
      </c>
      <c r="L1835" s="12">
        <f t="shared" si="124"/>
        <v>0</v>
      </c>
      <c r="M1835" s="4">
        <f t="shared" si="125"/>
        <v>0</v>
      </c>
      <c r="N1835" s="4">
        <f t="shared" si="126"/>
        <v>0</v>
      </c>
      <c r="O1835" s="13">
        <f t="shared" si="127"/>
        <v>0</v>
      </c>
    </row>
    <row r="1836" spans="2:15">
      <c r="B1836" s="12">
        <v>16</v>
      </c>
      <c r="C1836" s="4" t="s">
        <v>151</v>
      </c>
      <c r="D1836" s="4" t="s">
        <v>150</v>
      </c>
      <c r="E1836" s="4">
        <v>4</v>
      </c>
      <c r="F1836" s="4">
        <v>8</v>
      </c>
      <c r="G1836" s="4">
        <v>5</v>
      </c>
      <c r="H1836" s="115"/>
      <c r="I1836" s="115"/>
      <c r="J1836" s="115"/>
      <c r="K1836" s="115">
        <v>0</v>
      </c>
      <c r="L1836" s="12">
        <f t="shared" si="124"/>
        <v>0</v>
      </c>
      <c r="M1836" s="4">
        <f t="shared" si="125"/>
        <v>0</v>
      </c>
      <c r="N1836" s="4">
        <f t="shared" si="126"/>
        <v>0</v>
      </c>
      <c r="O1836" s="13">
        <f t="shared" si="127"/>
        <v>0</v>
      </c>
    </row>
    <row r="1837" spans="2:15">
      <c r="B1837" s="12">
        <v>16</v>
      </c>
      <c r="C1837" s="4" t="s">
        <v>151</v>
      </c>
      <c r="D1837" s="4" t="s">
        <v>150</v>
      </c>
      <c r="E1837" s="4">
        <v>4</v>
      </c>
      <c r="F1837" s="4">
        <v>8</v>
      </c>
      <c r="G1837" s="4">
        <v>6</v>
      </c>
      <c r="H1837" s="115"/>
      <c r="I1837" s="115"/>
      <c r="J1837" s="115"/>
      <c r="K1837" s="115">
        <v>0</v>
      </c>
      <c r="L1837" s="12">
        <f t="shared" si="124"/>
        <v>0</v>
      </c>
      <c r="M1837" s="4">
        <f t="shared" si="125"/>
        <v>0</v>
      </c>
      <c r="N1837" s="4">
        <f t="shared" si="126"/>
        <v>0</v>
      </c>
      <c r="O1837" s="13">
        <f t="shared" si="127"/>
        <v>0</v>
      </c>
    </row>
    <row r="1838" spans="2:15">
      <c r="B1838" s="12">
        <v>16</v>
      </c>
      <c r="C1838" s="4" t="s">
        <v>151</v>
      </c>
      <c r="D1838" s="4" t="s">
        <v>150</v>
      </c>
      <c r="E1838" s="4">
        <v>4</v>
      </c>
      <c r="F1838" s="4">
        <v>8</v>
      </c>
      <c r="G1838" s="4">
        <v>7</v>
      </c>
      <c r="H1838" s="115"/>
      <c r="I1838" s="115"/>
      <c r="J1838" s="115"/>
      <c r="K1838" s="115">
        <v>0</v>
      </c>
      <c r="L1838" s="12">
        <f t="shared" si="124"/>
        <v>0</v>
      </c>
      <c r="M1838" s="4">
        <f t="shared" si="125"/>
        <v>0</v>
      </c>
      <c r="N1838" s="4">
        <f t="shared" si="126"/>
        <v>0</v>
      </c>
      <c r="O1838" s="13">
        <f t="shared" si="127"/>
        <v>0</v>
      </c>
    </row>
    <row r="1839" spans="2:15">
      <c r="B1839" s="12">
        <v>16</v>
      </c>
      <c r="C1839" s="4" t="s">
        <v>151</v>
      </c>
      <c r="D1839" s="4" t="s">
        <v>150</v>
      </c>
      <c r="E1839" s="4">
        <v>4</v>
      </c>
      <c r="F1839" s="4">
        <v>8</v>
      </c>
      <c r="G1839" s="4">
        <v>8</v>
      </c>
      <c r="H1839" s="115"/>
      <c r="I1839" s="115"/>
      <c r="J1839" s="115"/>
      <c r="K1839" s="115">
        <v>0</v>
      </c>
      <c r="L1839" s="12">
        <f t="shared" si="124"/>
        <v>0</v>
      </c>
      <c r="M1839" s="4">
        <f t="shared" si="125"/>
        <v>0</v>
      </c>
      <c r="N1839" s="4">
        <f t="shared" si="126"/>
        <v>0</v>
      </c>
      <c r="O1839" s="13">
        <f t="shared" si="127"/>
        <v>0</v>
      </c>
    </row>
    <row r="1840" spans="2:15">
      <c r="B1840" s="12">
        <v>16</v>
      </c>
      <c r="C1840" s="4" t="s">
        <v>151</v>
      </c>
      <c r="D1840" s="4" t="s">
        <v>150</v>
      </c>
      <c r="E1840" s="4">
        <v>4</v>
      </c>
      <c r="F1840" s="4">
        <v>8</v>
      </c>
      <c r="G1840" s="4">
        <v>9</v>
      </c>
      <c r="H1840" s="115"/>
      <c r="I1840" s="115"/>
      <c r="J1840" s="115"/>
      <c r="K1840" s="115">
        <v>0</v>
      </c>
      <c r="L1840" s="12">
        <f t="shared" si="124"/>
        <v>0</v>
      </c>
      <c r="M1840" s="4">
        <f t="shared" si="125"/>
        <v>0</v>
      </c>
      <c r="N1840" s="4">
        <f t="shared" si="126"/>
        <v>0</v>
      </c>
      <c r="O1840" s="13">
        <f t="shared" si="127"/>
        <v>0</v>
      </c>
    </row>
    <row r="1841" spans="2:15" ht="13.8" thickBot="1">
      <c r="B1841" s="14">
        <v>16</v>
      </c>
      <c r="C1841" s="15" t="s">
        <v>151</v>
      </c>
      <c r="D1841" s="15" t="s">
        <v>150</v>
      </c>
      <c r="E1841" s="15">
        <v>4</v>
      </c>
      <c r="F1841" s="15">
        <v>8</v>
      </c>
      <c r="G1841" s="15">
        <v>10</v>
      </c>
      <c r="H1841" s="121"/>
      <c r="I1841" s="121"/>
      <c r="J1841" s="121"/>
      <c r="K1841" s="121">
        <v>0</v>
      </c>
      <c r="L1841" s="14">
        <f t="shared" si="124"/>
        <v>0</v>
      </c>
      <c r="M1841" s="15">
        <f t="shared" si="125"/>
        <v>0</v>
      </c>
      <c r="N1841" s="15">
        <f t="shared" si="126"/>
        <v>0</v>
      </c>
      <c r="O1841" s="16">
        <f t="shared" si="127"/>
        <v>0</v>
      </c>
    </row>
    <row r="1842" spans="2:15">
      <c r="B1842" s="9">
        <v>16</v>
      </c>
      <c r="C1842" s="10" t="s">
        <v>151</v>
      </c>
      <c r="D1842" s="10" t="s">
        <v>149</v>
      </c>
      <c r="E1842" s="93">
        <v>5</v>
      </c>
      <c r="F1842" s="93">
        <v>2</v>
      </c>
      <c r="G1842" s="10">
        <v>1</v>
      </c>
      <c r="H1842" s="120">
        <v>0.29999999999999716</v>
      </c>
      <c r="I1842" s="120">
        <v>0.44999999999998863</v>
      </c>
      <c r="J1842" s="120">
        <v>0.96699999999999875</v>
      </c>
      <c r="K1842" s="120">
        <v>1.7169999999999845</v>
      </c>
      <c r="L1842" s="9">
        <f t="shared" si="124"/>
        <v>0.11394335230683582</v>
      </c>
      <c r="M1842" s="10">
        <f t="shared" si="125"/>
        <v>0.1613680022349715</v>
      </c>
      <c r="N1842" s="10">
        <f t="shared" si="126"/>
        <v>0.29380435991933646</v>
      </c>
      <c r="O1842" s="11">
        <f t="shared" si="127"/>
        <v>0.43408963841788828</v>
      </c>
    </row>
    <row r="1843" spans="2:15">
      <c r="B1843" s="12">
        <v>16</v>
      </c>
      <c r="C1843" s="4" t="s">
        <v>151</v>
      </c>
      <c r="D1843" s="4" t="s">
        <v>149</v>
      </c>
      <c r="E1843" s="4">
        <v>5</v>
      </c>
      <c r="F1843" s="4">
        <v>2</v>
      </c>
      <c r="G1843" s="4">
        <v>2</v>
      </c>
      <c r="H1843" s="115">
        <v>0.30100000000000193</v>
      </c>
      <c r="I1843" s="115">
        <v>0.70000000000000284</v>
      </c>
      <c r="J1843" s="115">
        <v>1.4820000000000277</v>
      </c>
      <c r="K1843" s="115">
        <v>2.4830000000000325</v>
      </c>
      <c r="L1843" s="12">
        <f t="shared" si="124"/>
        <v>0.1142772965615869</v>
      </c>
      <c r="M1843" s="4">
        <f t="shared" si="125"/>
        <v>0.23044892137827466</v>
      </c>
      <c r="N1843" s="4">
        <f t="shared" si="126"/>
        <v>0.39480177716271586</v>
      </c>
      <c r="O1843" s="13">
        <f t="shared" si="127"/>
        <v>0.54195347445824038</v>
      </c>
    </row>
    <row r="1844" spans="2:15">
      <c r="B1844" s="12">
        <v>16</v>
      </c>
      <c r="C1844" s="4" t="s">
        <v>151</v>
      </c>
      <c r="D1844" s="4" t="s">
        <v>149</v>
      </c>
      <c r="E1844" s="4">
        <v>5</v>
      </c>
      <c r="F1844" s="4">
        <v>2</v>
      </c>
      <c r="G1844" s="4">
        <v>3</v>
      </c>
      <c r="H1844" s="115">
        <v>0.36699999999999022</v>
      </c>
      <c r="I1844" s="115"/>
      <c r="J1844" s="115"/>
      <c r="K1844" s="115">
        <v>0.36699999999999022</v>
      </c>
      <c r="L1844" s="12">
        <f t="shared" si="124"/>
        <v>0.13576851456781916</v>
      </c>
      <c r="M1844" s="4">
        <f t="shared" si="125"/>
        <v>0</v>
      </c>
      <c r="N1844" s="4">
        <f t="shared" si="126"/>
        <v>0</v>
      </c>
      <c r="O1844" s="13">
        <f t="shared" si="127"/>
        <v>0.13576851456781916</v>
      </c>
    </row>
    <row r="1845" spans="2:15">
      <c r="B1845" s="12">
        <v>16</v>
      </c>
      <c r="C1845" s="4" t="s">
        <v>151</v>
      </c>
      <c r="D1845" s="4" t="s">
        <v>149</v>
      </c>
      <c r="E1845" s="4">
        <v>5</v>
      </c>
      <c r="F1845" s="4">
        <v>2</v>
      </c>
      <c r="G1845" s="4">
        <v>4</v>
      </c>
      <c r="H1845" s="115"/>
      <c r="I1845" s="115"/>
      <c r="J1845" s="115"/>
      <c r="K1845" s="115">
        <v>0</v>
      </c>
      <c r="L1845" s="12">
        <f t="shared" si="124"/>
        <v>0</v>
      </c>
      <c r="M1845" s="4">
        <f t="shared" si="125"/>
        <v>0</v>
      </c>
      <c r="N1845" s="4">
        <f t="shared" si="126"/>
        <v>0</v>
      </c>
      <c r="O1845" s="13">
        <f t="shared" si="127"/>
        <v>0</v>
      </c>
    </row>
    <row r="1846" spans="2:15">
      <c r="B1846" s="12">
        <v>16</v>
      </c>
      <c r="C1846" s="4" t="s">
        <v>151</v>
      </c>
      <c r="D1846" s="4" t="s">
        <v>149</v>
      </c>
      <c r="E1846" s="4">
        <v>5</v>
      </c>
      <c r="F1846" s="4">
        <v>2</v>
      </c>
      <c r="G1846" s="4">
        <v>5</v>
      </c>
      <c r="H1846" s="115"/>
      <c r="I1846" s="115"/>
      <c r="J1846" s="115"/>
      <c r="K1846" s="115">
        <v>0</v>
      </c>
      <c r="L1846" s="12">
        <f t="shared" si="124"/>
        <v>0</v>
      </c>
      <c r="M1846" s="4">
        <f t="shared" si="125"/>
        <v>0</v>
      </c>
      <c r="N1846" s="4">
        <f t="shared" si="126"/>
        <v>0</v>
      </c>
      <c r="O1846" s="13">
        <f t="shared" si="127"/>
        <v>0</v>
      </c>
    </row>
    <row r="1847" spans="2:15">
      <c r="B1847" s="12">
        <v>16</v>
      </c>
      <c r="C1847" s="4" t="s">
        <v>151</v>
      </c>
      <c r="D1847" s="4" t="s">
        <v>149</v>
      </c>
      <c r="E1847" s="4">
        <v>5</v>
      </c>
      <c r="F1847" s="4">
        <v>2</v>
      </c>
      <c r="G1847" s="4">
        <v>6</v>
      </c>
      <c r="H1847" s="115"/>
      <c r="I1847" s="115"/>
      <c r="J1847" s="115"/>
      <c r="K1847" s="115">
        <v>0</v>
      </c>
      <c r="L1847" s="12">
        <f t="shared" si="124"/>
        <v>0</v>
      </c>
      <c r="M1847" s="4">
        <f t="shared" si="125"/>
        <v>0</v>
      </c>
      <c r="N1847" s="4">
        <f t="shared" si="126"/>
        <v>0</v>
      </c>
      <c r="O1847" s="13">
        <f t="shared" si="127"/>
        <v>0</v>
      </c>
    </row>
    <row r="1848" spans="2:15">
      <c r="B1848" s="12">
        <v>16</v>
      </c>
      <c r="C1848" s="4" t="s">
        <v>151</v>
      </c>
      <c r="D1848" s="4" t="s">
        <v>149</v>
      </c>
      <c r="E1848" s="4">
        <v>5</v>
      </c>
      <c r="F1848" s="4">
        <v>2</v>
      </c>
      <c r="G1848" s="4">
        <v>7</v>
      </c>
      <c r="H1848" s="115"/>
      <c r="I1848" s="115"/>
      <c r="J1848" s="115"/>
      <c r="K1848" s="115">
        <v>0</v>
      </c>
      <c r="L1848" s="12">
        <f t="shared" si="124"/>
        <v>0</v>
      </c>
      <c r="M1848" s="4">
        <f t="shared" si="125"/>
        <v>0</v>
      </c>
      <c r="N1848" s="4">
        <f t="shared" si="126"/>
        <v>0</v>
      </c>
      <c r="O1848" s="13">
        <f t="shared" si="127"/>
        <v>0</v>
      </c>
    </row>
    <row r="1849" spans="2:15">
      <c r="B1849" s="12">
        <v>16</v>
      </c>
      <c r="C1849" s="4" t="s">
        <v>151</v>
      </c>
      <c r="D1849" s="4" t="s">
        <v>149</v>
      </c>
      <c r="E1849" s="4">
        <v>5</v>
      </c>
      <c r="F1849" s="4">
        <v>2</v>
      </c>
      <c r="G1849" s="4">
        <v>8</v>
      </c>
      <c r="H1849" s="115"/>
      <c r="I1849" s="115"/>
      <c r="J1849" s="115"/>
      <c r="K1849" s="115">
        <v>0</v>
      </c>
      <c r="L1849" s="12">
        <f t="shared" si="124"/>
        <v>0</v>
      </c>
      <c r="M1849" s="4">
        <f t="shared" si="125"/>
        <v>0</v>
      </c>
      <c r="N1849" s="4">
        <f t="shared" si="126"/>
        <v>0</v>
      </c>
      <c r="O1849" s="13">
        <f t="shared" si="127"/>
        <v>0</v>
      </c>
    </row>
    <row r="1850" spans="2:15">
      <c r="B1850" s="12">
        <v>16</v>
      </c>
      <c r="C1850" s="4" t="s">
        <v>151</v>
      </c>
      <c r="D1850" s="4" t="s">
        <v>149</v>
      </c>
      <c r="E1850" s="4">
        <v>5</v>
      </c>
      <c r="F1850" s="4">
        <v>2</v>
      </c>
      <c r="G1850" s="4">
        <v>9</v>
      </c>
      <c r="H1850" s="115"/>
      <c r="I1850" s="115"/>
      <c r="J1850" s="115"/>
      <c r="K1850" s="115">
        <v>0</v>
      </c>
      <c r="L1850" s="12">
        <f t="shared" si="124"/>
        <v>0</v>
      </c>
      <c r="M1850" s="4">
        <f t="shared" si="125"/>
        <v>0</v>
      </c>
      <c r="N1850" s="4">
        <f t="shared" si="126"/>
        <v>0</v>
      </c>
      <c r="O1850" s="13">
        <f t="shared" si="127"/>
        <v>0</v>
      </c>
    </row>
    <row r="1851" spans="2:15" ht="13.8" thickBot="1">
      <c r="B1851" s="14">
        <v>16</v>
      </c>
      <c r="C1851" s="15" t="s">
        <v>151</v>
      </c>
      <c r="D1851" s="15" t="s">
        <v>149</v>
      </c>
      <c r="E1851" s="15">
        <v>5</v>
      </c>
      <c r="F1851" s="15">
        <v>2</v>
      </c>
      <c r="G1851" s="15">
        <v>10</v>
      </c>
      <c r="H1851" s="121"/>
      <c r="I1851" s="121"/>
      <c r="J1851" s="121"/>
      <c r="K1851" s="121">
        <v>0</v>
      </c>
      <c r="L1851" s="14">
        <f t="shared" si="124"/>
        <v>0</v>
      </c>
      <c r="M1851" s="15">
        <f t="shared" si="125"/>
        <v>0</v>
      </c>
      <c r="N1851" s="15">
        <f t="shared" si="126"/>
        <v>0</v>
      </c>
      <c r="O1851" s="16">
        <f t="shared" si="127"/>
        <v>0</v>
      </c>
    </row>
    <row r="1852" spans="2:15">
      <c r="B1852" s="9">
        <v>16</v>
      </c>
      <c r="C1852" s="10" t="s">
        <v>151</v>
      </c>
      <c r="D1852" s="10" t="s">
        <v>150</v>
      </c>
      <c r="E1852" s="93">
        <v>6</v>
      </c>
      <c r="F1852" s="93">
        <v>6</v>
      </c>
      <c r="G1852" s="10">
        <v>1</v>
      </c>
      <c r="H1852" s="120">
        <v>0.18299999999999272</v>
      </c>
      <c r="I1852" s="120">
        <v>0.70000000000004547</v>
      </c>
      <c r="J1852" s="120">
        <v>0.64999999999997726</v>
      </c>
      <c r="K1852" s="120">
        <v>1.5330000000000155</v>
      </c>
      <c r="L1852" s="9">
        <f t="shared" si="124"/>
        <v>7.29847446279277E-2</v>
      </c>
      <c r="M1852" s="10">
        <f t="shared" si="125"/>
        <v>0.23044892137828554</v>
      </c>
      <c r="N1852" s="10">
        <f t="shared" si="126"/>
        <v>0.2174839442139003</v>
      </c>
      <c r="O1852" s="11">
        <f t="shared" si="127"/>
        <v>0.40363518979055063</v>
      </c>
    </row>
    <row r="1853" spans="2:15">
      <c r="B1853" s="12">
        <v>16</v>
      </c>
      <c r="C1853" s="4" t="s">
        <v>151</v>
      </c>
      <c r="D1853" s="4" t="s">
        <v>150</v>
      </c>
      <c r="E1853" s="4">
        <v>6</v>
      </c>
      <c r="F1853" s="4">
        <v>6</v>
      </c>
      <c r="G1853" s="4">
        <v>2</v>
      </c>
      <c r="H1853" s="115"/>
      <c r="I1853" s="115">
        <v>0.13400000000001455</v>
      </c>
      <c r="J1853" s="115">
        <v>0.44999999999998863</v>
      </c>
      <c r="K1853" s="115">
        <v>0.58400000000000318</v>
      </c>
      <c r="L1853" s="12">
        <f t="shared" si="124"/>
        <v>0</v>
      </c>
      <c r="M1853" s="4">
        <f t="shared" si="125"/>
        <v>5.4613054556893345E-2</v>
      </c>
      <c r="N1853" s="4">
        <f t="shared" si="126"/>
        <v>0.1613680022349715</v>
      </c>
      <c r="O1853" s="13">
        <f t="shared" si="127"/>
        <v>0.19975517725347558</v>
      </c>
    </row>
    <row r="1854" spans="2:15">
      <c r="B1854" s="12">
        <v>16</v>
      </c>
      <c r="C1854" s="4" t="s">
        <v>151</v>
      </c>
      <c r="D1854" s="4" t="s">
        <v>150</v>
      </c>
      <c r="E1854" s="4">
        <v>6</v>
      </c>
      <c r="F1854" s="4">
        <v>6</v>
      </c>
      <c r="G1854" s="4">
        <v>3</v>
      </c>
      <c r="H1854" s="115"/>
      <c r="I1854" s="115"/>
      <c r="J1854" s="115"/>
      <c r="K1854" s="115">
        <v>0</v>
      </c>
      <c r="L1854" s="12">
        <f t="shared" si="124"/>
        <v>0</v>
      </c>
      <c r="M1854" s="4">
        <f t="shared" si="125"/>
        <v>0</v>
      </c>
      <c r="N1854" s="4">
        <f t="shared" si="126"/>
        <v>0</v>
      </c>
      <c r="O1854" s="13">
        <f t="shared" si="127"/>
        <v>0</v>
      </c>
    </row>
    <row r="1855" spans="2:15">
      <c r="B1855" s="12">
        <v>16</v>
      </c>
      <c r="C1855" s="4" t="s">
        <v>151</v>
      </c>
      <c r="D1855" s="4" t="s">
        <v>150</v>
      </c>
      <c r="E1855" s="4">
        <v>6</v>
      </c>
      <c r="F1855" s="4">
        <v>6</v>
      </c>
      <c r="G1855" s="4">
        <v>4</v>
      </c>
      <c r="H1855" s="115"/>
      <c r="I1855" s="115"/>
      <c r="J1855" s="115"/>
      <c r="K1855" s="115">
        <v>0</v>
      </c>
      <c r="L1855" s="12">
        <f t="shared" si="124"/>
        <v>0</v>
      </c>
      <c r="M1855" s="4">
        <f t="shared" si="125"/>
        <v>0</v>
      </c>
      <c r="N1855" s="4">
        <f t="shared" si="126"/>
        <v>0</v>
      </c>
      <c r="O1855" s="13">
        <f t="shared" si="127"/>
        <v>0</v>
      </c>
    </row>
    <row r="1856" spans="2:15">
      <c r="B1856" s="12">
        <v>16</v>
      </c>
      <c r="C1856" s="4" t="s">
        <v>151</v>
      </c>
      <c r="D1856" s="4" t="s">
        <v>150</v>
      </c>
      <c r="E1856" s="4">
        <v>6</v>
      </c>
      <c r="F1856" s="4">
        <v>6</v>
      </c>
      <c r="G1856" s="4">
        <v>5</v>
      </c>
      <c r="H1856" s="115"/>
      <c r="I1856" s="115"/>
      <c r="J1856" s="115"/>
      <c r="K1856" s="115">
        <v>0</v>
      </c>
      <c r="L1856" s="12">
        <f t="shared" si="124"/>
        <v>0</v>
      </c>
      <c r="M1856" s="4">
        <f t="shared" si="125"/>
        <v>0</v>
      </c>
      <c r="N1856" s="4">
        <f t="shared" si="126"/>
        <v>0</v>
      </c>
      <c r="O1856" s="13">
        <f t="shared" si="127"/>
        <v>0</v>
      </c>
    </row>
    <row r="1857" spans="2:15">
      <c r="B1857" s="12">
        <v>16</v>
      </c>
      <c r="C1857" s="4" t="s">
        <v>151</v>
      </c>
      <c r="D1857" s="4" t="s">
        <v>150</v>
      </c>
      <c r="E1857" s="4">
        <v>6</v>
      </c>
      <c r="F1857" s="4">
        <v>6</v>
      </c>
      <c r="G1857" s="4">
        <v>6</v>
      </c>
      <c r="H1857" s="115"/>
      <c r="I1857" s="115"/>
      <c r="J1857" s="115"/>
      <c r="K1857" s="115">
        <v>0</v>
      </c>
      <c r="L1857" s="12">
        <f t="shared" si="124"/>
        <v>0</v>
      </c>
      <c r="M1857" s="4">
        <f t="shared" si="125"/>
        <v>0</v>
      </c>
      <c r="N1857" s="4">
        <f t="shared" si="126"/>
        <v>0</v>
      </c>
      <c r="O1857" s="13">
        <f t="shared" si="127"/>
        <v>0</v>
      </c>
    </row>
    <row r="1858" spans="2:15">
      <c r="B1858" s="12">
        <v>16</v>
      </c>
      <c r="C1858" s="4" t="s">
        <v>151</v>
      </c>
      <c r="D1858" s="4" t="s">
        <v>150</v>
      </c>
      <c r="E1858" s="4">
        <v>6</v>
      </c>
      <c r="F1858" s="4">
        <v>6</v>
      </c>
      <c r="G1858" s="4">
        <v>7</v>
      </c>
      <c r="H1858" s="115"/>
      <c r="I1858" s="115"/>
      <c r="J1858" s="115"/>
      <c r="K1858" s="115">
        <v>0</v>
      </c>
      <c r="L1858" s="12">
        <f t="shared" si="124"/>
        <v>0</v>
      </c>
      <c r="M1858" s="4">
        <f t="shared" si="125"/>
        <v>0</v>
      </c>
      <c r="N1858" s="4">
        <f t="shared" si="126"/>
        <v>0</v>
      </c>
      <c r="O1858" s="13">
        <f t="shared" si="127"/>
        <v>0</v>
      </c>
    </row>
    <row r="1859" spans="2:15">
      <c r="B1859" s="12">
        <v>16</v>
      </c>
      <c r="C1859" s="4" t="s">
        <v>151</v>
      </c>
      <c r="D1859" s="4" t="s">
        <v>150</v>
      </c>
      <c r="E1859" s="4">
        <v>6</v>
      </c>
      <c r="F1859" s="4">
        <v>6</v>
      </c>
      <c r="G1859" s="4">
        <v>8</v>
      </c>
      <c r="H1859" s="115"/>
      <c r="I1859" s="115"/>
      <c r="J1859" s="115"/>
      <c r="K1859" s="115">
        <v>0</v>
      </c>
      <c r="L1859" s="12">
        <f t="shared" si="124"/>
        <v>0</v>
      </c>
      <c r="M1859" s="4">
        <f t="shared" si="125"/>
        <v>0</v>
      </c>
      <c r="N1859" s="4">
        <f t="shared" si="126"/>
        <v>0</v>
      </c>
      <c r="O1859" s="13">
        <f t="shared" si="127"/>
        <v>0</v>
      </c>
    </row>
    <row r="1860" spans="2:15">
      <c r="B1860" s="12">
        <v>16</v>
      </c>
      <c r="C1860" s="4" t="s">
        <v>151</v>
      </c>
      <c r="D1860" s="4" t="s">
        <v>150</v>
      </c>
      <c r="E1860" s="4">
        <v>6</v>
      </c>
      <c r="F1860" s="4">
        <v>6</v>
      </c>
      <c r="G1860" s="4">
        <v>9</v>
      </c>
      <c r="H1860" s="115"/>
      <c r="I1860" s="115"/>
      <c r="J1860" s="115"/>
      <c r="K1860" s="115">
        <v>0</v>
      </c>
      <c r="L1860" s="12">
        <f t="shared" si="124"/>
        <v>0</v>
      </c>
      <c r="M1860" s="4">
        <f t="shared" si="125"/>
        <v>0</v>
      </c>
      <c r="N1860" s="4">
        <f t="shared" si="126"/>
        <v>0</v>
      </c>
      <c r="O1860" s="13">
        <f t="shared" si="127"/>
        <v>0</v>
      </c>
    </row>
    <row r="1861" spans="2:15" ht="13.8" thickBot="1">
      <c r="B1861" s="14">
        <v>16</v>
      </c>
      <c r="C1861" s="15" t="s">
        <v>151</v>
      </c>
      <c r="D1861" s="15" t="s">
        <v>150</v>
      </c>
      <c r="E1861" s="15">
        <v>6</v>
      </c>
      <c r="F1861" s="15">
        <v>6</v>
      </c>
      <c r="G1861" s="15">
        <v>10</v>
      </c>
      <c r="H1861" s="121"/>
      <c r="I1861" s="121"/>
      <c r="J1861" s="121"/>
      <c r="K1861" s="121">
        <v>0</v>
      </c>
      <c r="L1861" s="14">
        <f t="shared" si="124"/>
        <v>0</v>
      </c>
      <c r="M1861" s="15">
        <f t="shared" si="125"/>
        <v>0</v>
      </c>
      <c r="N1861" s="15">
        <f t="shared" si="126"/>
        <v>0</v>
      </c>
      <c r="O1861" s="16">
        <f t="shared" si="127"/>
        <v>0</v>
      </c>
    </row>
    <row r="1862" spans="2:15">
      <c r="B1862" s="9">
        <v>16</v>
      </c>
      <c r="C1862" s="10" t="s">
        <v>152</v>
      </c>
      <c r="D1862" s="10" t="s">
        <v>154</v>
      </c>
      <c r="E1862" s="93">
        <v>7</v>
      </c>
      <c r="F1862" s="93">
        <v>9</v>
      </c>
      <c r="G1862" s="10">
        <v>1</v>
      </c>
      <c r="H1862" s="120">
        <v>0.10000000000002274</v>
      </c>
      <c r="I1862" s="120"/>
      <c r="J1862" s="120">
        <v>0.13299999999998136</v>
      </c>
      <c r="K1862" s="120">
        <v>0.23300000000000409</v>
      </c>
      <c r="L1862" s="9">
        <f t="shared" si="124"/>
        <v>4.1392685158234015E-2</v>
      </c>
      <c r="M1862" s="10">
        <f t="shared" si="125"/>
        <v>0</v>
      </c>
      <c r="N1862" s="10">
        <f t="shared" si="126"/>
        <v>5.4229909863390102E-2</v>
      </c>
      <c r="O1862" s="11">
        <f t="shared" si="127"/>
        <v>9.0963076595733078E-2</v>
      </c>
    </row>
    <row r="1863" spans="2:15">
      <c r="B1863" s="12">
        <v>16</v>
      </c>
      <c r="C1863" s="4" t="s">
        <v>152</v>
      </c>
      <c r="D1863" s="4" t="s">
        <v>154</v>
      </c>
      <c r="E1863" s="4">
        <v>7</v>
      </c>
      <c r="F1863" s="4">
        <v>9</v>
      </c>
      <c r="G1863" s="4">
        <v>2</v>
      </c>
      <c r="H1863" s="115">
        <v>0.1330000000000382</v>
      </c>
      <c r="I1863" s="115"/>
      <c r="J1863" s="115"/>
      <c r="K1863" s="115">
        <v>0.1330000000000382</v>
      </c>
      <c r="L1863" s="12">
        <f t="shared" si="124"/>
        <v>5.422990986341189E-2</v>
      </c>
      <c r="M1863" s="4">
        <f t="shared" si="125"/>
        <v>0</v>
      </c>
      <c r="N1863" s="4">
        <f t="shared" si="126"/>
        <v>0</v>
      </c>
      <c r="O1863" s="13">
        <f t="shared" si="127"/>
        <v>5.422990986341189E-2</v>
      </c>
    </row>
    <row r="1864" spans="2:15">
      <c r="B1864" s="12">
        <v>16</v>
      </c>
      <c r="C1864" s="4" t="s">
        <v>152</v>
      </c>
      <c r="D1864" s="4" t="s">
        <v>154</v>
      </c>
      <c r="E1864" s="4">
        <v>7</v>
      </c>
      <c r="F1864" s="4">
        <v>9</v>
      </c>
      <c r="G1864" s="4">
        <v>3</v>
      </c>
      <c r="H1864" s="115">
        <v>0.13399999999995771</v>
      </c>
      <c r="I1864" s="115"/>
      <c r="J1864" s="115">
        <v>0.18299999999999272</v>
      </c>
      <c r="K1864" s="115">
        <v>0.31699999999995043</v>
      </c>
      <c r="L1864" s="12">
        <f t="shared" si="124"/>
        <v>5.4613054556871578E-2</v>
      </c>
      <c r="M1864" s="4">
        <f t="shared" si="125"/>
        <v>0</v>
      </c>
      <c r="N1864" s="4">
        <f t="shared" si="126"/>
        <v>7.29847446279277E-2</v>
      </c>
      <c r="O1864" s="13">
        <f t="shared" si="127"/>
        <v>0.11958577496176746</v>
      </c>
    </row>
    <row r="1865" spans="2:15">
      <c r="B1865" s="12">
        <v>16</v>
      </c>
      <c r="C1865" s="4" t="s">
        <v>152</v>
      </c>
      <c r="D1865" s="4" t="s">
        <v>154</v>
      </c>
      <c r="E1865" s="4">
        <v>7</v>
      </c>
      <c r="F1865" s="4">
        <v>9</v>
      </c>
      <c r="G1865" s="4">
        <v>4</v>
      </c>
      <c r="H1865" s="115">
        <v>0.26700000000005275</v>
      </c>
      <c r="I1865" s="115"/>
      <c r="J1865" s="115">
        <v>0.10000000000002274</v>
      </c>
      <c r="K1865" s="115">
        <v>0.36700000000007549</v>
      </c>
      <c r="L1865" s="12">
        <f t="shared" si="124"/>
        <v>0.10277661488345942</v>
      </c>
      <c r="M1865" s="4">
        <f t="shared" si="125"/>
        <v>0</v>
      </c>
      <c r="N1865" s="4">
        <f t="shared" si="126"/>
        <v>4.1392685158234015E-2</v>
      </c>
      <c r="O1865" s="13">
        <f t="shared" si="127"/>
        <v>0.13576851456784625</v>
      </c>
    </row>
    <row r="1866" spans="2:15">
      <c r="B1866" s="12">
        <v>16</v>
      </c>
      <c r="C1866" s="4" t="s">
        <v>152</v>
      </c>
      <c r="D1866" s="4" t="s">
        <v>154</v>
      </c>
      <c r="E1866" s="4">
        <v>7</v>
      </c>
      <c r="F1866" s="4">
        <v>9</v>
      </c>
      <c r="G1866" s="4">
        <v>5</v>
      </c>
      <c r="H1866" s="115">
        <v>0.16599999999999682</v>
      </c>
      <c r="I1866" s="115"/>
      <c r="J1866" s="115"/>
      <c r="K1866" s="115">
        <v>0.16599999999999682</v>
      </c>
      <c r="L1866" s="12">
        <f t="shared" si="124"/>
        <v>6.6698550422994093E-2</v>
      </c>
      <c r="M1866" s="4">
        <f t="shared" si="125"/>
        <v>0</v>
      </c>
      <c r="N1866" s="4">
        <f t="shared" si="126"/>
        <v>0</v>
      </c>
      <c r="O1866" s="13">
        <f t="shared" si="127"/>
        <v>6.6698550422994093E-2</v>
      </c>
    </row>
    <row r="1867" spans="2:15">
      <c r="B1867" s="12">
        <v>16</v>
      </c>
      <c r="C1867" s="4" t="s">
        <v>152</v>
      </c>
      <c r="D1867" s="4" t="s">
        <v>154</v>
      </c>
      <c r="E1867" s="4">
        <v>7</v>
      </c>
      <c r="F1867" s="4">
        <v>9</v>
      </c>
      <c r="G1867" s="4">
        <v>6</v>
      </c>
      <c r="H1867" s="115"/>
      <c r="I1867" s="115"/>
      <c r="J1867" s="115"/>
      <c r="K1867" s="115">
        <v>0</v>
      </c>
      <c r="L1867" s="12">
        <f t="shared" si="124"/>
        <v>0</v>
      </c>
      <c r="M1867" s="4">
        <f t="shared" si="125"/>
        <v>0</v>
      </c>
      <c r="N1867" s="4">
        <f t="shared" si="126"/>
        <v>0</v>
      </c>
      <c r="O1867" s="13">
        <f t="shared" si="127"/>
        <v>0</v>
      </c>
    </row>
    <row r="1868" spans="2:15">
      <c r="B1868" s="12">
        <v>16</v>
      </c>
      <c r="C1868" s="4" t="s">
        <v>152</v>
      </c>
      <c r="D1868" s="4" t="s">
        <v>154</v>
      </c>
      <c r="E1868" s="4">
        <v>7</v>
      </c>
      <c r="F1868" s="4">
        <v>9</v>
      </c>
      <c r="G1868" s="4">
        <v>7</v>
      </c>
      <c r="H1868" s="115"/>
      <c r="I1868" s="115"/>
      <c r="J1868" s="115"/>
      <c r="K1868" s="115">
        <v>0</v>
      </c>
      <c r="L1868" s="12">
        <f t="shared" si="124"/>
        <v>0</v>
      </c>
      <c r="M1868" s="4">
        <f t="shared" si="125"/>
        <v>0</v>
      </c>
      <c r="N1868" s="4">
        <f t="shared" si="126"/>
        <v>0</v>
      </c>
      <c r="O1868" s="13">
        <f t="shared" si="127"/>
        <v>0</v>
      </c>
    </row>
    <row r="1869" spans="2:15">
      <c r="B1869" s="12">
        <v>16</v>
      </c>
      <c r="C1869" s="4" t="s">
        <v>152</v>
      </c>
      <c r="D1869" s="4" t="s">
        <v>154</v>
      </c>
      <c r="E1869" s="4">
        <v>7</v>
      </c>
      <c r="F1869" s="4">
        <v>9</v>
      </c>
      <c r="G1869" s="4">
        <v>8</v>
      </c>
      <c r="H1869" s="115"/>
      <c r="I1869" s="115"/>
      <c r="J1869" s="115"/>
      <c r="K1869" s="115">
        <v>0</v>
      </c>
      <c r="L1869" s="12">
        <f t="shared" si="124"/>
        <v>0</v>
      </c>
      <c r="M1869" s="4">
        <f t="shared" si="125"/>
        <v>0</v>
      </c>
      <c r="N1869" s="4">
        <f t="shared" si="126"/>
        <v>0</v>
      </c>
      <c r="O1869" s="13">
        <f t="shared" si="127"/>
        <v>0</v>
      </c>
    </row>
    <row r="1870" spans="2:15">
      <c r="B1870" s="12">
        <v>16</v>
      </c>
      <c r="C1870" s="4" t="s">
        <v>152</v>
      </c>
      <c r="D1870" s="4" t="s">
        <v>154</v>
      </c>
      <c r="E1870" s="4">
        <v>7</v>
      </c>
      <c r="F1870" s="4">
        <v>9</v>
      </c>
      <c r="G1870" s="4">
        <v>9</v>
      </c>
      <c r="H1870" s="115"/>
      <c r="I1870" s="115"/>
      <c r="J1870" s="115"/>
      <c r="K1870" s="115">
        <v>0</v>
      </c>
      <c r="L1870" s="12">
        <f t="shared" si="124"/>
        <v>0</v>
      </c>
      <c r="M1870" s="4">
        <f t="shared" si="125"/>
        <v>0</v>
      </c>
      <c r="N1870" s="4">
        <f t="shared" si="126"/>
        <v>0</v>
      </c>
      <c r="O1870" s="13">
        <f t="shared" si="127"/>
        <v>0</v>
      </c>
    </row>
    <row r="1871" spans="2:15" ht="13.8" thickBot="1">
      <c r="B1871" s="14">
        <v>16</v>
      </c>
      <c r="C1871" s="15" t="s">
        <v>152</v>
      </c>
      <c r="D1871" s="15" t="s">
        <v>154</v>
      </c>
      <c r="E1871" s="15">
        <v>7</v>
      </c>
      <c r="F1871" s="15">
        <v>9</v>
      </c>
      <c r="G1871" s="15">
        <v>10</v>
      </c>
      <c r="H1871" s="121"/>
      <c r="I1871" s="121"/>
      <c r="J1871" s="121"/>
      <c r="K1871" s="121">
        <v>0</v>
      </c>
      <c r="L1871" s="14">
        <f t="shared" si="124"/>
        <v>0</v>
      </c>
      <c r="M1871" s="15">
        <f t="shared" si="125"/>
        <v>0</v>
      </c>
      <c r="N1871" s="15">
        <f t="shared" si="126"/>
        <v>0</v>
      </c>
      <c r="O1871" s="16">
        <f t="shared" si="127"/>
        <v>0</v>
      </c>
    </row>
    <row r="1872" spans="2:15">
      <c r="B1872" s="9">
        <v>16</v>
      </c>
      <c r="C1872" s="10" t="s">
        <v>152</v>
      </c>
      <c r="D1872" s="10" t="s">
        <v>149</v>
      </c>
      <c r="E1872" s="93">
        <v>8</v>
      </c>
      <c r="F1872" s="93">
        <v>3</v>
      </c>
      <c r="G1872" s="10">
        <v>1</v>
      </c>
      <c r="H1872" s="120"/>
      <c r="I1872" s="120"/>
      <c r="J1872" s="120"/>
      <c r="K1872" s="120">
        <v>0</v>
      </c>
      <c r="L1872" s="9">
        <f t="shared" si="124"/>
        <v>0</v>
      </c>
      <c r="M1872" s="10">
        <f t="shared" si="125"/>
        <v>0</v>
      </c>
      <c r="N1872" s="10">
        <f t="shared" si="126"/>
        <v>0</v>
      </c>
      <c r="O1872" s="11">
        <f t="shared" si="127"/>
        <v>0</v>
      </c>
    </row>
    <row r="1873" spans="2:15">
      <c r="B1873" s="12">
        <v>16</v>
      </c>
      <c r="C1873" s="4" t="s">
        <v>152</v>
      </c>
      <c r="D1873" s="4" t="s">
        <v>149</v>
      </c>
      <c r="E1873" s="4">
        <v>8</v>
      </c>
      <c r="F1873" s="4">
        <v>3</v>
      </c>
      <c r="G1873" s="4">
        <v>2</v>
      </c>
      <c r="H1873" s="115"/>
      <c r="I1873" s="115"/>
      <c r="J1873" s="115">
        <v>0.3160000000000025</v>
      </c>
      <c r="K1873" s="115">
        <v>0.3160000000000025</v>
      </c>
      <c r="L1873" s="12">
        <f t="shared" si="124"/>
        <v>0</v>
      </c>
      <c r="M1873" s="4">
        <f t="shared" si="125"/>
        <v>0</v>
      </c>
      <c r="N1873" s="4">
        <f t="shared" si="126"/>
        <v>0.11925588927793751</v>
      </c>
      <c r="O1873" s="13">
        <f t="shared" si="127"/>
        <v>0.11925588927793751</v>
      </c>
    </row>
    <row r="1874" spans="2:15">
      <c r="B1874" s="12">
        <v>16</v>
      </c>
      <c r="C1874" s="4" t="s">
        <v>152</v>
      </c>
      <c r="D1874" s="4" t="s">
        <v>149</v>
      </c>
      <c r="E1874" s="4">
        <v>8</v>
      </c>
      <c r="F1874" s="4">
        <v>3</v>
      </c>
      <c r="G1874" s="4">
        <v>3</v>
      </c>
      <c r="H1874" s="115"/>
      <c r="I1874" s="115"/>
      <c r="J1874" s="115"/>
      <c r="K1874" s="115">
        <v>0</v>
      </c>
      <c r="L1874" s="12">
        <f t="shared" si="124"/>
        <v>0</v>
      </c>
      <c r="M1874" s="4">
        <f t="shared" si="125"/>
        <v>0</v>
      </c>
      <c r="N1874" s="4">
        <f t="shared" si="126"/>
        <v>0</v>
      </c>
      <c r="O1874" s="13">
        <f t="shared" si="127"/>
        <v>0</v>
      </c>
    </row>
    <row r="1875" spans="2:15">
      <c r="B1875" s="12">
        <v>16</v>
      </c>
      <c r="C1875" s="4" t="s">
        <v>152</v>
      </c>
      <c r="D1875" s="4" t="s">
        <v>149</v>
      </c>
      <c r="E1875" s="4">
        <v>8</v>
      </c>
      <c r="F1875" s="4">
        <v>3</v>
      </c>
      <c r="G1875" s="4">
        <v>4</v>
      </c>
      <c r="H1875" s="115"/>
      <c r="I1875" s="115"/>
      <c r="J1875" s="115"/>
      <c r="K1875" s="115">
        <v>0</v>
      </c>
      <c r="L1875" s="12">
        <f t="shared" si="124"/>
        <v>0</v>
      </c>
      <c r="M1875" s="4">
        <f t="shared" si="125"/>
        <v>0</v>
      </c>
      <c r="N1875" s="4">
        <f t="shared" si="126"/>
        <v>0</v>
      </c>
      <c r="O1875" s="13">
        <f t="shared" si="127"/>
        <v>0</v>
      </c>
    </row>
    <row r="1876" spans="2:15">
      <c r="B1876" s="12">
        <v>16</v>
      </c>
      <c r="C1876" s="4" t="s">
        <v>152</v>
      </c>
      <c r="D1876" s="4" t="s">
        <v>149</v>
      </c>
      <c r="E1876" s="4">
        <v>8</v>
      </c>
      <c r="F1876" s="4">
        <v>3</v>
      </c>
      <c r="G1876" s="4">
        <v>5</v>
      </c>
      <c r="H1876" s="115"/>
      <c r="I1876" s="115"/>
      <c r="J1876" s="115"/>
      <c r="K1876" s="115">
        <v>0</v>
      </c>
      <c r="L1876" s="12">
        <f t="shared" si="124"/>
        <v>0</v>
      </c>
      <c r="M1876" s="4">
        <f t="shared" si="125"/>
        <v>0</v>
      </c>
      <c r="N1876" s="4">
        <f t="shared" si="126"/>
        <v>0</v>
      </c>
      <c r="O1876" s="13">
        <f t="shared" si="127"/>
        <v>0</v>
      </c>
    </row>
    <row r="1877" spans="2:15">
      <c r="B1877" s="12">
        <v>16</v>
      </c>
      <c r="C1877" s="4" t="s">
        <v>152</v>
      </c>
      <c r="D1877" s="4" t="s">
        <v>149</v>
      </c>
      <c r="E1877" s="4">
        <v>8</v>
      </c>
      <c r="F1877" s="4">
        <v>3</v>
      </c>
      <c r="G1877" s="4">
        <v>6</v>
      </c>
      <c r="H1877" s="115"/>
      <c r="I1877" s="115"/>
      <c r="J1877" s="115"/>
      <c r="K1877" s="115">
        <v>0</v>
      </c>
      <c r="L1877" s="12">
        <f t="shared" si="124"/>
        <v>0</v>
      </c>
      <c r="M1877" s="4">
        <f t="shared" si="125"/>
        <v>0</v>
      </c>
      <c r="N1877" s="4">
        <f t="shared" si="126"/>
        <v>0</v>
      </c>
      <c r="O1877" s="13">
        <f t="shared" si="127"/>
        <v>0</v>
      </c>
    </row>
    <row r="1878" spans="2:15">
      <c r="B1878" s="12">
        <v>16</v>
      </c>
      <c r="C1878" s="4" t="s">
        <v>152</v>
      </c>
      <c r="D1878" s="4" t="s">
        <v>149</v>
      </c>
      <c r="E1878" s="4">
        <v>8</v>
      </c>
      <c r="F1878" s="4">
        <v>3</v>
      </c>
      <c r="G1878" s="4">
        <v>7</v>
      </c>
      <c r="H1878" s="115"/>
      <c r="I1878" s="115"/>
      <c r="J1878" s="115"/>
      <c r="K1878" s="115">
        <v>0</v>
      </c>
      <c r="L1878" s="12">
        <f t="shared" si="124"/>
        <v>0</v>
      </c>
      <c r="M1878" s="4">
        <f t="shared" si="125"/>
        <v>0</v>
      </c>
      <c r="N1878" s="4">
        <f t="shared" si="126"/>
        <v>0</v>
      </c>
      <c r="O1878" s="13">
        <f t="shared" si="127"/>
        <v>0</v>
      </c>
    </row>
    <row r="1879" spans="2:15">
      <c r="B1879" s="12">
        <v>16</v>
      </c>
      <c r="C1879" s="4" t="s">
        <v>152</v>
      </c>
      <c r="D1879" s="4" t="s">
        <v>149</v>
      </c>
      <c r="E1879" s="4">
        <v>8</v>
      </c>
      <c r="F1879" s="4">
        <v>3</v>
      </c>
      <c r="G1879" s="4">
        <v>8</v>
      </c>
      <c r="H1879" s="115"/>
      <c r="I1879" s="115"/>
      <c r="J1879" s="115"/>
      <c r="K1879" s="115">
        <v>0</v>
      </c>
      <c r="L1879" s="12">
        <f t="shared" si="124"/>
        <v>0</v>
      </c>
      <c r="M1879" s="4">
        <f t="shared" si="125"/>
        <v>0</v>
      </c>
      <c r="N1879" s="4">
        <f t="shared" si="126"/>
        <v>0</v>
      </c>
      <c r="O1879" s="13">
        <f t="shared" si="127"/>
        <v>0</v>
      </c>
    </row>
    <row r="1880" spans="2:15">
      <c r="B1880" s="12">
        <v>16</v>
      </c>
      <c r="C1880" s="4" t="s">
        <v>152</v>
      </c>
      <c r="D1880" s="4" t="s">
        <v>149</v>
      </c>
      <c r="E1880" s="4">
        <v>8</v>
      </c>
      <c r="F1880" s="4">
        <v>3</v>
      </c>
      <c r="G1880" s="4">
        <v>9</v>
      </c>
      <c r="H1880" s="115"/>
      <c r="I1880" s="115"/>
      <c r="J1880" s="115"/>
      <c r="K1880" s="115">
        <v>0</v>
      </c>
      <c r="L1880" s="12">
        <f t="shared" si="124"/>
        <v>0</v>
      </c>
      <c r="M1880" s="4">
        <f t="shared" si="125"/>
        <v>0</v>
      </c>
      <c r="N1880" s="4">
        <f t="shared" si="126"/>
        <v>0</v>
      </c>
      <c r="O1880" s="13">
        <f t="shared" si="127"/>
        <v>0</v>
      </c>
    </row>
    <row r="1881" spans="2:15" ht="13.8" thickBot="1">
      <c r="B1881" s="14">
        <v>16</v>
      </c>
      <c r="C1881" s="15" t="s">
        <v>152</v>
      </c>
      <c r="D1881" s="15" t="s">
        <v>149</v>
      </c>
      <c r="E1881" s="15">
        <v>8</v>
      </c>
      <c r="F1881" s="15">
        <v>3</v>
      </c>
      <c r="G1881" s="15">
        <v>10</v>
      </c>
      <c r="H1881" s="121"/>
      <c r="I1881" s="121"/>
      <c r="J1881" s="121"/>
      <c r="K1881" s="121">
        <v>0</v>
      </c>
      <c r="L1881" s="14">
        <f t="shared" si="124"/>
        <v>0</v>
      </c>
      <c r="M1881" s="15">
        <f t="shared" si="125"/>
        <v>0</v>
      </c>
      <c r="N1881" s="15">
        <f t="shared" si="126"/>
        <v>0</v>
      </c>
      <c r="O1881" s="16">
        <f t="shared" si="127"/>
        <v>0</v>
      </c>
    </row>
    <row r="1882" spans="2:15">
      <c r="B1882" s="9">
        <v>16</v>
      </c>
      <c r="C1882" s="10" t="s">
        <v>152</v>
      </c>
      <c r="D1882" s="10" t="s">
        <v>150</v>
      </c>
      <c r="E1882" s="93">
        <v>9</v>
      </c>
      <c r="F1882" s="93">
        <v>7</v>
      </c>
      <c r="G1882" s="10">
        <v>1</v>
      </c>
      <c r="H1882" s="120"/>
      <c r="I1882" s="120">
        <v>1.1500000000000341</v>
      </c>
      <c r="J1882" s="120">
        <v>0.80000000000001137</v>
      </c>
      <c r="K1882" s="120">
        <v>1.9500000000000455</v>
      </c>
      <c r="L1882" s="9">
        <f t="shared" si="124"/>
        <v>0</v>
      </c>
      <c r="M1882" s="10">
        <f t="shared" si="125"/>
        <v>0.33243845991561222</v>
      </c>
      <c r="N1882" s="10">
        <f t="shared" si="126"/>
        <v>0.25527250510330879</v>
      </c>
      <c r="O1882" s="11">
        <f t="shared" si="127"/>
        <v>0.46982201597816969</v>
      </c>
    </row>
    <row r="1883" spans="2:15">
      <c r="B1883" s="12">
        <v>16</v>
      </c>
      <c r="C1883" s="4" t="s">
        <v>152</v>
      </c>
      <c r="D1883" s="4" t="s">
        <v>150</v>
      </c>
      <c r="E1883" s="4">
        <v>9</v>
      </c>
      <c r="F1883" s="4">
        <v>7</v>
      </c>
      <c r="G1883" s="4">
        <v>2</v>
      </c>
      <c r="H1883" s="115">
        <v>0.21699999999998454</v>
      </c>
      <c r="I1883" s="115">
        <v>0.25000000000005684</v>
      </c>
      <c r="J1883" s="115">
        <v>0.74999999999994316</v>
      </c>
      <c r="K1883" s="115">
        <v>1.2169999999999845</v>
      </c>
      <c r="L1883" s="12">
        <f t="shared" si="124"/>
        <v>8.5290578230059477E-2</v>
      </c>
      <c r="M1883" s="4">
        <f t="shared" si="125"/>
        <v>9.6910013008076168E-2</v>
      </c>
      <c r="N1883" s="4">
        <f t="shared" si="126"/>
        <v>0.24303804868628034</v>
      </c>
      <c r="O1883" s="13">
        <f t="shared" si="127"/>
        <v>0.34576569311448513</v>
      </c>
    </row>
    <row r="1884" spans="2:15">
      <c r="B1884" s="12">
        <v>16</v>
      </c>
      <c r="C1884" s="4" t="s">
        <v>152</v>
      </c>
      <c r="D1884" s="4" t="s">
        <v>150</v>
      </c>
      <c r="E1884" s="4">
        <v>9</v>
      </c>
      <c r="F1884" s="4">
        <v>7</v>
      </c>
      <c r="G1884" s="4">
        <v>3</v>
      </c>
      <c r="H1884" s="115"/>
      <c r="I1884" s="115"/>
      <c r="J1884" s="115"/>
      <c r="K1884" s="115">
        <v>0</v>
      </c>
      <c r="L1884" s="12">
        <f t="shared" si="124"/>
        <v>0</v>
      </c>
      <c r="M1884" s="4">
        <f t="shared" si="125"/>
        <v>0</v>
      </c>
      <c r="N1884" s="4">
        <f t="shared" si="126"/>
        <v>0</v>
      </c>
      <c r="O1884" s="13">
        <f t="shared" si="127"/>
        <v>0</v>
      </c>
    </row>
    <row r="1885" spans="2:15">
      <c r="B1885" s="12">
        <v>16</v>
      </c>
      <c r="C1885" s="4" t="s">
        <v>152</v>
      </c>
      <c r="D1885" s="4" t="s">
        <v>150</v>
      </c>
      <c r="E1885" s="4">
        <v>9</v>
      </c>
      <c r="F1885" s="4">
        <v>7</v>
      </c>
      <c r="G1885" s="4">
        <v>4</v>
      </c>
      <c r="H1885" s="115"/>
      <c r="I1885" s="115"/>
      <c r="J1885" s="115"/>
      <c r="K1885" s="115">
        <v>0</v>
      </c>
      <c r="L1885" s="12">
        <f t="shared" si="124"/>
        <v>0</v>
      </c>
      <c r="M1885" s="4">
        <f t="shared" si="125"/>
        <v>0</v>
      </c>
      <c r="N1885" s="4">
        <f t="shared" si="126"/>
        <v>0</v>
      </c>
      <c r="O1885" s="13">
        <f t="shared" si="127"/>
        <v>0</v>
      </c>
    </row>
    <row r="1886" spans="2:15">
      <c r="B1886" s="12">
        <v>16</v>
      </c>
      <c r="C1886" s="4" t="s">
        <v>152</v>
      </c>
      <c r="D1886" s="4" t="s">
        <v>150</v>
      </c>
      <c r="E1886" s="4">
        <v>9</v>
      </c>
      <c r="F1886" s="4">
        <v>7</v>
      </c>
      <c r="G1886" s="4">
        <v>5</v>
      </c>
      <c r="H1886" s="115"/>
      <c r="I1886" s="115"/>
      <c r="J1886" s="115"/>
      <c r="K1886" s="115">
        <v>0</v>
      </c>
      <c r="L1886" s="12">
        <f t="shared" si="124"/>
        <v>0</v>
      </c>
      <c r="M1886" s="4">
        <f t="shared" si="125"/>
        <v>0</v>
      </c>
      <c r="N1886" s="4">
        <f t="shared" si="126"/>
        <v>0</v>
      </c>
      <c r="O1886" s="13">
        <f t="shared" si="127"/>
        <v>0</v>
      </c>
    </row>
    <row r="1887" spans="2:15">
      <c r="B1887" s="12">
        <v>16</v>
      </c>
      <c r="C1887" s="4" t="s">
        <v>152</v>
      </c>
      <c r="D1887" s="4" t="s">
        <v>150</v>
      </c>
      <c r="E1887" s="4">
        <v>9</v>
      </c>
      <c r="F1887" s="4">
        <v>7</v>
      </c>
      <c r="G1887" s="4">
        <v>6</v>
      </c>
      <c r="H1887" s="115"/>
      <c r="I1887" s="115"/>
      <c r="J1887" s="115"/>
      <c r="K1887" s="115">
        <v>0</v>
      </c>
      <c r="L1887" s="12">
        <f t="shared" si="124"/>
        <v>0</v>
      </c>
      <c r="M1887" s="4">
        <f t="shared" si="125"/>
        <v>0</v>
      </c>
      <c r="N1887" s="4">
        <f t="shared" si="126"/>
        <v>0</v>
      </c>
      <c r="O1887" s="13">
        <f t="shared" si="127"/>
        <v>0</v>
      </c>
    </row>
    <row r="1888" spans="2:15">
      <c r="B1888" s="12">
        <v>16</v>
      </c>
      <c r="C1888" s="4" t="s">
        <v>152</v>
      </c>
      <c r="D1888" s="4" t="s">
        <v>150</v>
      </c>
      <c r="E1888" s="4">
        <v>9</v>
      </c>
      <c r="F1888" s="4">
        <v>7</v>
      </c>
      <c r="G1888" s="4">
        <v>7</v>
      </c>
      <c r="H1888" s="115"/>
      <c r="I1888" s="115"/>
      <c r="J1888" s="115"/>
      <c r="K1888" s="115">
        <v>0</v>
      </c>
      <c r="L1888" s="12">
        <f t="shared" si="124"/>
        <v>0</v>
      </c>
      <c r="M1888" s="4">
        <f t="shared" si="125"/>
        <v>0</v>
      </c>
      <c r="N1888" s="4">
        <f t="shared" si="126"/>
        <v>0</v>
      </c>
      <c r="O1888" s="13">
        <f t="shared" si="127"/>
        <v>0</v>
      </c>
    </row>
    <row r="1889" spans="2:15">
      <c r="B1889" s="12">
        <v>16</v>
      </c>
      <c r="C1889" s="4" t="s">
        <v>152</v>
      </c>
      <c r="D1889" s="4" t="s">
        <v>150</v>
      </c>
      <c r="E1889" s="4">
        <v>9</v>
      </c>
      <c r="F1889" s="4">
        <v>7</v>
      </c>
      <c r="G1889" s="4">
        <v>8</v>
      </c>
      <c r="H1889" s="115"/>
      <c r="I1889" s="115"/>
      <c r="J1889" s="115"/>
      <c r="K1889" s="115">
        <v>0</v>
      </c>
      <c r="L1889" s="12">
        <f t="shared" si="124"/>
        <v>0</v>
      </c>
      <c r="M1889" s="4">
        <f t="shared" si="125"/>
        <v>0</v>
      </c>
      <c r="N1889" s="4">
        <f t="shared" si="126"/>
        <v>0</v>
      </c>
      <c r="O1889" s="13">
        <f t="shared" si="127"/>
        <v>0</v>
      </c>
    </row>
    <row r="1890" spans="2:15">
      <c r="B1890" s="12">
        <v>16</v>
      </c>
      <c r="C1890" s="4" t="s">
        <v>152</v>
      </c>
      <c r="D1890" s="4" t="s">
        <v>150</v>
      </c>
      <c r="E1890" s="4">
        <v>9</v>
      </c>
      <c r="F1890" s="4">
        <v>7</v>
      </c>
      <c r="G1890" s="4">
        <v>9</v>
      </c>
      <c r="H1890" s="115"/>
      <c r="I1890" s="115"/>
      <c r="J1890" s="115"/>
      <c r="K1890" s="115">
        <v>0</v>
      </c>
      <c r="L1890" s="12">
        <f t="shared" si="124"/>
        <v>0</v>
      </c>
      <c r="M1890" s="4">
        <f t="shared" si="125"/>
        <v>0</v>
      </c>
      <c r="N1890" s="4">
        <f t="shared" si="126"/>
        <v>0</v>
      </c>
      <c r="O1890" s="13">
        <f t="shared" si="127"/>
        <v>0</v>
      </c>
    </row>
    <row r="1891" spans="2:15" ht="13.8" thickBot="1">
      <c r="B1891" s="14">
        <v>16</v>
      </c>
      <c r="C1891" s="15" t="s">
        <v>152</v>
      </c>
      <c r="D1891" s="15" t="s">
        <v>150</v>
      </c>
      <c r="E1891" s="15">
        <v>9</v>
      </c>
      <c r="F1891" s="15">
        <v>7</v>
      </c>
      <c r="G1891" s="15">
        <v>10</v>
      </c>
      <c r="H1891" s="121"/>
      <c r="I1891" s="121"/>
      <c r="J1891" s="121"/>
      <c r="K1891" s="121">
        <v>0</v>
      </c>
      <c r="L1891" s="14">
        <f t="shared" si="124"/>
        <v>0</v>
      </c>
      <c r="M1891" s="15">
        <f t="shared" si="125"/>
        <v>0</v>
      </c>
      <c r="N1891" s="15">
        <f t="shared" si="126"/>
        <v>0</v>
      </c>
      <c r="O1891" s="16">
        <f t="shared" si="127"/>
        <v>0</v>
      </c>
    </row>
    <row r="1892" spans="2:15">
      <c r="B1892" s="9">
        <v>16</v>
      </c>
      <c r="C1892" s="10" t="s">
        <v>152</v>
      </c>
      <c r="D1892" s="10" t="s">
        <v>154</v>
      </c>
      <c r="E1892" s="93">
        <v>10</v>
      </c>
      <c r="F1892" s="93">
        <v>11</v>
      </c>
      <c r="G1892" s="10">
        <v>1</v>
      </c>
      <c r="H1892" s="120"/>
      <c r="I1892" s="120">
        <v>0.39999999999997726</v>
      </c>
      <c r="J1892" s="120">
        <v>0.63400000000001455</v>
      </c>
      <c r="K1892" s="120">
        <v>1.0339999999999918</v>
      </c>
      <c r="L1892" s="9">
        <f t="shared" si="124"/>
        <v>0</v>
      </c>
      <c r="M1892" s="10">
        <f t="shared" si="125"/>
        <v>0.14612803567823096</v>
      </c>
      <c r="N1892" s="10">
        <f t="shared" si="126"/>
        <v>0.21325205219640056</v>
      </c>
      <c r="O1892" s="11">
        <f t="shared" si="127"/>
        <v>0.30835094858672407</v>
      </c>
    </row>
    <row r="1893" spans="2:15">
      <c r="B1893" s="12">
        <v>16</v>
      </c>
      <c r="C1893" s="4" t="s">
        <v>152</v>
      </c>
      <c r="D1893" s="4" t="s">
        <v>154</v>
      </c>
      <c r="E1893" s="4">
        <v>10</v>
      </c>
      <c r="F1893" s="4">
        <v>11</v>
      </c>
      <c r="G1893" s="4">
        <v>2</v>
      </c>
      <c r="H1893" s="115"/>
      <c r="I1893" s="115">
        <v>0.13299999999992451</v>
      </c>
      <c r="J1893" s="115"/>
      <c r="K1893" s="115">
        <v>0.13299999999992451</v>
      </c>
      <c r="L1893" s="12">
        <f t="shared" si="124"/>
        <v>0</v>
      </c>
      <c r="M1893" s="4">
        <f t="shared" si="125"/>
        <v>5.4229909863368307E-2</v>
      </c>
      <c r="N1893" s="4">
        <f t="shared" si="126"/>
        <v>0</v>
      </c>
      <c r="O1893" s="13">
        <f t="shared" si="127"/>
        <v>5.4229909863368307E-2</v>
      </c>
    </row>
    <row r="1894" spans="2:15">
      <c r="B1894" s="12">
        <v>16</v>
      </c>
      <c r="C1894" s="4" t="s">
        <v>152</v>
      </c>
      <c r="D1894" s="4" t="s">
        <v>154</v>
      </c>
      <c r="E1894" s="4">
        <v>10</v>
      </c>
      <c r="F1894" s="4">
        <v>11</v>
      </c>
      <c r="G1894" s="4">
        <v>3</v>
      </c>
      <c r="H1894" s="115"/>
      <c r="I1894" s="115"/>
      <c r="J1894" s="115"/>
      <c r="K1894" s="115">
        <v>0</v>
      </c>
      <c r="L1894" s="12">
        <f t="shared" si="124"/>
        <v>0</v>
      </c>
      <c r="M1894" s="4">
        <f t="shared" si="125"/>
        <v>0</v>
      </c>
      <c r="N1894" s="4">
        <f t="shared" si="126"/>
        <v>0</v>
      </c>
      <c r="O1894" s="13">
        <f t="shared" si="127"/>
        <v>0</v>
      </c>
    </row>
    <row r="1895" spans="2:15">
      <c r="B1895" s="12">
        <v>16</v>
      </c>
      <c r="C1895" s="4" t="s">
        <v>152</v>
      </c>
      <c r="D1895" s="4" t="s">
        <v>154</v>
      </c>
      <c r="E1895" s="4">
        <v>10</v>
      </c>
      <c r="F1895" s="4">
        <v>11</v>
      </c>
      <c r="G1895" s="4">
        <v>4</v>
      </c>
      <c r="H1895" s="115"/>
      <c r="I1895" s="115"/>
      <c r="J1895" s="115"/>
      <c r="K1895" s="115">
        <v>0</v>
      </c>
      <c r="L1895" s="12">
        <f t="shared" ref="L1895:L1958" si="128">LOG10(H1895+1)</f>
        <v>0</v>
      </c>
      <c r="M1895" s="4">
        <f t="shared" ref="M1895:M1958" si="129">LOG10(I1895+1)</f>
        <v>0</v>
      </c>
      <c r="N1895" s="4">
        <f t="shared" ref="N1895:N1958" si="130">LOG10(J1895+1)</f>
        <v>0</v>
      </c>
      <c r="O1895" s="13">
        <f t="shared" ref="O1895:O1958" si="131">LOG10(K1895+1)</f>
        <v>0</v>
      </c>
    </row>
    <row r="1896" spans="2:15">
      <c r="B1896" s="12">
        <v>16</v>
      </c>
      <c r="C1896" s="4" t="s">
        <v>152</v>
      </c>
      <c r="D1896" s="4" t="s">
        <v>154</v>
      </c>
      <c r="E1896" s="4">
        <v>10</v>
      </c>
      <c r="F1896" s="4">
        <v>11</v>
      </c>
      <c r="G1896" s="4">
        <v>5</v>
      </c>
      <c r="H1896" s="115"/>
      <c r="I1896" s="115"/>
      <c r="J1896" s="115"/>
      <c r="K1896" s="115">
        <v>0</v>
      </c>
      <c r="L1896" s="12">
        <f t="shared" si="128"/>
        <v>0</v>
      </c>
      <c r="M1896" s="4">
        <f t="shared" si="129"/>
        <v>0</v>
      </c>
      <c r="N1896" s="4">
        <f t="shared" si="130"/>
        <v>0</v>
      </c>
      <c r="O1896" s="13">
        <f t="shared" si="131"/>
        <v>0</v>
      </c>
    </row>
    <row r="1897" spans="2:15">
      <c r="B1897" s="12">
        <v>16</v>
      </c>
      <c r="C1897" s="4" t="s">
        <v>152</v>
      </c>
      <c r="D1897" s="4" t="s">
        <v>154</v>
      </c>
      <c r="E1897" s="4">
        <v>10</v>
      </c>
      <c r="F1897" s="4">
        <v>11</v>
      </c>
      <c r="G1897" s="4">
        <v>6</v>
      </c>
      <c r="H1897" s="115"/>
      <c r="I1897" s="115"/>
      <c r="J1897" s="115"/>
      <c r="K1897" s="115">
        <v>0</v>
      </c>
      <c r="L1897" s="12">
        <f t="shared" si="128"/>
        <v>0</v>
      </c>
      <c r="M1897" s="4">
        <f t="shared" si="129"/>
        <v>0</v>
      </c>
      <c r="N1897" s="4">
        <f t="shared" si="130"/>
        <v>0</v>
      </c>
      <c r="O1897" s="13">
        <f t="shared" si="131"/>
        <v>0</v>
      </c>
    </row>
    <row r="1898" spans="2:15">
      <c r="B1898" s="12">
        <v>16</v>
      </c>
      <c r="C1898" s="4" t="s">
        <v>152</v>
      </c>
      <c r="D1898" s="4" t="s">
        <v>154</v>
      </c>
      <c r="E1898" s="4">
        <v>10</v>
      </c>
      <c r="F1898" s="4">
        <v>11</v>
      </c>
      <c r="G1898" s="4">
        <v>7</v>
      </c>
      <c r="H1898" s="115"/>
      <c r="I1898" s="115"/>
      <c r="J1898" s="115"/>
      <c r="K1898" s="115">
        <v>0</v>
      </c>
      <c r="L1898" s="12">
        <f t="shared" si="128"/>
        <v>0</v>
      </c>
      <c r="M1898" s="4">
        <f t="shared" si="129"/>
        <v>0</v>
      </c>
      <c r="N1898" s="4">
        <f t="shared" si="130"/>
        <v>0</v>
      </c>
      <c r="O1898" s="13">
        <f t="shared" si="131"/>
        <v>0</v>
      </c>
    </row>
    <row r="1899" spans="2:15">
      <c r="B1899" s="12">
        <v>16</v>
      </c>
      <c r="C1899" s="4" t="s">
        <v>152</v>
      </c>
      <c r="D1899" s="4" t="s">
        <v>154</v>
      </c>
      <c r="E1899" s="4">
        <v>10</v>
      </c>
      <c r="F1899" s="4">
        <v>11</v>
      </c>
      <c r="G1899" s="4">
        <v>8</v>
      </c>
      <c r="H1899" s="115"/>
      <c r="I1899" s="115"/>
      <c r="J1899" s="115"/>
      <c r="K1899" s="115">
        <v>0</v>
      </c>
      <c r="L1899" s="12">
        <f t="shared" si="128"/>
        <v>0</v>
      </c>
      <c r="M1899" s="4">
        <f t="shared" si="129"/>
        <v>0</v>
      </c>
      <c r="N1899" s="4">
        <f t="shared" si="130"/>
        <v>0</v>
      </c>
      <c r="O1899" s="13">
        <f t="shared" si="131"/>
        <v>0</v>
      </c>
    </row>
    <row r="1900" spans="2:15">
      <c r="B1900" s="12">
        <v>16</v>
      </c>
      <c r="C1900" s="4" t="s">
        <v>152</v>
      </c>
      <c r="D1900" s="4" t="s">
        <v>154</v>
      </c>
      <c r="E1900" s="4">
        <v>10</v>
      </c>
      <c r="F1900" s="4">
        <v>11</v>
      </c>
      <c r="G1900" s="4">
        <v>9</v>
      </c>
      <c r="H1900" s="115"/>
      <c r="I1900" s="115"/>
      <c r="J1900" s="115"/>
      <c r="K1900" s="115">
        <v>0</v>
      </c>
      <c r="L1900" s="12">
        <f t="shared" si="128"/>
        <v>0</v>
      </c>
      <c r="M1900" s="4">
        <f t="shared" si="129"/>
        <v>0</v>
      </c>
      <c r="N1900" s="4">
        <f t="shared" si="130"/>
        <v>0</v>
      </c>
      <c r="O1900" s="13">
        <f t="shared" si="131"/>
        <v>0</v>
      </c>
    </row>
    <row r="1901" spans="2:15" ht="13.8" thickBot="1">
      <c r="B1901" s="14">
        <v>16</v>
      </c>
      <c r="C1901" s="15" t="s">
        <v>152</v>
      </c>
      <c r="D1901" s="15" t="s">
        <v>154</v>
      </c>
      <c r="E1901" s="15">
        <v>10</v>
      </c>
      <c r="F1901" s="15">
        <v>11</v>
      </c>
      <c r="G1901" s="15">
        <v>10</v>
      </c>
      <c r="H1901" s="121"/>
      <c r="I1901" s="121"/>
      <c r="J1901" s="121"/>
      <c r="K1901" s="121">
        <v>0</v>
      </c>
      <c r="L1901" s="14">
        <f t="shared" si="128"/>
        <v>0</v>
      </c>
      <c r="M1901" s="15">
        <f t="shared" si="129"/>
        <v>0</v>
      </c>
      <c r="N1901" s="15">
        <f t="shared" si="130"/>
        <v>0</v>
      </c>
      <c r="O1901" s="16">
        <f t="shared" si="131"/>
        <v>0</v>
      </c>
    </row>
    <row r="1902" spans="2:15">
      <c r="B1902" s="9">
        <v>16</v>
      </c>
      <c r="C1902" s="10" t="s">
        <v>152</v>
      </c>
      <c r="D1902" s="10" t="s">
        <v>149</v>
      </c>
      <c r="E1902" s="93">
        <v>11</v>
      </c>
      <c r="F1902" s="93">
        <v>1</v>
      </c>
      <c r="G1902" s="10">
        <v>1</v>
      </c>
      <c r="H1902" s="120">
        <v>1.1150000000000304</v>
      </c>
      <c r="I1902" s="120">
        <v>0.76700000000000301</v>
      </c>
      <c r="J1902" s="120">
        <v>1.1829999999999927</v>
      </c>
      <c r="K1902" s="120">
        <v>3.0650000000000261</v>
      </c>
      <c r="L1902" s="9">
        <f t="shared" si="128"/>
        <v>0.32531037171106741</v>
      </c>
      <c r="M1902" s="10">
        <f t="shared" si="129"/>
        <v>0.24723654950676482</v>
      </c>
      <c r="N1902" s="10">
        <f t="shared" si="130"/>
        <v>0.33905373570913772</v>
      </c>
      <c r="O1902" s="11">
        <f t="shared" si="131"/>
        <v>0.60906054993008973</v>
      </c>
    </row>
    <row r="1903" spans="2:15">
      <c r="B1903" s="12">
        <v>16</v>
      </c>
      <c r="C1903" s="4" t="s">
        <v>152</v>
      </c>
      <c r="D1903" s="4" t="s">
        <v>149</v>
      </c>
      <c r="E1903" s="4">
        <v>11</v>
      </c>
      <c r="F1903" s="4">
        <v>1</v>
      </c>
      <c r="G1903" s="4">
        <v>2</v>
      </c>
      <c r="H1903" s="115">
        <v>0.48300000000000409</v>
      </c>
      <c r="I1903" s="115">
        <v>0.68199999999999505</v>
      </c>
      <c r="J1903" s="115">
        <v>1.3819999999999766</v>
      </c>
      <c r="K1903" s="115">
        <v>2.5469999999999757</v>
      </c>
      <c r="L1903" s="12">
        <f t="shared" si="128"/>
        <v>0.17114115102838323</v>
      </c>
      <c r="M1903" s="4">
        <f t="shared" si="129"/>
        <v>0.22582599146189208</v>
      </c>
      <c r="N1903" s="4">
        <f t="shared" si="130"/>
        <v>0.37694175714675443</v>
      </c>
      <c r="O1903" s="13">
        <f t="shared" si="131"/>
        <v>0.54986118847193977</v>
      </c>
    </row>
    <row r="1904" spans="2:15">
      <c r="B1904" s="12">
        <v>16</v>
      </c>
      <c r="C1904" s="4" t="s">
        <v>152</v>
      </c>
      <c r="D1904" s="4" t="s">
        <v>149</v>
      </c>
      <c r="E1904" s="4">
        <v>11</v>
      </c>
      <c r="F1904" s="4">
        <v>1</v>
      </c>
      <c r="G1904" s="4">
        <v>3</v>
      </c>
      <c r="H1904" s="115">
        <v>0.75</v>
      </c>
      <c r="I1904" s="115"/>
      <c r="J1904" s="115">
        <v>0.39999999999999147</v>
      </c>
      <c r="K1904" s="115">
        <v>1.1499999999999915</v>
      </c>
      <c r="L1904" s="12">
        <f t="shared" si="128"/>
        <v>0.24303804868629444</v>
      </c>
      <c r="M1904" s="4">
        <f t="shared" si="129"/>
        <v>0</v>
      </c>
      <c r="N1904" s="4">
        <f t="shared" si="130"/>
        <v>0.14612803567823537</v>
      </c>
      <c r="O1904" s="13">
        <f t="shared" si="131"/>
        <v>0.33243845991560361</v>
      </c>
    </row>
    <row r="1905" spans="2:15">
      <c r="B1905" s="12">
        <v>16</v>
      </c>
      <c r="C1905" s="4" t="s">
        <v>152</v>
      </c>
      <c r="D1905" s="4" t="s">
        <v>149</v>
      </c>
      <c r="E1905" s="4">
        <v>11</v>
      </c>
      <c r="F1905" s="4">
        <v>1</v>
      </c>
      <c r="G1905" s="4">
        <v>4</v>
      </c>
      <c r="H1905" s="115"/>
      <c r="I1905" s="115"/>
      <c r="J1905" s="115"/>
      <c r="K1905" s="115">
        <v>0</v>
      </c>
      <c r="L1905" s="12">
        <f t="shared" si="128"/>
        <v>0</v>
      </c>
      <c r="M1905" s="4">
        <f t="shared" si="129"/>
        <v>0</v>
      </c>
      <c r="N1905" s="4">
        <f t="shared" si="130"/>
        <v>0</v>
      </c>
      <c r="O1905" s="13">
        <f t="shared" si="131"/>
        <v>0</v>
      </c>
    </row>
    <row r="1906" spans="2:15">
      <c r="B1906" s="12">
        <v>16</v>
      </c>
      <c r="C1906" s="4" t="s">
        <v>152</v>
      </c>
      <c r="D1906" s="4" t="s">
        <v>149</v>
      </c>
      <c r="E1906" s="4">
        <v>11</v>
      </c>
      <c r="F1906" s="4">
        <v>1</v>
      </c>
      <c r="G1906" s="4">
        <v>5</v>
      </c>
      <c r="H1906" s="115"/>
      <c r="I1906" s="115"/>
      <c r="J1906" s="115"/>
      <c r="K1906" s="115">
        <v>0</v>
      </c>
      <c r="L1906" s="12">
        <f t="shared" si="128"/>
        <v>0</v>
      </c>
      <c r="M1906" s="4">
        <f t="shared" si="129"/>
        <v>0</v>
      </c>
      <c r="N1906" s="4">
        <f t="shared" si="130"/>
        <v>0</v>
      </c>
      <c r="O1906" s="13">
        <f t="shared" si="131"/>
        <v>0</v>
      </c>
    </row>
    <row r="1907" spans="2:15">
      <c r="B1907" s="12">
        <v>16</v>
      </c>
      <c r="C1907" s="4" t="s">
        <v>152</v>
      </c>
      <c r="D1907" s="4" t="s">
        <v>149</v>
      </c>
      <c r="E1907" s="4">
        <v>11</v>
      </c>
      <c r="F1907" s="4">
        <v>1</v>
      </c>
      <c r="G1907" s="4">
        <v>6</v>
      </c>
      <c r="H1907" s="115"/>
      <c r="I1907" s="115"/>
      <c r="J1907" s="115"/>
      <c r="K1907" s="115">
        <v>0</v>
      </c>
      <c r="L1907" s="12">
        <f t="shared" si="128"/>
        <v>0</v>
      </c>
      <c r="M1907" s="4">
        <f t="shared" si="129"/>
        <v>0</v>
      </c>
      <c r="N1907" s="4">
        <f t="shared" si="130"/>
        <v>0</v>
      </c>
      <c r="O1907" s="13">
        <f t="shared" si="131"/>
        <v>0</v>
      </c>
    </row>
    <row r="1908" spans="2:15">
      <c r="B1908" s="12">
        <v>16</v>
      </c>
      <c r="C1908" s="4" t="s">
        <v>152</v>
      </c>
      <c r="D1908" s="4" t="s">
        <v>149</v>
      </c>
      <c r="E1908" s="4">
        <v>11</v>
      </c>
      <c r="F1908" s="4">
        <v>1</v>
      </c>
      <c r="G1908" s="4">
        <v>7</v>
      </c>
      <c r="H1908" s="115"/>
      <c r="I1908" s="115"/>
      <c r="J1908" s="115"/>
      <c r="K1908" s="115">
        <v>0</v>
      </c>
      <c r="L1908" s="12">
        <f t="shared" si="128"/>
        <v>0</v>
      </c>
      <c r="M1908" s="4">
        <f t="shared" si="129"/>
        <v>0</v>
      </c>
      <c r="N1908" s="4">
        <f t="shared" si="130"/>
        <v>0</v>
      </c>
      <c r="O1908" s="13">
        <f t="shared" si="131"/>
        <v>0</v>
      </c>
    </row>
    <row r="1909" spans="2:15">
      <c r="B1909" s="12">
        <v>16</v>
      </c>
      <c r="C1909" s="4" t="s">
        <v>152</v>
      </c>
      <c r="D1909" s="4" t="s">
        <v>149</v>
      </c>
      <c r="E1909" s="4">
        <v>11</v>
      </c>
      <c r="F1909" s="4">
        <v>1</v>
      </c>
      <c r="G1909" s="4">
        <v>8</v>
      </c>
      <c r="H1909" s="115"/>
      <c r="I1909" s="115"/>
      <c r="J1909" s="115"/>
      <c r="K1909" s="115">
        <v>0</v>
      </c>
      <c r="L1909" s="12">
        <f t="shared" si="128"/>
        <v>0</v>
      </c>
      <c r="M1909" s="4">
        <f t="shared" si="129"/>
        <v>0</v>
      </c>
      <c r="N1909" s="4">
        <f t="shared" si="130"/>
        <v>0</v>
      </c>
      <c r="O1909" s="13">
        <f t="shared" si="131"/>
        <v>0</v>
      </c>
    </row>
    <row r="1910" spans="2:15">
      <c r="B1910" s="12">
        <v>16</v>
      </c>
      <c r="C1910" s="4" t="s">
        <v>152</v>
      </c>
      <c r="D1910" s="4" t="s">
        <v>149</v>
      </c>
      <c r="E1910" s="4">
        <v>11</v>
      </c>
      <c r="F1910" s="4">
        <v>1</v>
      </c>
      <c r="G1910" s="4">
        <v>9</v>
      </c>
      <c r="H1910" s="115"/>
      <c r="I1910" s="115"/>
      <c r="J1910" s="115"/>
      <c r="K1910" s="115">
        <v>0</v>
      </c>
      <c r="L1910" s="12">
        <f t="shared" si="128"/>
        <v>0</v>
      </c>
      <c r="M1910" s="4">
        <f t="shared" si="129"/>
        <v>0</v>
      </c>
      <c r="N1910" s="4">
        <f t="shared" si="130"/>
        <v>0</v>
      </c>
      <c r="O1910" s="13">
        <f t="shared" si="131"/>
        <v>0</v>
      </c>
    </row>
    <row r="1911" spans="2:15" ht="13.8" thickBot="1">
      <c r="B1911" s="14">
        <v>16</v>
      </c>
      <c r="C1911" s="15" t="s">
        <v>152</v>
      </c>
      <c r="D1911" s="15" t="s">
        <v>149</v>
      </c>
      <c r="E1911" s="15">
        <v>11</v>
      </c>
      <c r="F1911" s="15">
        <v>1</v>
      </c>
      <c r="G1911" s="15">
        <v>10</v>
      </c>
      <c r="H1911" s="121"/>
      <c r="I1911" s="121"/>
      <c r="J1911" s="121"/>
      <c r="K1911" s="121">
        <v>0</v>
      </c>
      <c r="L1911" s="14">
        <f t="shared" si="128"/>
        <v>0</v>
      </c>
      <c r="M1911" s="15">
        <f t="shared" si="129"/>
        <v>0</v>
      </c>
      <c r="N1911" s="15">
        <f t="shared" si="130"/>
        <v>0</v>
      </c>
      <c r="O1911" s="16">
        <f t="shared" si="131"/>
        <v>0</v>
      </c>
    </row>
    <row r="1912" spans="2:15">
      <c r="B1912" s="9">
        <v>16</v>
      </c>
      <c r="C1912" s="10" t="s">
        <v>152</v>
      </c>
      <c r="D1912" s="10" t="s">
        <v>150</v>
      </c>
      <c r="E1912" s="93">
        <v>12</v>
      </c>
      <c r="F1912" s="93">
        <v>5</v>
      </c>
      <c r="G1912" s="10">
        <v>1</v>
      </c>
      <c r="H1912" s="120">
        <v>0.35000000000002274</v>
      </c>
      <c r="I1912" s="120"/>
      <c r="J1912" s="120">
        <v>0.14900000000000091</v>
      </c>
      <c r="K1912" s="120">
        <v>0.49900000000002365</v>
      </c>
      <c r="L1912" s="9">
        <f t="shared" si="128"/>
        <v>0.13033376849501344</v>
      </c>
      <c r="M1912" s="10">
        <f t="shared" si="129"/>
        <v>0</v>
      </c>
      <c r="N1912" s="10">
        <f t="shared" si="130"/>
        <v>6.0320028688285524E-2</v>
      </c>
      <c r="O1912" s="11">
        <f t="shared" si="131"/>
        <v>0.17580163284828632</v>
      </c>
    </row>
    <row r="1913" spans="2:15">
      <c r="B1913" s="12">
        <v>16</v>
      </c>
      <c r="C1913" s="4" t="s">
        <v>152</v>
      </c>
      <c r="D1913" s="4" t="s">
        <v>150</v>
      </c>
      <c r="E1913" s="4">
        <v>12</v>
      </c>
      <c r="F1913" s="4">
        <v>5</v>
      </c>
      <c r="G1913" s="4">
        <v>2</v>
      </c>
      <c r="H1913" s="115">
        <v>0.13300000000000978</v>
      </c>
      <c r="I1913" s="115">
        <v>0.43299999999999272</v>
      </c>
      <c r="J1913" s="115">
        <v>9.9999999999994316E-2</v>
      </c>
      <c r="K1913" s="115">
        <v>0.66599999999999682</v>
      </c>
      <c r="L1913" s="12">
        <f t="shared" si="128"/>
        <v>5.4229909863400996E-2</v>
      </c>
      <c r="M1913" s="4">
        <f t="shared" si="129"/>
        <v>0.15624619039734228</v>
      </c>
      <c r="N1913" s="4">
        <f t="shared" si="130"/>
        <v>4.1392685158222794E-2</v>
      </c>
      <c r="O1913" s="13">
        <f t="shared" si="131"/>
        <v>0.22167499707076796</v>
      </c>
    </row>
    <row r="1914" spans="2:15">
      <c r="B1914" s="12">
        <v>16</v>
      </c>
      <c r="C1914" s="4" t="s">
        <v>152</v>
      </c>
      <c r="D1914" s="4" t="s">
        <v>150</v>
      </c>
      <c r="E1914" s="4">
        <v>12</v>
      </c>
      <c r="F1914" s="4">
        <v>5</v>
      </c>
      <c r="G1914" s="4">
        <v>3</v>
      </c>
      <c r="H1914" s="115">
        <v>0.11700000000001864</v>
      </c>
      <c r="I1914" s="115">
        <v>0.11699999999999022</v>
      </c>
      <c r="J1914" s="115">
        <v>0.13299999999998136</v>
      </c>
      <c r="K1914" s="115">
        <v>0.36699999999999022</v>
      </c>
      <c r="L1914" s="12">
        <f t="shared" si="128"/>
        <v>4.8053173115616306E-2</v>
      </c>
      <c r="M1914" s="4">
        <f t="shared" si="129"/>
        <v>4.8053173115605259E-2</v>
      </c>
      <c r="N1914" s="4">
        <f t="shared" si="130"/>
        <v>5.4229909863390102E-2</v>
      </c>
      <c r="O1914" s="13">
        <f t="shared" si="131"/>
        <v>0.13576851456781916</v>
      </c>
    </row>
    <row r="1915" spans="2:15">
      <c r="B1915" s="12">
        <v>16</v>
      </c>
      <c r="C1915" s="4" t="s">
        <v>152</v>
      </c>
      <c r="D1915" s="4" t="s">
        <v>150</v>
      </c>
      <c r="E1915" s="4">
        <v>12</v>
      </c>
      <c r="F1915" s="4">
        <v>5</v>
      </c>
      <c r="G1915" s="4">
        <v>4</v>
      </c>
      <c r="H1915" s="115"/>
      <c r="I1915" s="115"/>
      <c r="J1915" s="115"/>
      <c r="K1915" s="115">
        <v>0</v>
      </c>
      <c r="L1915" s="12">
        <f t="shared" si="128"/>
        <v>0</v>
      </c>
      <c r="M1915" s="4">
        <f t="shared" si="129"/>
        <v>0</v>
      </c>
      <c r="N1915" s="4">
        <f t="shared" si="130"/>
        <v>0</v>
      </c>
      <c r="O1915" s="13">
        <f t="shared" si="131"/>
        <v>0</v>
      </c>
    </row>
    <row r="1916" spans="2:15">
      <c r="B1916" s="12">
        <v>16</v>
      </c>
      <c r="C1916" s="4" t="s">
        <v>152</v>
      </c>
      <c r="D1916" s="4" t="s">
        <v>150</v>
      </c>
      <c r="E1916" s="4">
        <v>12</v>
      </c>
      <c r="F1916" s="4">
        <v>5</v>
      </c>
      <c r="G1916" s="4">
        <v>5</v>
      </c>
      <c r="H1916" s="115"/>
      <c r="I1916" s="115"/>
      <c r="J1916" s="115"/>
      <c r="K1916" s="115">
        <v>0</v>
      </c>
      <c r="L1916" s="12">
        <f t="shared" si="128"/>
        <v>0</v>
      </c>
      <c r="M1916" s="4">
        <f t="shared" si="129"/>
        <v>0</v>
      </c>
      <c r="N1916" s="4">
        <f t="shared" si="130"/>
        <v>0</v>
      </c>
      <c r="O1916" s="13">
        <f t="shared" si="131"/>
        <v>0</v>
      </c>
    </row>
    <row r="1917" spans="2:15">
      <c r="B1917" s="12">
        <v>16</v>
      </c>
      <c r="C1917" s="4" t="s">
        <v>152</v>
      </c>
      <c r="D1917" s="4" t="s">
        <v>150</v>
      </c>
      <c r="E1917" s="4">
        <v>12</v>
      </c>
      <c r="F1917" s="4">
        <v>5</v>
      </c>
      <c r="G1917" s="4">
        <v>6</v>
      </c>
      <c r="H1917" s="115"/>
      <c r="I1917" s="115"/>
      <c r="J1917" s="115"/>
      <c r="K1917" s="115">
        <v>0</v>
      </c>
      <c r="L1917" s="12">
        <f t="shared" si="128"/>
        <v>0</v>
      </c>
      <c r="M1917" s="4">
        <f t="shared" si="129"/>
        <v>0</v>
      </c>
      <c r="N1917" s="4">
        <f t="shared" si="130"/>
        <v>0</v>
      </c>
      <c r="O1917" s="13">
        <f t="shared" si="131"/>
        <v>0</v>
      </c>
    </row>
    <row r="1918" spans="2:15">
      <c r="B1918" s="12">
        <v>16</v>
      </c>
      <c r="C1918" s="4" t="s">
        <v>152</v>
      </c>
      <c r="D1918" s="4" t="s">
        <v>150</v>
      </c>
      <c r="E1918" s="4">
        <v>12</v>
      </c>
      <c r="F1918" s="4">
        <v>5</v>
      </c>
      <c r="G1918" s="4">
        <v>7</v>
      </c>
      <c r="H1918" s="115"/>
      <c r="I1918" s="115"/>
      <c r="J1918" s="115"/>
      <c r="K1918" s="115">
        <v>0</v>
      </c>
      <c r="L1918" s="12">
        <f t="shared" si="128"/>
        <v>0</v>
      </c>
      <c r="M1918" s="4">
        <f t="shared" si="129"/>
        <v>0</v>
      </c>
      <c r="N1918" s="4">
        <f t="shared" si="130"/>
        <v>0</v>
      </c>
      <c r="O1918" s="13">
        <f t="shared" si="131"/>
        <v>0</v>
      </c>
    </row>
    <row r="1919" spans="2:15">
      <c r="B1919" s="12">
        <v>16</v>
      </c>
      <c r="C1919" s="4" t="s">
        <v>152</v>
      </c>
      <c r="D1919" s="4" t="s">
        <v>150</v>
      </c>
      <c r="E1919" s="4">
        <v>12</v>
      </c>
      <c r="F1919" s="4">
        <v>5</v>
      </c>
      <c r="G1919" s="4">
        <v>8</v>
      </c>
      <c r="H1919" s="115"/>
      <c r="I1919" s="115"/>
      <c r="J1919" s="115"/>
      <c r="K1919" s="115">
        <v>0</v>
      </c>
      <c r="L1919" s="12">
        <f t="shared" si="128"/>
        <v>0</v>
      </c>
      <c r="M1919" s="4">
        <f t="shared" si="129"/>
        <v>0</v>
      </c>
      <c r="N1919" s="4">
        <f t="shared" si="130"/>
        <v>0</v>
      </c>
      <c r="O1919" s="13">
        <f t="shared" si="131"/>
        <v>0</v>
      </c>
    </row>
    <row r="1920" spans="2:15">
      <c r="B1920" s="12">
        <v>16</v>
      </c>
      <c r="C1920" s="4" t="s">
        <v>152</v>
      </c>
      <c r="D1920" s="4" t="s">
        <v>150</v>
      </c>
      <c r="E1920" s="4">
        <v>12</v>
      </c>
      <c r="F1920" s="4">
        <v>5</v>
      </c>
      <c r="G1920" s="4">
        <v>9</v>
      </c>
      <c r="H1920" s="115"/>
      <c r="I1920" s="115"/>
      <c r="J1920" s="115"/>
      <c r="K1920" s="115">
        <v>0</v>
      </c>
      <c r="L1920" s="12">
        <f t="shared" si="128"/>
        <v>0</v>
      </c>
      <c r="M1920" s="4">
        <f t="shared" si="129"/>
        <v>0</v>
      </c>
      <c r="N1920" s="4">
        <f t="shared" si="130"/>
        <v>0</v>
      </c>
      <c r="O1920" s="13">
        <f t="shared" si="131"/>
        <v>0</v>
      </c>
    </row>
    <row r="1921" spans="2:15" ht="13.8" thickBot="1">
      <c r="B1921" s="14">
        <v>16</v>
      </c>
      <c r="C1921" s="15" t="s">
        <v>152</v>
      </c>
      <c r="D1921" s="15" t="s">
        <v>150</v>
      </c>
      <c r="E1921" s="15">
        <v>12</v>
      </c>
      <c r="F1921" s="15">
        <v>5</v>
      </c>
      <c r="G1921" s="15">
        <v>10</v>
      </c>
      <c r="H1921" s="121"/>
      <c r="I1921" s="121"/>
      <c r="J1921" s="121"/>
      <c r="K1921" s="121">
        <v>0</v>
      </c>
      <c r="L1921" s="14">
        <f t="shared" si="128"/>
        <v>0</v>
      </c>
      <c r="M1921" s="15">
        <f t="shared" si="129"/>
        <v>0</v>
      </c>
      <c r="N1921" s="15">
        <f t="shared" si="130"/>
        <v>0</v>
      </c>
      <c r="O1921" s="16">
        <f t="shared" si="131"/>
        <v>0</v>
      </c>
    </row>
    <row r="1922" spans="2:15">
      <c r="B1922" s="9">
        <v>17</v>
      </c>
      <c r="C1922" s="10" t="s">
        <v>151</v>
      </c>
      <c r="D1922" s="10" t="s">
        <v>154</v>
      </c>
      <c r="E1922" s="93">
        <v>1</v>
      </c>
      <c r="F1922" s="93">
        <v>8</v>
      </c>
      <c r="G1922" s="10">
        <v>1</v>
      </c>
      <c r="H1922" s="120">
        <v>1.9309999999999263</v>
      </c>
      <c r="I1922" s="120">
        <v>0.96600000000000819</v>
      </c>
      <c r="J1922" s="120">
        <v>3.5339999999998781</v>
      </c>
      <c r="K1922" s="120">
        <v>6.4309999999998126</v>
      </c>
      <c r="L1922" s="9">
        <f t="shared" si="128"/>
        <v>0.4670158184384246</v>
      </c>
      <c r="M1922" s="10">
        <f t="shared" si="129"/>
        <v>0.29358351349611861</v>
      </c>
      <c r="N1922" s="10">
        <f t="shared" si="130"/>
        <v>0.65648151579048686</v>
      </c>
      <c r="O1922" s="11">
        <f t="shared" si="131"/>
        <v>0.87104726130548848</v>
      </c>
    </row>
    <row r="1923" spans="2:15">
      <c r="B1923" s="12">
        <v>17</v>
      </c>
      <c r="C1923" s="4" t="s">
        <v>151</v>
      </c>
      <c r="D1923" s="4" t="s">
        <v>154</v>
      </c>
      <c r="E1923" s="4">
        <v>1</v>
      </c>
      <c r="F1923" s="4">
        <v>8</v>
      </c>
      <c r="G1923" s="4">
        <v>2</v>
      </c>
      <c r="H1923" s="115">
        <v>1.0330000000000155</v>
      </c>
      <c r="I1923" s="115">
        <v>0.18299999999999272</v>
      </c>
      <c r="J1923" s="115"/>
      <c r="K1923" s="115">
        <v>1.2160000000000082</v>
      </c>
      <c r="L1923" s="12">
        <f t="shared" si="128"/>
        <v>0.30813737863804191</v>
      </c>
      <c r="M1923" s="4">
        <f t="shared" si="129"/>
        <v>7.29847446279277E-2</v>
      </c>
      <c r="N1923" s="4">
        <f t="shared" si="130"/>
        <v>0</v>
      </c>
      <c r="O1923" s="13">
        <f t="shared" si="131"/>
        <v>0.34556975605639373</v>
      </c>
    </row>
    <row r="1924" spans="2:15">
      <c r="B1924" s="12">
        <v>17</v>
      </c>
      <c r="C1924" s="4" t="s">
        <v>151</v>
      </c>
      <c r="D1924" s="4" t="s">
        <v>154</v>
      </c>
      <c r="E1924" s="4">
        <v>1</v>
      </c>
      <c r="F1924" s="4">
        <v>8</v>
      </c>
      <c r="G1924" s="4">
        <v>3</v>
      </c>
      <c r="H1924" s="115"/>
      <c r="I1924" s="115"/>
      <c r="J1924" s="115"/>
      <c r="K1924" s="115">
        <v>0</v>
      </c>
      <c r="L1924" s="12">
        <f t="shared" si="128"/>
        <v>0</v>
      </c>
      <c r="M1924" s="4">
        <f t="shared" si="129"/>
        <v>0</v>
      </c>
      <c r="N1924" s="4">
        <f t="shared" si="130"/>
        <v>0</v>
      </c>
      <c r="O1924" s="13">
        <f t="shared" si="131"/>
        <v>0</v>
      </c>
    </row>
    <row r="1925" spans="2:15">
      <c r="B1925" s="12">
        <v>17</v>
      </c>
      <c r="C1925" s="4" t="s">
        <v>151</v>
      </c>
      <c r="D1925" s="4" t="s">
        <v>154</v>
      </c>
      <c r="E1925" s="4">
        <v>1</v>
      </c>
      <c r="F1925" s="4">
        <v>8</v>
      </c>
      <c r="G1925" s="4">
        <v>4</v>
      </c>
      <c r="H1925" s="115"/>
      <c r="I1925" s="115"/>
      <c r="J1925" s="115"/>
      <c r="K1925" s="115">
        <v>0</v>
      </c>
      <c r="L1925" s="12">
        <f t="shared" si="128"/>
        <v>0</v>
      </c>
      <c r="M1925" s="4">
        <f t="shared" si="129"/>
        <v>0</v>
      </c>
      <c r="N1925" s="4">
        <f t="shared" si="130"/>
        <v>0</v>
      </c>
      <c r="O1925" s="13">
        <f t="shared" si="131"/>
        <v>0</v>
      </c>
    </row>
    <row r="1926" spans="2:15">
      <c r="B1926" s="12">
        <v>17</v>
      </c>
      <c r="C1926" s="4" t="s">
        <v>151</v>
      </c>
      <c r="D1926" s="4" t="s">
        <v>154</v>
      </c>
      <c r="E1926" s="4">
        <v>1</v>
      </c>
      <c r="F1926" s="4">
        <v>8</v>
      </c>
      <c r="G1926" s="4">
        <v>5</v>
      </c>
      <c r="H1926" s="115"/>
      <c r="I1926" s="115"/>
      <c r="J1926" s="115"/>
      <c r="K1926" s="115">
        <v>0</v>
      </c>
      <c r="L1926" s="12">
        <f t="shared" si="128"/>
        <v>0</v>
      </c>
      <c r="M1926" s="4">
        <f t="shared" si="129"/>
        <v>0</v>
      </c>
      <c r="N1926" s="4">
        <f t="shared" si="130"/>
        <v>0</v>
      </c>
      <c r="O1926" s="13">
        <f t="shared" si="131"/>
        <v>0</v>
      </c>
    </row>
    <row r="1927" spans="2:15">
      <c r="B1927" s="12">
        <v>17</v>
      </c>
      <c r="C1927" s="4" t="s">
        <v>151</v>
      </c>
      <c r="D1927" s="4" t="s">
        <v>154</v>
      </c>
      <c r="E1927" s="4">
        <v>1</v>
      </c>
      <c r="F1927" s="4">
        <v>8</v>
      </c>
      <c r="G1927" s="4">
        <v>6</v>
      </c>
      <c r="H1927" s="115"/>
      <c r="I1927" s="115"/>
      <c r="J1927" s="115"/>
      <c r="K1927" s="115">
        <v>0</v>
      </c>
      <c r="L1927" s="12">
        <f t="shared" si="128"/>
        <v>0</v>
      </c>
      <c r="M1927" s="4">
        <f t="shared" si="129"/>
        <v>0</v>
      </c>
      <c r="N1927" s="4">
        <f t="shared" si="130"/>
        <v>0</v>
      </c>
      <c r="O1927" s="13">
        <f t="shared" si="131"/>
        <v>0</v>
      </c>
    </row>
    <row r="1928" spans="2:15">
      <c r="B1928" s="12">
        <v>17</v>
      </c>
      <c r="C1928" s="4" t="s">
        <v>151</v>
      </c>
      <c r="D1928" s="4" t="s">
        <v>154</v>
      </c>
      <c r="E1928" s="4">
        <v>1</v>
      </c>
      <c r="F1928" s="4">
        <v>8</v>
      </c>
      <c r="G1928" s="4">
        <v>7</v>
      </c>
      <c r="H1928" s="115"/>
      <c r="I1928" s="115"/>
      <c r="J1928" s="115"/>
      <c r="K1928" s="115">
        <v>0</v>
      </c>
      <c r="L1928" s="12">
        <f t="shared" si="128"/>
        <v>0</v>
      </c>
      <c r="M1928" s="4">
        <f t="shared" si="129"/>
        <v>0</v>
      </c>
      <c r="N1928" s="4">
        <f t="shared" si="130"/>
        <v>0</v>
      </c>
      <c r="O1928" s="13">
        <f t="shared" si="131"/>
        <v>0</v>
      </c>
    </row>
    <row r="1929" spans="2:15">
      <c r="B1929" s="12">
        <v>17</v>
      </c>
      <c r="C1929" s="4" t="s">
        <v>151</v>
      </c>
      <c r="D1929" s="4" t="s">
        <v>154</v>
      </c>
      <c r="E1929" s="4">
        <v>1</v>
      </c>
      <c r="F1929" s="4">
        <v>8</v>
      </c>
      <c r="G1929" s="4">
        <v>8</v>
      </c>
      <c r="H1929" s="115"/>
      <c r="I1929" s="115"/>
      <c r="J1929" s="115"/>
      <c r="K1929" s="115">
        <v>0</v>
      </c>
      <c r="L1929" s="12">
        <f t="shared" si="128"/>
        <v>0</v>
      </c>
      <c r="M1929" s="4">
        <f t="shared" si="129"/>
        <v>0</v>
      </c>
      <c r="N1929" s="4">
        <f t="shared" si="130"/>
        <v>0</v>
      </c>
      <c r="O1929" s="13">
        <f t="shared" si="131"/>
        <v>0</v>
      </c>
    </row>
    <row r="1930" spans="2:15">
      <c r="B1930" s="12">
        <v>17</v>
      </c>
      <c r="C1930" s="4" t="s">
        <v>151</v>
      </c>
      <c r="D1930" s="4" t="s">
        <v>154</v>
      </c>
      <c r="E1930" s="4">
        <v>1</v>
      </c>
      <c r="F1930" s="4">
        <v>8</v>
      </c>
      <c r="G1930" s="4">
        <v>9</v>
      </c>
      <c r="H1930" s="115"/>
      <c r="I1930" s="115"/>
      <c r="J1930" s="115"/>
      <c r="K1930" s="115">
        <v>0</v>
      </c>
      <c r="L1930" s="12">
        <f t="shared" si="128"/>
        <v>0</v>
      </c>
      <c r="M1930" s="4">
        <f t="shared" si="129"/>
        <v>0</v>
      </c>
      <c r="N1930" s="4">
        <f t="shared" si="130"/>
        <v>0</v>
      </c>
      <c r="O1930" s="13">
        <f t="shared" si="131"/>
        <v>0</v>
      </c>
    </row>
    <row r="1931" spans="2:15" ht="13.8" thickBot="1">
      <c r="B1931" s="14">
        <v>17</v>
      </c>
      <c r="C1931" s="15" t="s">
        <v>151</v>
      </c>
      <c r="D1931" s="15" t="s">
        <v>154</v>
      </c>
      <c r="E1931" s="15">
        <v>1</v>
      </c>
      <c r="F1931" s="15">
        <v>8</v>
      </c>
      <c r="G1931" s="15">
        <v>10</v>
      </c>
      <c r="H1931" s="121"/>
      <c r="I1931" s="121"/>
      <c r="J1931" s="121"/>
      <c r="K1931" s="121">
        <v>0</v>
      </c>
      <c r="L1931" s="14">
        <f t="shared" si="128"/>
        <v>0</v>
      </c>
      <c r="M1931" s="15">
        <f t="shared" si="129"/>
        <v>0</v>
      </c>
      <c r="N1931" s="15">
        <f t="shared" si="130"/>
        <v>0</v>
      </c>
      <c r="O1931" s="16">
        <f t="shared" si="131"/>
        <v>0</v>
      </c>
    </row>
    <row r="1932" spans="2:15">
      <c r="B1932" s="9">
        <v>17</v>
      </c>
      <c r="C1932" s="10" t="s">
        <v>151</v>
      </c>
      <c r="D1932" s="10" t="s">
        <v>149</v>
      </c>
      <c r="E1932" s="93">
        <v>2</v>
      </c>
      <c r="F1932" s="93">
        <v>12</v>
      </c>
      <c r="G1932" s="10">
        <v>1</v>
      </c>
      <c r="H1932" s="120">
        <v>3.24899999999991</v>
      </c>
      <c r="I1932" s="120">
        <v>0.75</v>
      </c>
      <c r="J1932" s="120">
        <v>1.1019999999999754</v>
      </c>
      <c r="K1932" s="120">
        <v>5.1009999999998854</v>
      </c>
      <c r="L1932" s="9">
        <f t="shared" si="128"/>
        <v>0.62828673108950517</v>
      </c>
      <c r="M1932" s="10">
        <f t="shared" si="129"/>
        <v>0.24303804868629444</v>
      </c>
      <c r="N1932" s="10">
        <f t="shared" si="130"/>
        <v>0.32263271169221835</v>
      </c>
      <c r="O1932" s="11">
        <f t="shared" si="131"/>
        <v>0.7854010249923794</v>
      </c>
    </row>
    <row r="1933" spans="2:15">
      <c r="B1933" s="12">
        <v>17</v>
      </c>
      <c r="C1933" s="4" t="s">
        <v>151</v>
      </c>
      <c r="D1933" s="4" t="s">
        <v>149</v>
      </c>
      <c r="E1933" s="4">
        <v>2</v>
      </c>
      <c r="F1933" s="4">
        <v>12</v>
      </c>
      <c r="G1933" s="4">
        <v>2</v>
      </c>
      <c r="H1933" s="115"/>
      <c r="I1933" s="115"/>
      <c r="J1933" s="115">
        <v>0.36700000000007549</v>
      </c>
      <c r="K1933" s="115">
        <v>0.36700000000007549</v>
      </c>
      <c r="L1933" s="12">
        <f t="shared" si="128"/>
        <v>0</v>
      </c>
      <c r="M1933" s="4">
        <f t="shared" si="129"/>
        <v>0</v>
      </c>
      <c r="N1933" s="4">
        <f t="shared" si="130"/>
        <v>0.13576851456784625</v>
      </c>
      <c r="O1933" s="13">
        <f t="shared" si="131"/>
        <v>0.13576851456784625</v>
      </c>
    </row>
    <row r="1934" spans="2:15">
      <c r="B1934" s="12">
        <v>17</v>
      </c>
      <c r="C1934" s="4" t="s">
        <v>151</v>
      </c>
      <c r="D1934" s="4" t="s">
        <v>149</v>
      </c>
      <c r="E1934" s="4">
        <v>2</v>
      </c>
      <c r="F1934" s="4">
        <v>12</v>
      </c>
      <c r="G1934" s="4">
        <v>3</v>
      </c>
      <c r="H1934" s="115">
        <v>0.25</v>
      </c>
      <c r="I1934" s="115">
        <v>0.10000000000002274</v>
      </c>
      <c r="J1934" s="115">
        <v>0.26700000000005275</v>
      </c>
      <c r="K1934" s="115">
        <v>0.61700000000007549</v>
      </c>
      <c r="L1934" s="12">
        <f t="shared" si="128"/>
        <v>9.691001300805642E-2</v>
      </c>
      <c r="M1934" s="4">
        <f t="shared" si="129"/>
        <v>4.1392685158234015E-2</v>
      </c>
      <c r="N1934" s="4">
        <f t="shared" si="130"/>
        <v>0.10277661488345942</v>
      </c>
      <c r="O1934" s="13">
        <f t="shared" si="131"/>
        <v>0.20871001990642141</v>
      </c>
    </row>
    <row r="1935" spans="2:15">
      <c r="B1935" s="12">
        <v>17</v>
      </c>
      <c r="C1935" s="4" t="s">
        <v>151</v>
      </c>
      <c r="D1935" s="4" t="s">
        <v>149</v>
      </c>
      <c r="E1935" s="4">
        <v>2</v>
      </c>
      <c r="F1935" s="4">
        <v>12</v>
      </c>
      <c r="G1935" s="4">
        <v>4</v>
      </c>
      <c r="H1935" s="115"/>
      <c r="I1935" s="115"/>
      <c r="J1935" s="115"/>
      <c r="K1935" s="115">
        <v>0</v>
      </c>
      <c r="L1935" s="12">
        <f t="shared" si="128"/>
        <v>0</v>
      </c>
      <c r="M1935" s="4">
        <f t="shared" si="129"/>
        <v>0</v>
      </c>
      <c r="N1935" s="4">
        <f t="shared" si="130"/>
        <v>0</v>
      </c>
      <c r="O1935" s="13">
        <f t="shared" si="131"/>
        <v>0</v>
      </c>
    </row>
    <row r="1936" spans="2:15">
      <c r="B1936" s="12">
        <v>17</v>
      </c>
      <c r="C1936" s="4" t="s">
        <v>151</v>
      </c>
      <c r="D1936" s="4" t="s">
        <v>149</v>
      </c>
      <c r="E1936" s="4">
        <v>2</v>
      </c>
      <c r="F1936" s="4">
        <v>12</v>
      </c>
      <c r="G1936" s="4">
        <v>5</v>
      </c>
      <c r="H1936" s="115"/>
      <c r="I1936" s="115"/>
      <c r="J1936" s="115"/>
      <c r="K1936" s="115">
        <v>0</v>
      </c>
      <c r="L1936" s="12">
        <f t="shared" si="128"/>
        <v>0</v>
      </c>
      <c r="M1936" s="4">
        <f t="shared" si="129"/>
        <v>0</v>
      </c>
      <c r="N1936" s="4">
        <f t="shared" si="130"/>
        <v>0</v>
      </c>
      <c r="O1936" s="13">
        <f t="shared" si="131"/>
        <v>0</v>
      </c>
    </row>
    <row r="1937" spans="2:15">
      <c r="B1937" s="12">
        <v>17</v>
      </c>
      <c r="C1937" s="4" t="s">
        <v>151</v>
      </c>
      <c r="D1937" s="4" t="s">
        <v>149</v>
      </c>
      <c r="E1937" s="4">
        <v>2</v>
      </c>
      <c r="F1937" s="4">
        <v>12</v>
      </c>
      <c r="G1937" s="4">
        <v>6</v>
      </c>
      <c r="H1937" s="115"/>
      <c r="I1937" s="115"/>
      <c r="J1937" s="115"/>
      <c r="K1937" s="115">
        <v>0</v>
      </c>
      <c r="L1937" s="12">
        <f t="shared" si="128"/>
        <v>0</v>
      </c>
      <c r="M1937" s="4">
        <f t="shared" si="129"/>
        <v>0</v>
      </c>
      <c r="N1937" s="4">
        <f t="shared" si="130"/>
        <v>0</v>
      </c>
      <c r="O1937" s="13">
        <f t="shared" si="131"/>
        <v>0</v>
      </c>
    </row>
    <row r="1938" spans="2:15">
      <c r="B1938" s="12">
        <v>17</v>
      </c>
      <c r="C1938" s="4" t="s">
        <v>151</v>
      </c>
      <c r="D1938" s="4" t="s">
        <v>149</v>
      </c>
      <c r="E1938" s="4">
        <v>2</v>
      </c>
      <c r="F1938" s="4">
        <v>12</v>
      </c>
      <c r="G1938" s="4">
        <v>7</v>
      </c>
      <c r="H1938" s="115"/>
      <c r="I1938" s="115"/>
      <c r="J1938" s="115"/>
      <c r="K1938" s="115">
        <v>0</v>
      </c>
      <c r="L1938" s="12">
        <f t="shared" si="128"/>
        <v>0</v>
      </c>
      <c r="M1938" s="4">
        <f t="shared" si="129"/>
        <v>0</v>
      </c>
      <c r="N1938" s="4">
        <f t="shared" si="130"/>
        <v>0</v>
      </c>
      <c r="O1938" s="13">
        <f t="shared" si="131"/>
        <v>0</v>
      </c>
    </row>
    <row r="1939" spans="2:15">
      <c r="B1939" s="12">
        <v>17</v>
      </c>
      <c r="C1939" s="4" t="s">
        <v>151</v>
      </c>
      <c r="D1939" s="4" t="s">
        <v>149</v>
      </c>
      <c r="E1939" s="4">
        <v>2</v>
      </c>
      <c r="F1939" s="4">
        <v>12</v>
      </c>
      <c r="G1939" s="4">
        <v>8</v>
      </c>
      <c r="H1939" s="115"/>
      <c r="I1939" s="115"/>
      <c r="J1939" s="115"/>
      <c r="K1939" s="115">
        <v>0</v>
      </c>
      <c r="L1939" s="12">
        <f t="shared" si="128"/>
        <v>0</v>
      </c>
      <c r="M1939" s="4">
        <f t="shared" si="129"/>
        <v>0</v>
      </c>
      <c r="N1939" s="4">
        <f t="shared" si="130"/>
        <v>0</v>
      </c>
      <c r="O1939" s="13">
        <f t="shared" si="131"/>
        <v>0</v>
      </c>
    </row>
    <row r="1940" spans="2:15">
      <c r="B1940" s="12">
        <v>17</v>
      </c>
      <c r="C1940" s="4" t="s">
        <v>151</v>
      </c>
      <c r="D1940" s="4" t="s">
        <v>149</v>
      </c>
      <c r="E1940" s="4">
        <v>2</v>
      </c>
      <c r="F1940" s="4">
        <v>12</v>
      </c>
      <c r="G1940" s="4">
        <v>9</v>
      </c>
      <c r="H1940" s="115"/>
      <c r="I1940" s="115"/>
      <c r="J1940" s="115"/>
      <c r="K1940" s="115">
        <v>0</v>
      </c>
      <c r="L1940" s="12">
        <f t="shared" si="128"/>
        <v>0</v>
      </c>
      <c r="M1940" s="4">
        <f t="shared" si="129"/>
        <v>0</v>
      </c>
      <c r="N1940" s="4">
        <f t="shared" si="130"/>
        <v>0</v>
      </c>
      <c r="O1940" s="13">
        <f t="shared" si="131"/>
        <v>0</v>
      </c>
    </row>
    <row r="1941" spans="2:15" ht="13.8" thickBot="1">
      <c r="B1941" s="14">
        <v>17</v>
      </c>
      <c r="C1941" s="15" t="s">
        <v>151</v>
      </c>
      <c r="D1941" s="15" t="s">
        <v>149</v>
      </c>
      <c r="E1941" s="15">
        <v>2</v>
      </c>
      <c r="F1941" s="15">
        <v>12</v>
      </c>
      <c r="G1941" s="15">
        <v>10</v>
      </c>
      <c r="H1941" s="121"/>
      <c r="I1941" s="121"/>
      <c r="J1941" s="121"/>
      <c r="K1941" s="121">
        <v>0</v>
      </c>
      <c r="L1941" s="14">
        <f t="shared" si="128"/>
        <v>0</v>
      </c>
      <c r="M1941" s="15">
        <f t="shared" si="129"/>
        <v>0</v>
      </c>
      <c r="N1941" s="15">
        <f t="shared" si="130"/>
        <v>0</v>
      </c>
      <c r="O1941" s="16">
        <f t="shared" si="131"/>
        <v>0</v>
      </c>
    </row>
    <row r="1942" spans="2:15">
      <c r="B1942" s="9">
        <v>17</v>
      </c>
      <c r="C1942" s="10" t="s">
        <v>151</v>
      </c>
      <c r="D1942" s="10" t="s">
        <v>150</v>
      </c>
      <c r="E1942" s="93">
        <v>3</v>
      </c>
      <c r="F1942" s="93">
        <v>2</v>
      </c>
      <c r="G1942" s="10">
        <v>1</v>
      </c>
      <c r="H1942" s="120">
        <v>1.0010000000000048</v>
      </c>
      <c r="I1942" s="120">
        <v>1.3679999999999666</v>
      </c>
      <c r="J1942" s="120">
        <v>8.1149999999998954</v>
      </c>
      <c r="K1942" s="120">
        <v>10.483999999999867</v>
      </c>
      <c r="L1942" s="9">
        <f t="shared" si="128"/>
        <v>0.30124708863621241</v>
      </c>
      <c r="M1942" s="10">
        <f t="shared" si="129"/>
        <v>0.37438169805087601</v>
      </c>
      <c r="N1942" s="10">
        <f t="shared" si="130"/>
        <v>0.9597566729909901</v>
      </c>
      <c r="O1942" s="11">
        <f t="shared" si="131"/>
        <v>1.0600931838244634</v>
      </c>
    </row>
    <row r="1943" spans="2:15">
      <c r="B1943" s="12">
        <v>17</v>
      </c>
      <c r="C1943" s="4" t="s">
        <v>151</v>
      </c>
      <c r="D1943" s="4" t="s">
        <v>150</v>
      </c>
      <c r="E1943" s="4">
        <v>3</v>
      </c>
      <c r="F1943" s="4">
        <v>2</v>
      </c>
      <c r="G1943" s="4">
        <v>2</v>
      </c>
      <c r="H1943" s="115">
        <v>0.79999999999998295</v>
      </c>
      <c r="I1943" s="115">
        <v>1.1480000000000246</v>
      </c>
      <c r="J1943" s="115">
        <v>2.8660000000000139</v>
      </c>
      <c r="K1943" s="115">
        <v>4.8140000000000214</v>
      </c>
      <c r="L1943" s="12">
        <f t="shared" si="128"/>
        <v>0.25527250510330196</v>
      </c>
      <c r="M1943" s="4">
        <f t="shared" si="129"/>
        <v>0.33203427702752297</v>
      </c>
      <c r="N1943" s="4">
        <f t="shared" si="130"/>
        <v>0.58726184969253581</v>
      </c>
      <c r="O1943" s="13">
        <f t="shared" si="131"/>
        <v>0.76447502743441054</v>
      </c>
    </row>
    <row r="1944" spans="2:15">
      <c r="B1944" s="12">
        <v>17</v>
      </c>
      <c r="C1944" s="4" t="s">
        <v>151</v>
      </c>
      <c r="D1944" s="4" t="s">
        <v>150</v>
      </c>
      <c r="E1944" s="4">
        <v>3</v>
      </c>
      <c r="F1944" s="4">
        <v>2</v>
      </c>
      <c r="G1944" s="4">
        <v>3</v>
      </c>
      <c r="H1944" s="115"/>
      <c r="I1944" s="115">
        <v>0.63300000000000978</v>
      </c>
      <c r="J1944" s="115">
        <v>0.30000000000001137</v>
      </c>
      <c r="K1944" s="115">
        <v>0.93300000000002115</v>
      </c>
      <c r="L1944" s="12">
        <f t="shared" si="128"/>
        <v>0</v>
      </c>
      <c r="M1944" s="4">
        <f t="shared" si="129"/>
        <v>0.21298618473667077</v>
      </c>
      <c r="N1944" s="4">
        <f t="shared" si="130"/>
        <v>0.11394335230684056</v>
      </c>
      <c r="O1944" s="13">
        <f t="shared" si="131"/>
        <v>0.28623185402855778</v>
      </c>
    </row>
    <row r="1945" spans="2:15">
      <c r="B1945" s="12">
        <v>17</v>
      </c>
      <c r="C1945" s="4" t="s">
        <v>151</v>
      </c>
      <c r="D1945" s="4" t="s">
        <v>150</v>
      </c>
      <c r="E1945" s="4">
        <v>3</v>
      </c>
      <c r="F1945" s="4">
        <v>2</v>
      </c>
      <c r="G1945" s="4">
        <v>4</v>
      </c>
      <c r="H1945" s="115"/>
      <c r="I1945" s="115"/>
      <c r="J1945" s="115"/>
      <c r="K1945" s="115">
        <v>0</v>
      </c>
      <c r="L1945" s="12">
        <f t="shared" si="128"/>
        <v>0</v>
      </c>
      <c r="M1945" s="4">
        <f t="shared" si="129"/>
        <v>0</v>
      </c>
      <c r="N1945" s="4">
        <f t="shared" si="130"/>
        <v>0</v>
      </c>
      <c r="O1945" s="13">
        <f t="shared" si="131"/>
        <v>0</v>
      </c>
    </row>
    <row r="1946" spans="2:15">
      <c r="B1946" s="12">
        <v>17</v>
      </c>
      <c r="C1946" s="4" t="s">
        <v>151</v>
      </c>
      <c r="D1946" s="4" t="s">
        <v>150</v>
      </c>
      <c r="E1946" s="4">
        <v>3</v>
      </c>
      <c r="F1946" s="4">
        <v>2</v>
      </c>
      <c r="G1946" s="4">
        <v>5</v>
      </c>
      <c r="H1946" s="115"/>
      <c r="I1946" s="115"/>
      <c r="J1946" s="115"/>
      <c r="K1946" s="115">
        <v>0</v>
      </c>
      <c r="L1946" s="12">
        <f t="shared" si="128"/>
        <v>0</v>
      </c>
      <c r="M1946" s="4">
        <f t="shared" si="129"/>
        <v>0</v>
      </c>
      <c r="N1946" s="4">
        <f t="shared" si="130"/>
        <v>0</v>
      </c>
      <c r="O1946" s="13">
        <f t="shared" si="131"/>
        <v>0</v>
      </c>
    </row>
    <row r="1947" spans="2:15">
      <c r="B1947" s="12">
        <v>17</v>
      </c>
      <c r="C1947" s="4" t="s">
        <v>151</v>
      </c>
      <c r="D1947" s="4" t="s">
        <v>150</v>
      </c>
      <c r="E1947" s="4">
        <v>3</v>
      </c>
      <c r="F1947" s="4">
        <v>2</v>
      </c>
      <c r="G1947" s="4">
        <v>6</v>
      </c>
      <c r="H1947" s="115"/>
      <c r="I1947" s="115"/>
      <c r="J1947" s="115"/>
      <c r="K1947" s="115">
        <v>0</v>
      </c>
      <c r="L1947" s="12">
        <f t="shared" si="128"/>
        <v>0</v>
      </c>
      <c r="M1947" s="4">
        <f t="shared" si="129"/>
        <v>0</v>
      </c>
      <c r="N1947" s="4">
        <f t="shared" si="130"/>
        <v>0</v>
      </c>
      <c r="O1947" s="13">
        <f t="shared" si="131"/>
        <v>0</v>
      </c>
    </row>
    <row r="1948" spans="2:15">
      <c r="B1948" s="12">
        <v>17</v>
      </c>
      <c r="C1948" s="4" t="s">
        <v>151</v>
      </c>
      <c r="D1948" s="4" t="s">
        <v>150</v>
      </c>
      <c r="E1948" s="4">
        <v>3</v>
      </c>
      <c r="F1948" s="4">
        <v>2</v>
      </c>
      <c r="G1948" s="4">
        <v>7</v>
      </c>
      <c r="H1948" s="115"/>
      <c r="I1948" s="115"/>
      <c r="J1948" s="115"/>
      <c r="K1948" s="115">
        <v>0</v>
      </c>
      <c r="L1948" s="12">
        <f t="shared" si="128"/>
        <v>0</v>
      </c>
      <c r="M1948" s="4">
        <f t="shared" si="129"/>
        <v>0</v>
      </c>
      <c r="N1948" s="4">
        <f t="shared" si="130"/>
        <v>0</v>
      </c>
      <c r="O1948" s="13">
        <f t="shared" si="131"/>
        <v>0</v>
      </c>
    </row>
    <row r="1949" spans="2:15">
      <c r="B1949" s="12">
        <v>17</v>
      </c>
      <c r="C1949" s="4" t="s">
        <v>151</v>
      </c>
      <c r="D1949" s="4" t="s">
        <v>150</v>
      </c>
      <c r="E1949" s="4">
        <v>3</v>
      </c>
      <c r="F1949" s="4">
        <v>2</v>
      </c>
      <c r="G1949" s="4">
        <v>8</v>
      </c>
      <c r="H1949" s="115"/>
      <c r="I1949" s="115"/>
      <c r="J1949" s="115"/>
      <c r="K1949" s="115">
        <v>0</v>
      </c>
      <c r="L1949" s="12">
        <f t="shared" si="128"/>
        <v>0</v>
      </c>
      <c r="M1949" s="4">
        <f t="shared" si="129"/>
        <v>0</v>
      </c>
      <c r="N1949" s="4">
        <f t="shared" si="130"/>
        <v>0</v>
      </c>
      <c r="O1949" s="13">
        <f t="shared" si="131"/>
        <v>0</v>
      </c>
    </row>
    <row r="1950" spans="2:15">
      <c r="B1950" s="12">
        <v>17</v>
      </c>
      <c r="C1950" s="4" t="s">
        <v>151</v>
      </c>
      <c r="D1950" s="4" t="s">
        <v>150</v>
      </c>
      <c r="E1950" s="4">
        <v>3</v>
      </c>
      <c r="F1950" s="4">
        <v>2</v>
      </c>
      <c r="G1950" s="4">
        <v>9</v>
      </c>
      <c r="H1950" s="115"/>
      <c r="I1950" s="115"/>
      <c r="J1950" s="115"/>
      <c r="K1950" s="115">
        <v>0</v>
      </c>
      <c r="L1950" s="12">
        <f t="shared" si="128"/>
        <v>0</v>
      </c>
      <c r="M1950" s="4">
        <f t="shared" si="129"/>
        <v>0</v>
      </c>
      <c r="N1950" s="4">
        <f t="shared" si="130"/>
        <v>0</v>
      </c>
      <c r="O1950" s="13">
        <f t="shared" si="131"/>
        <v>0</v>
      </c>
    </row>
    <row r="1951" spans="2:15" ht="13.8" thickBot="1">
      <c r="B1951" s="14">
        <v>17</v>
      </c>
      <c r="C1951" s="15" t="s">
        <v>151</v>
      </c>
      <c r="D1951" s="15" t="s">
        <v>150</v>
      </c>
      <c r="E1951" s="15">
        <v>3</v>
      </c>
      <c r="F1951" s="15">
        <v>2</v>
      </c>
      <c r="G1951" s="15">
        <v>10</v>
      </c>
      <c r="H1951" s="121"/>
      <c r="I1951" s="121"/>
      <c r="J1951" s="121"/>
      <c r="K1951" s="121">
        <v>0</v>
      </c>
      <c r="L1951" s="14">
        <f t="shared" si="128"/>
        <v>0</v>
      </c>
      <c r="M1951" s="15">
        <f t="shared" si="129"/>
        <v>0</v>
      </c>
      <c r="N1951" s="15">
        <f t="shared" si="130"/>
        <v>0</v>
      </c>
      <c r="O1951" s="16">
        <f t="shared" si="131"/>
        <v>0</v>
      </c>
    </row>
    <row r="1952" spans="2:15">
      <c r="B1952" s="9">
        <v>17</v>
      </c>
      <c r="C1952" s="10" t="s">
        <v>151</v>
      </c>
      <c r="D1952" s="10" t="s">
        <v>149</v>
      </c>
      <c r="E1952" s="93">
        <v>4</v>
      </c>
      <c r="F1952" s="93">
        <v>10</v>
      </c>
      <c r="G1952" s="10">
        <v>1</v>
      </c>
      <c r="H1952" s="120">
        <v>3.0179999999999154</v>
      </c>
      <c r="I1952" s="120">
        <v>2.1319999999999482</v>
      </c>
      <c r="J1952" s="120">
        <v>6.1310000000001992</v>
      </c>
      <c r="K1952" s="120">
        <v>11.281000000000063</v>
      </c>
      <c r="L1952" s="9">
        <f t="shared" si="128"/>
        <v>0.60400993241222123</v>
      </c>
      <c r="M1952" s="10">
        <f t="shared" si="129"/>
        <v>0.49582175338589862</v>
      </c>
      <c r="N1952" s="10">
        <f t="shared" si="130"/>
        <v>0.85315043644785482</v>
      </c>
      <c r="O1952" s="11">
        <f t="shared" si="131"/>
        <v>1.0892337313654006</v>
      </c>
    </row>
    <row r="1953" spans="2:15">
      <c r="B1953" s="12">
        <v>17</v>
      </c>
      <c r="C1953" s="4" t="s">
        <v>151</v>
      </c>
      <c r="D1953" s="4" t="s">
        <v>149</v>
      </c>
      <c r="E1953" s="4">
        <v>4</v>
      </c>
      <c r="F1953" s="4">
        <v>10</v>
      </c>
      <c r="G1953" s="4">
        <v>2</v>
      </c>
      <c r="H1953" s="115">
        <v>1.831000000000131</v>
      </c>
      <c r="I1953" s="115">
        <v>1.1179999999999382</v>
      </c>
      <c r="J1953" s="115">
        <v>3.75100000000009</v>
      </c>
      <c r="K1953" s="115">
        <v>6.7000000000001592</v>
      </c>
      <c r="L1953" s="12">
        <f t="shared" si="128"/>
        <v>0.45193986936512309</v>
      </c>
      <c r="M1953" s="4">
        <f t="shared" si="129"/>
        <v>0.3259259557714535</v>
      </c>
      <c r="N1953" s="4">
        <f t="shared" si="130"/>
        <v>0.67678503041921367</v>
      </c>
      <c r="O1953" s="13">
        <f t="shared" si="131"/>
        <v>0.88649072517249083</v>
      </c>
    </row>
    <row r="1954" spans="2:15">
      <c r="B1954" s="12">
        <v>17</v>
      </c>
      <c r="C1954" s="4" t="s">
        <v>151</v>
      </c>
      <c r="D1954" s="4" t="s">
        <v>149</v>
      </c>
      <c r="E1954" s="4">
        <v>4</v>
      </c>
      <c r="F1954" s="4">
        <v>10</v>
      </c>
      <c r="G1954" s="4">
        <v>3</v>
      </c>
      <c r="H1954" s="115">
        <v>1.7009999999997945</v>
      </c>
      <c r="I1954" s="115">
        <v>0.41599999999993997</v>
      </c>
      <c r="J1954" s="115">
        <v>0.31600000000003092</v>
      </c>
      <c r="K1954" s="115">
        <v>2.4329999999997654</v>
      </c>
      <c r="L1954" s="12">
        <f t="shared" si="128"/>
        <v>0.43152458418741785</v>
      </c>
      <c r="M1954" s="4">
        <f t="shared" si="129"/>
        <v>0.1510632533537318</v>
      </c>
      <c r="N1954" s="4">
        <f t="shared" si="130"/>
        <v>0.11925588927794689</v>
      </c>
      <c r="O1954" s="13">
        <f t="shared" si="131"/>
        <v>0.53567380342572046</v>
      </c>
    </row>
    <row r="1955" spans="2:15">
      <c r="B1955" s="12">
        <v>17</v>
      </c>
      <c r="C1955" s="4" t="s">
        <v>151</v>
      </c>
      <c r="D1955" s="4" t="s">
        <v>149</v>
      </c>
      <c r="E1955" s="4">
        <v>4</v>
      </c>
      <c r="F1955" s="4">
        <v>10</v>
      </c>
      <c r="G1955" s="4">
        <v>4</v>
      </c>
      <c r="H1955" s="115"/>
      <c r="I1955" s="115"/>
      <c r="J1955" s="115"/>
      <c r="K1955" s="115">
        <v>0</v>
      </c>
      <c r="L1955" s="12">
        <f t="shared" si="128"/>
        <v>0</v>
      </c>
      <c r="M1955" s="4">
        <f t="shared" si="129"/>
        <v>0</v>
      </c>
      <c r="N1955" s="4">
        <f t="shared" si="130"/>
        <v>0</v>
      </c>
      <c r="O1955" s="13">
        <f t="shared" si="131"/>
        <v>0</v>
      </c>
    </row>
    <row r="1956" spans="2:15">
      <c r="B1956" s="12">
        <v>17</v>
      </c>
      <c r="C1956" s="4" t="s">
        <v>151</v>
      </c>
      <c r="D1956" s="4" t="s">
        <v>149</v>
      </c>
      <c r="E1956" s="4">
        <v>4</v>
      </c>
      <c r="F1956" s="4">
        <v>10</v>
      </c>
      <c r="G1956" s="4">
        <v>5</v>
      </c>
      <c r="H1956" s="115"/>
      <c r="I1956" s="115"/>
      <c r="J1956" s="115"/>
      <c r="K1956" s="115">
        <v>0</v>
      </c>
      <c r="L1956" s="12">
        <f t="shared" si="128"/>
        <v>0</v>
      </c>
      <c r="M1956" s="4">
        <f t="shared" si="129"/>
        <v>0</v>
      </c>
      <c r="N1956" s="4">
        <f t="shared" si="130"/>
        <v>0</v>
      </c>
      <c r="O1956" s="13">
        <f t="shared" si="131"/>
        <v>0</v>
      </c>
    </row>
    <row r="1957" spans="2:15">
      <c r="B1957" s="12">
        <v>17</v>
      </c>
      <c r="C1957" s="4" t="s">
        <v>151</v>
      </c>
      <c r="D1957" s="4" t="s">
        <v>149</v>
      </c>
      <c r="E1957" s="4">
        <v>4</v>
      </c>
      <c r="F1957" s="4">
        <v>10</v>
      </c>
      <c r="G1957" s="4">
        <v>6</v>
      </c>
      <c r="H1957" s="115"/>
      <c r="I1957" s="115"/>
      <c r="J1957" s="115"/>
      <c r="K1957" s="115">
        <v>0</v>
      </c>
      <c r="L1957" s="12">
        <f t="shared" si="128"/>
        <v>0</v>
      </c>
      <c r="M1957" s="4">
        <f t="shared" si="129"/>
        <v>0</v>
      </c>
      <c r="N1957" s="4">
        <f t="shared" si="130"/>
        <v>0</v>
      </c>
      <c r="O1957" s="13">
        <f t="shared" si="131"/>
        <v>0</v>
      </c>
    </row>
    <row r="1958" spans="2:15">
      <c r="B1958" s="12">
        <v>17</v>
      </c>
      <c r="C1958" s="4" t="s">
        <v>151</v>
      </c>
      <c r="D1958" s="4" t="s">
        <v>149</v>
      </c>
      <c r="E1958" s="4">
        <v>4</v>
      </c>
      <c r="F1958" s="4">
        <v>10</v>
      </c>
      <c r="G1958" s="4">
        <v>7</v>
      </c>
      <c r="H1958" s="115"/>
      <c r="I1958" s="115"/>
      <c r="J1958" s="115"/>
      <c r="K1958" s="115">
        <v>0</v>
      </c>
      <c r="L1958" s="12">
        <f t="shared" si="128"/>
        <v>0</v>
      </c>
      <c r="M1958" s="4">
        <f t="shared" si="129"/>
        <v>0</v>
      </c>
      <c r="N1958" s="4">
        <f t="shared" si="130"/>
        <v>0</v>
      </c>
      <c r="O1958" s="13">
        <f t="shared" si="131"/>
        <v>0</v>
      </c>
    </row>
    <row r="1959" spans="2:15">
      <c r="B1959" s="12">
        <v>17</v>
      </c>
      <c r="C1959" s="4" t="s">
        <v>151</v>
      </c>
      <c r="D1959" s="4" t="s">
        <v>149</v>
      </c>
      <c r="E1959" s="4">
        <v>4</v>
      </c>
      <c r="F1959" s="4">
        <v>10</v>
      </c>
      <c r="G1959" s="4">
        <v>8</v>
      </c>
      <c r="H1959" s="115"/>
      <c r="I1959" s="115"/>
      <c r="J1959" s="115"/>
      <c r="K1959" s="115">
        <v>0</v>
      </c>
      <c r="L1959" s="12">
        <f t="shared" ref="L1959:L2022" si="132">LOG10(H1959+1)</f>
        <v>0</v>
      </c>
      <c r="M1959" s="4">
        <f t="shared" ref="M1959:M2022" si="133">LOG10(I1959+1)</f>
        <v>0</v>
      </c>
      <c r="N1959" s="4">
        <f t="shared" ref="N1959:N2022" si="134">LOG10(J1959+1)</f>
        <v>0</v>
      </c>
      <c r="O1959" s="13">
        <f t="shared" ref="O1959:O2022" si="135">LOG10(K1959+1)</f>
        <v>0</v>
      </c>
    </row>
    <row r="1960" spans="2:15">
      <c r="B1960" s="12">
        <v>17</v>
      </c>
      <c r="C1960" s="4" t="s">
        <v>151</v>
      </c>
      <c r="D1960" s="4" t="s">
        <v>149</v>
      </c>
      <c r="E1960" s="4">
        <v>4</v>
      </c>
      <c r="F1960" s="4">
        <v>10</v>
      </c>
      <c r="G1960" s="4">
        <v>9</v>
      </c>
      <c r="H1960" s="115"/>
      <c r="I1960" s="115"/>
      <c r="J1960" s="115"/>
      <c r="K1960" s="115">
        <v>0</v>
      </c>
      <c r="L1960" s="12">
        <f t="shared" si="132"/>
        <v>0</v>
      </c>
      <c r="M1960" s="4">
        <f t="shared" si="133"/>
        <v>0</v>
      </c>
      <c r="N1960" s="4">
        <f t="shared" si="134"/>
        <v>0</v>
      </c>
      <c r="O1960" s="13">
        <f t="shared" si="135"/>
        <v>0</v>
      </c>
    </row>
    <row r="1961" spans="2:15" ht="13.8" thickBot="1">
      <c r="B1961" s="14">
        <v>17</v>
      </c>
      <c r="C1961" s="15" t="s">
        <v>151</v>
      </c>
      <c r="D1961" s="15" t="s">
        <v>149</v>
      </c>
      <c r="E1961" s="15">
        <v>4</v>
      </c>
      <c r="F1961" s="15">
        <v>10</v>
      </c>
      <c r="G1961" s="15">
        <v>10</v>
      </c>
      <c r="H1961" s="121"/>
      <c r="I1961" s="121"/>
      <c r="J1961" s="121"/>
      <c r="K1961" s="121">
        <v>0</v>
      </c>
      <c r="L1961" s="14">
        <f t="shared" si="132"/>
        <v>0</v>
      </c>
      <c r="M1961" s="15">
        <f t="shared" si="133"/>
        <v>0</v>
      </c>
      <c r="N1961" s="15">
        <f t="shared" si="134"/>
        <v>0</v>
      </c>
      <c r="O1961" s="16">
        <f t="shared" si="135"/>
        <v>0</v>
      </c>
    </row>
    <row r="1962" spans="2:15">
      <c r="B1962" s="9">
        <v>17</v>
      </c>
      <c r="C1962" s="10" t="s">
        <v>151</v>
      </c>
      <c r="D1962" s="10" t="s">
        <v>154</v>
      </c>
      <c r="E1962" s="93">
        <v>5</v>
      </c>
      <c r="F1962" s="93">
        <v>6</v>
      </c>
      <c r="G1962" s="10">
        <v>1</v>
      </c>
      <c r="H1962" s="120">
        <v>4.4350000000000591</v>
      </c>
      <c r="I1962" s="120">
        <v>2.418999999999869</v>
      </c>
      <c r="J1962" s="120">
        <v>1.6330000000000382</v>
      </c>
      <c r="K1962" s="120">
        <v>8.4869999999999663</v>
      </c>
      <c r="L1962" s="9">
        <f t="shared" si="132"/>
        <v>0.73519954842231805</v>
      </c>
      <c r="M1962" s="10">
        <f t="shared" si="133"/>
        <v>0.53389910079657799</v>
      </c>
      <c r="N1962" s="10">
        <f t="shared" si="134"/>
        <v>0.42045085910607444</v>
      </c>
      <c r="O1962" s="11">
        <f t="shared" si="135"/>
        <v>0.97712890058068069</v>
      </c>
    </row>
    <row r="1963" spans="2:15">
      <c r="B1963" s="12">
        <v>17</v>
      </c>
      <c r="C1963" s="4" t="s">
        <v>151</v>
      </c>
      <c r="D1963" s="4" t="s">
        <v>154</v>
      </c>
      <c r="E1963" s="4">
        <v>5</v>
      </c>
      <c r="F1963" s="4">
        <v>6</v>
      </c>
      <c r="G1963" s="4">
        <v>2</v>
      </c>
      <c r="H1963" s="115">
        <v>1.2679999999999723</v>
      </c>
      <c r="I1963" s="115">
        <v>0.3669999999999618</v>
      </c>
      <c r="J1963" s="115">
        <v>0.13299999999998136</v>
      </c>
      <c r="K1963" s="115">
        <v>1.7679999999999154</v>
      </c>
      <c r="L1963" s="12">
        <f t="shared" si="132"/>
        <v>0.35564305022086368</v>
      </c>
      <c r="M1963" s="4">
        <f t="shared" si="133"/>
        <v>0.13576851456781014</v>
      </c>
      <c r="N1963" s="4">
        <f t="shared" si="134"/>
        <v>5.4229909863390102E-2</v>
      </c>
      <c r="O1963" s="13">
        <f t="shared" si="135"/>
        <v>0.4421660857847069</v>
      </c>
    </row>
    <row r="1964" spans="2:15">
      <c r="B1964" s="12">
        <v>17</v>
      </c>
      <c r="C1964" s="4" t="s">
        <v>151</v>
      </c>
      <c r="D1964" s="4" t="s">
        <v>154</v>
      </c>
      <c r="E1964" s="4">
        <v>5</v>
      </c>
      <c r="F1964" s="4">
        <v>6</v>
      </c>
      <c r="G1964" s="4">
        <v>3</v>
      </c>
      <c r="H1964" s="115">
        <v>1.0659999999999741</v>
      </c>
      <c r="I1964" s="115">
        <v>0.15000000000003411</v>
      </c>
      <c r="J1964" s="115"/>
      <c r="K1964" s="115">
        <v>1.2160000000000082</v>
      </c>
      <c r="L1964" s="12">
        <f t="shared" si="132"/>
        <v>0.3151303171835963</v>
      </c>
      <c r="M1964" s="4">
        <f t="shared" si="133"/>
        <v>6.0697840353624563E-2</v>
      </c>
      <c r="N1964" s="4">
        <f t="shared" si="134"/>
        <v>0</v>
      </c>
      <c r="O1964" s="13">
        <f t="shared" si="135"/>
        <v>0.34556975605639373</v>
      </c>
    </row>
    <row r="1965" spans="2:15">
      <c r="B1965" s="12">
        <v>17</v>
      </c>
      <c r="C1965" s="4" t="s">
        <v>151</v>
      </c>
      <c r="D1965" s="4" t="s">
        <v>154</v>
      </c>
      <c r="E1965" s="4">
        <v>5</v>
      </c>
      <c r="F1965" s="4">
        <v>6</v>
      </c>
      <c r="G1965" s="4">
        <v>4</v>
      </c>
      <c r="H1965" s="115">
        <v>0.46700000000004138</v>
      </c>
      <c r="I1965" s="115">
        <v>0.11700000000001864</v>
      </c>
      <c r="J1965" s="115">
        <v>0.28299999999995862</v>
      </c>
      <c r="K1965" s="115">
        <v>0.86700000000001864</v>
      </c>
      <c r="L1965" s="12">
        <f t="shared" si="132"/>
        <v>0.16643011384329492</v>
      </c>
      <c r="M1965" s="4">
        <f t="shared" si="133"/>
        <v>4.8053173115616306E-2</v>
      </c>
      <c r="N1965" s="4">
        <f t="shared" si="134"/>
        <v>0.10822665637491449</v>
      </c>
      <c r="O1965" s="13">
        <f t="shared" si="135"/>
        <v>0.27114431794908267</v>
      </c>
    </row>
    <row r="1966" spans="2:15">
      <c r="B1966" s="12">
        <v>17</v>
      </c>
      <c r="C1966" s="4" t="s">
        <v>151</v>
      </c>
      <c r="D1966" s="4" t="s">
        <v>154</v>
      </c>
      <c r="E1966" s="4">
        <v>5</v>
      </c>
      <c r="F1966" s="4">
        <v>6</v>
      </c>
      <c r="G1966" s="4">
        <v>5</v>
      </c>
      <c r="H1966" s="115">
        <v>0.35000000000002274</v>
      </c>
      <c r="I1966" s="115">
        <v>0.16599999999999682</v>
      </c>
      <c r="J1966" s="115"/>
      <c r="K1966" s="115">
        <v>0.51600000000001955</v>
      </c>
      <c r="L1966" s="12">
        <f t="shared" si="132"/>
        <v>0.13033376849501344</v>
      </c>
      <c r="M1966" s="4">
        <f t="shared" si="133"/>
        <v>6.6698550422994093E-2</v>
      </c>
      <c r="N1966" s="4">
        <f t="shared" si="134"/>
        <v>0</v>
      </c>
      <c r="O1966" s="13">
        <f t="shared" si="135"/>
        <v>0.18069920129604033</v>
      </c>
    </row>
    <row r="1967" spans="2:15">
      <c r="B1967" s="12">
        <v>17</v>
      </c>
      <c r="C1967" s="4" t="s">
        <v>151</v>
      </c>
      <c r="D1967" s="4" t="s">
        <v>154</v>
      </c>
      <c r="E1967" s="4">
        <v>5</v>
      </c>
      <c r="F1967" s="4">
        <v>6</v>
      </c>
      <c r="G1967" s="4">
        <v>6</v>
      </c>
      <c r="H1967" s="115"/>
      <c r="I1967" s="115"/>
      <c r="J1967" s="115"/>
      <c r="K1967" s="115">
        <v>0</v>
      </c>
      <c r="L1967" s="12">
        <f t="shared" si="132"/>
        <v>0</v>
      </c>
      <c r="M1967" s="4">
        <f t="shared" si="133"/>
        <v>0</v>
      </c>
      <c r="N1967" s="4">
        <f t="shared" si="134"/>
        <v>0</v>
      </c>
      <c r="O1967" s="13">
        <f t="shared" si="135"/>
        <v>0</v>
      </c>
    </row>
    <row r="1968" spans="2:15">
      <c r="B1968" s="12">
        <v>17</v>
      </c>
      <c r="C1968" s="4" t="s">
        <v>151</v>
      </c>
      <c r="D1968" s="4" t="s">
        <v>154</v>
      </c>
      <c r="E1968" s="4">
        <v>5</v>
      </c>
      <c r="F1968" s="4">
        <v>6</v>
      </c>
      <c r="G1968" s="4">
        <v>7</v>
      </c>
      <c r="H1968" s="115"/>
      <c r="I1968" s="115"/>
      <c r="J1968" s="115"/>
      <c r="K1968" s="115">
        <v>0</v>
      </c>
      <c r="L1968" s="12">
        <f t="shared" si="132"/>
        <v>0</v>
      </c>
      <c r="M1968" s="4">
        <f t="shared" si="133"/>
        <v>0</v>
      </c>
      <c r="N1968" s="4">
        <f t="shared" si="134"/>
        <v>0</v>
      </c>
      <c r="O1968" s="13">
        <f t="shared" si="135"/>
        <v>0</v>
      </c>
    </row>
    <row r="1969" spans="2:15">
      <c r="B1969" s="12">
        <v>17</v>
      </c>
      <c r="C1969" s="4" t="s">
        <v>151</v>
      </c>
      <c r="D1969" s="4" t="s">
        <v>154</v>
      </c>
      <c r="E1969" s="4">
        <v>5</v>
      </c>
      <c r="F1969" s="4">
        <v>6</v>
      </c>
      <c r="G1969" s="4">
        <v>8</v>
      </c>
      <c r="H1969" s="115"/>
      <c r="I1969" s="115"/>
      <c r="J1969" s="115"/>
      <c r="K1969" s="115">
        <v>0</v>
      </c>
      <c r="L1969" s="12">
        <f t="shared" si="132"/>
        <v>0</v>
      </c>
      <c r="M1969" s="4">
        <f t="shared" si="133"/>
        <v>0</v>
      </c>
      <c r="N1969" s="4">
        <f t="shared" si="134"/>
        <v>0</v>
      </c>
      <c r="O1969" s="13">
        <f t="shared" si="135"/>
        <v>0</v>
      </c>
    </row>
    <row r="1970" spans="2:15">
      <c r="B1970" s="12">
        <v>17</v>
      </c>
      <c r="C1970" s="4" t="s">
        <v>151</v>
      </c>
      <c r="D1970" s="4" t="s">
        <v>154</v>
      </c>
      <c r="E1970" s="4">
        <v>5</v>
      </c>
      <c r="F1970" s="4">
        <v>6</v>
      </c>
      <c r="G1970" s="4">
        <v>9</v>
      </c>
      <c r="H1970" s="115"/>
      <c r="I1970" s="115"/>
      <c r="J1970" s="115"/>
      <c r="K1970" s="115">
        <v>0</v>
      </c>
      <c r="L1970" s="12">
        <f t="shared" si="132"/>
        <v>0</v>
      </c>
      <c r="M1970" s="4">
        <f t="shared" si="133"/>
        <v>0</v>
      </c>
      <c r="N1970" s="4">
        <f t="shared" si="134"/>
        <v>0</v>
      </c>
      <c r="O1970" s="13">
        <f t="shared" si="135"/>
        <v>0</v>
      </c>
    </row>
    <row r="1971" spans="2:15" ht="13.8" thickBot="1">
      <c r="B1971" s="14">
        <v>17</v>
      </c>
      <c r="C1971" s="15" t="s">
        <v>151</v>
      </c>
      <c r="D1971" s="15" t="s">
        <v>154</v>
      </c>
      <c r="E1971" s="15">
        <v>5</v>
      </c>
      <c r="F1971" s="15">
        <v>6</v>
      </c>
      <c r="G1971" s="15">
        <v>10</v>
      </c>
      <c r="H1971" s="121"/>
      <c r="I1971" s="121"/>
      <c r="J1971" s="121"/>
      <c r="K1971" s="121">
        <v>0</v>
      </c>
      <c r="L1971" s="14">
        <f t="shared" si="132"/>
        <v>0</v>
      </c>
      <c r="M1971" s="15">
        <f t="shared" si="133"/>
        <v>0</v>
      </c>
      <c r="N1971" s="15">
        <f t="shared" si="134"/>
        <v>0</v>
      </c>
      <c r="O1971" s="16">
        <f t="shared" si="135"/>
        <v>0</v>
      </c>
    </row>
    <row r="1972" spans="2:15">
      <c r="B1972" s="9">
        <v>17</v>
      </c>
      <c r="C1972" s="10" t="s">
        <v>151</v>
      </c>
      <c r="D1972" s="10" t="s">
        <v>150</v>
      </c>
      <c r="E1972" s="93">
        <v>6</v>
      </c>
      <c r="F1972" s="93">
        <v>4</v>
      </c>
      <c r="G1972" s="10">
        <v>1</v>
      </c>
      <c r="H1972" s="120">
        <v>2.1800000000000068</v>
      </c>
      <c r="I1972" s="120"/>
      <c r="J1972" s="120">
        <v>0.21699999999998454</v>
      </c>
      <c r="K1972" s="120">
        <v>2.3969999999999914</v>
      </c>
      <c r="L1972" s="9">
        <f t="shared" si="132"/>
        <v>0.50242711998443357</v>
      </c>
      <c r="M1972" s="10">
        <f t="shared" si="133"/>
        <v>0</v>
      </c>
      <c r="N1972" s="10">
        <f t="shared" si="134"/>
        <v>8.5290578230059477E-2</v>
      </c>
      <c r="O1972" s="11">
        <f t="shared" si="135"/>
        <v>0.5310955468700268</v>
      </c>
    </row>
    <row r="1973" spans="2:15">
      <c r="B1973" s="12">
        <v>17</v>
      </c>
      <c r="C1973" s="4" t="s">
        <v>151</v>
      </c>
      <c r="D1973" s="4" t="s">
        <v>150</v>
      </c>
      <c r="E1973" s="4">
        <v>6</v>
      </c>
      <c r="F1973" s="4">
        <v>4</v>
      </c>
      <c r="G1973" s="4">
        <v>2</v>
      </c>
      <c r="H1973" s="115">
        <v>0.18299999999999272</v>
      </c>
      <c r="I1973" s="115">
        <v>0.28299999999995862</v>
      </c>
      <c r="J1973" s="115"/>
      <c r="K1973" s="115">
        <v>0.46599999999995134</v>
      </c>
      <c r="L1973" s="12">
        <f t="shared" si="132"/>
        <v>7.29847446279277E-2</v>
      </c>
      <c r="M1973" s="4">
        <f t="shared" si="133"/>
        <v>0.10822665637491449</v>
      </c>
      <c r="N1973" s="4">
        <f t="shared" si="134"/>
        <v>0</v>
      </c>
      <c r="O1973" s="13">
        <f t="shared" si="135"/>
        <v>0.16613397030509472</v>
      </c>
    </row>
    <row r="1974" spans="2:15">
      <c r="B1974" s="12">
        <v>17</v>
      </c>
      <c r="C1974" s="4" t="s">
        <v>151</v>
      </c>
      <c r="D1974" s="4" t="s">
        <v>150</v>
      </c>
      <c r="E1974" s="4">
        <v>6</v>
      </c>
      <c r="F1974" s="4">
        <v>4</v>
      </c>
      <c r="G1974" s="4">
        <v>3</v>
      </c>
      <c r="H1974" s="115"/>
      <c r="I1974" s="115"/>
      <c r="J1974" s="115"/>
      <c r="K1974" s="115">
        <v>0</v>
      </c>
      <c r="L1974" s="12">
        <f t="shared" si="132"/>
        <v>0</v>
      </c>
      <c r="M1974" s="4">
        <f t="shared" si="133"/>
        <v>0</v>
      </c>
      <c r="N1974" s="4">
        <f t="shared" si="134"/>
        <v>0</v>
      </c>
      <c r="O1974" s="13">
        <f t="shared" si="135"/>
        <v>0</v>
      </c>
    </row>
    <row r="1975" spans="2:15">
      <c r="B1975" s="12">
        <v>17</v>
      </c>
      <c r="C1975" s="4" t="s">
        <v>151</v>
      </c>
      <c r="D1975" s="4" t="s">
        <v>150</v>
      </c>
      <c r="E1975" s="4">
        <v>6</v>
      </c>
      <c r="F1975" s="4">
        <v>4</v>
      </c>
      <c r="G1975" s="4">
        <v>4</v>
      </c>
      <c r="H1975" s="115"/>
      <c r="I1975" s="115"/>
      <c r="J1975" s="115"/>
      <c r="K1975" s="115">
        <v>0</v>
      </c>
      <c r="L1975" s="12">
        <f t="shared" si="132"/>
        <v>0</v>
      </c>
      <c r="M1975" s="4">
        <f t="shared" si="133"/>
        <v>0</v>
      </c>
      <c r="N1975" s="4">
        <f t="shared" si="134"/>
        <v>0</v>
      </c>
      <c r="O1975" s="13">
        <f t="shared" si="135"/>
        <v>0</v>
      </c>
    </row>
    <row r="1976" spans="2:15">
      <c r="B1976" s="12">
        <v>17</v>
      </c>
      <c r="C1976" s="4" t="s">
        <v>151</v>
      </c>
      <c r="D1976" s="4" t="s">
        <v>150</v>
      </c>
      <c r="E1976" s="4">
        <v>6</v>
      </c>
      <c r="F1976" s="4">
        <v>4</v>
      </c>
      <c r="G1976" s="4">
        <v>5</v>
      </c>
      <c r="H1976" s="115"/>
      <c r="I1976" s="115"/>
      <c r="J1976" s="115"/>
      <c r="K1976" s="115">
        <v>0</v>
      </c>
      <c r="L1976" s="12">
        <f t="shared" si="132"/>
        <v>0</v>
      </c>
      <c r="M1976" s="4">
        <f t="shared" si="133"/>
        <v>0</v>
      </c>
      <c r="N1976" s="4">
        <f t="shared" si="134"/>
        <v>0</v>
      </c>
      <c r="O1976" s="13">
        <f t="shared" si="135"/>
        <v>0</v>
      </c>
    </row>
    <row r="1977" spans="2:15">
      <c r="B1977" s="12">
        <v>17</v>
      </c>
      <c r="C1977" s="4" t="s">
        <v>151</v>
      </c>
      <c r="D1977" s="4" t="s">
        <v>150</v>
      </c>
      <c r="E1977" s="4">
        <v>6</v>
      </c>
      <c r="F1977" s="4">
        <v>4</v>
      </c>
      <c r="G1977" s="4">
        <v>6</v>
      </c>
      <c r="H1977" s="115"/>
      <c r="I1977" s="115"/>
      <c r="J1977" s="115"/>
      <c r="K1977" s="115">
        <v>0</v>
      </c>
      <c r="L1977" s="12">
        <f t="shared" si="132"/>
        <v>0</v>
      </c>
      <c r="M1977" s="4">
        <f t="shared" si="133"/>
        <v>0</v>
      </c>
      <c r="N1977" s="4">
        <f t="shared" si="134"/>
        <v>0</v>
      </c>
      <c r="O1977" s="13">
        <f t="shared" si="135"/>
        <v>0</v>
      </c>
    </row>
    <row r="1978" spans="2:15">
      <c r="B1978" s="12">
        <v>17</v>
      </c>
      <c r="C1978" s="4" t="s">
        <v>151</v>
      </c>
      <c r="D1978" s="4" t="s">
        <v>150</v>
      </c>
      <c r="E1978" s="4">
        <v>6</v>
      </c>
      <c r="F1978" s="4">
        <v>4</v>
      </c>
      <c r="G1978" s="4">
        <v>7</v>
      </c>
      <c r="H1978" s="115"/>
      <c r="I1978" s="115"/>
      <c r="J1978" s="115"/>
      <c r="K1978" s="115">
        <v>0</v>
      </c>
      <c r="L1978" s="12">
        <f t="shared" si="132"/>
        <v>0</v>
      </c>
      <c r="M1978" s="4">
        <f t="shared" si="133"/>
        <v>0</v>
      </c>
      <c r="N1978" s="4">
        <f t="shared" si="134"/>
        <v>0</v>
      </c>
      <c r="O1978" s="13">
        <f t="shared" si="135"/>
        <v>0</v>
      </c>
    </row>
    <row r="1979" spans="2:15">
      <c r="B1979" s="12">
        <v>17</v>
      </c>
      <c r="C1979" s="4" t="s">
        <v>151</v>
      </c>
      <c r="D1979" s="4" t="s">
        <v>150</v>
      </c>
      <c r="E1979" s="4">
        <v>6</v>
      </c>
      <c r="F1979" s="4">
        <v>4</v>
      </c>
      <c r="G1979" s="4">
        <v>8</v>
      </c>
      <c r="H1979" s="115"/>
      <c r="I1979" s="115"/>
      <c r="J1979" s="115"/>
      <c r="K1979" s="115">
        <v>0</v>
      </c>
      <c r="L1979" s="12">
        <f t="shared" si="132"/>
        <v>0</v>
      </c>
      <c r="M1979" s="4">
        <f t="shared" si="133"/>
        <v>0</v>
      </c>
      <c r="N1979" s="4">
        <f t="shared" si="134"/>
        <v>0</v>
      </c>
      <c r="O1979" s="13">
        <f t="shared" si="135"/>
        <v>0</v>
      </c>
    </row>
    <row r="1980" spans="2:15">
      <c r="B1980" s="12">
        <v>17</v>
      </c>
      <c r="C1980" s="4" t="s">
        <v>151</v>
      </c>
      <c r="D1980" s="4" t="s">
        <v>150</v>
      </c>
      <c r="E1980" s="4">
        <v>6</v>
      </c>
      <c r="F1980" s="4">
        <v>4</v>
      </c>
      <c r="G1980" s="4">
        <v>9</v>
      </c>
      <c r="H1980" s="115"/>
      <c r="I1980" s="115"/>
      <c r="J1980" s="115"/>
      <c r="K1980" s="115">
        <v>0</v>
      </c>
      <c r="L1980" s="12">
        <f t="shared" si="132"/>
        <v>0</v>
      </c>
      <c r="M1980" s="4">
        <f t="shared" si="133"/>
        <v>0</v>
      </c>
      <c r="N1980" s="4">
        <f t="shared" si="134"/>
        <v>0</v>
      </c>
      <c r="O1980" s="13">
        <f t="shared" si="135"/>
        <v>0</v>
      </c>
    </row>
    <row r="1981" spans="2:15" ht="13.8" thickBot="1">
      <c r="B1981" s="14">
        <v>17</v>
      </c>
      <c r="C1981" s="15" t="s">
        <v>151</v>
      </c>
      <c r="D1981" s="15" t="s">
        <v>150</v>
      </c>
      <c r="E1981" s="15">
        <v>6</v>
      </c>
      <c r="F1981" s="15">
        <v>4</v>
      </c>
      <c r="G1981" s="15">
        <v>10</v>
      </c>
      <c r="H1981" s="121"/>
      <c r="I1981" s="121"/>
      <c r="J1981" s="121"/>
      <c r="K1981" s="121">
        <v>0</v>
      </c>
      <c r="L1981" s="14">
        <f t="shared" si="132"/>
        <v>0</v>
      </c>
      <c r="M1981" s="15">
        <f t="shared" si="133"/>
        <v>0</v>
      </c>
      <c r="N1981" s="15">
        <f t="shared" si="134"/>
        <v>0</v>
      </c>
      <c r="O1981" s="16">
        <f t="shared" si="135"/>
        <v>0</v>
      </c>
    </row>
    <row r="1982" spans="2:15">
      <c r="B1982" s="9">
        <v>17</v>
      </c>
      <c r="C1982" s="10" t="s">
        <v>152</v>
      </c>
      <c r="D1982" s="10" t="s">
        <v>149</v>
      </c>
      <c r="E1982" s="93">
        <v>7</v>
      </c>
      <c r="F1982" s="93">
        <v>11</v>
      </c>
      <c r="G1982" s="10">
        <v>1</v>
      </c>
      <c r="H1982" s="120">
        <v>5.067000000000121</v>
      </c>
      <c r="I1982" s="120">
        <v>1.4830000000001746</v>
      </c>
      <c r="J1982" s="120">
        <v>2.2000000000001592</v>
      </c>
      <c r="K1982" s="120">
        <v>8.7500000000004547</v>
      </c>
      <c r="L1982" s="9">
        <f t="shared" si="132"/>
        <v>0.78297399494405695</v>
      </c>
      <c r="M1982" s="10">
        <f t="shared" si="133"/>
        <v>0.39497671955459485</v>
      </c>
      <c r="N1982" s="10">
        <f t="shared" si="134"/>
        <v>0.50514997831992758</v>
      </c>
      <c r="O1982" s="11">
        <f t="shared" si="135"/>
        <v>0.98900461569855702</v>
      </c>
    </row>
    <row r="1983" spans="2:15">
      <c r="B1983" s="12">
        <v>17</v>
      </c>
      <c r="C1983" s="4" t="s">
        <v>152</v>
      </c>
      <c r="D1983" s="4" t="s">
        <v>149</v>
      </c>
      <c r="E1983" s="4">
        <v>7</v>
      </c>
      <c r="F1983" s="4">
        <v>11</v>
      </c>
      <c r="G1983" s="4">
        <v>2</v>
      </c>
      <c r="H1983" s="115">
        <v>0.31700000000000728</v>
      </c>
      <c r="I1983" s="115"/>
      <c r="J1983" s="115"/>
      <c r="K1983" s="115">
        <v>0.31700000000000728</v>
      </c>
      <c r="L1983" s="12">
        <f t="shared" si="132"/>
        <v>0.11958577496178621</v>
      </c>
      <c r="M1983" s="4">
        <f t="shared" si="133"/>
        <v>0</v>
      </c>
      <c r="N1983" s="4">
        <f t="shared" si="134"/>
        <v>0</v>
      </c>
      <c r="O1983" s="13">
        <f t="shared" si="135"/>
        <v>0.11958577496178621</v>
      </c>
    </row>
    <row r="1984" spans="2:15">
      <c r="B1984" s="12">
        <v>17</v>
      </c>
      <c r="C1984" s="4" t="s">
        <v>152</v>
      </c>
      <c r="D1984" s="4" t="s">
        <v>149</v>
      </c>
      <c r="E1984" s="4">
        <v>7</v>
      </c>
      <c r="F1984" s="4">
        <v>11</v>
      </c>
      <c r="G1984" s="4">
        <v>3</v>
      </c>
      <c r="H1984" s="115"/>
      <c r="I1984" s="115"/>
      <c r="J1984" s="115"/>
      <c r="K1984" s="115">
        <v>0</v>
      </c>
      <c r="L1984" s="12">
        <f t="shared" si="132"/>
        <v>0</v>
      </c>
      <c r="M1984" s="4">
        <f t="shared" si="133"/>
        <v>0</v>
      </c>
      <c r="N1984" s="4">
        <f t="shared" si="134"/>
        <v>0</v>
      </c>
      <c r="O1984" s="13">
        <f t="shared" si="135"/>
        <v>0</v>
      </c>
    </row>
    <row r="1985" spans="2:15">
      <c r="B1985" s="12">
        <v>17</v>
      </c>
      <c r="C1985" s="4" t="s">
        <v>152</v>
      </c>
      <c r="D1985" s="4" t="s">
        <v>149</v>
      </c>
      <c r="E1985" s="4">
        <v>7</v>
      </c>
      <c r="F1985" s="4">
        <v>11</v>
      </c>
      <c r="G1985" s="4">
        <v>4</v>
      </c>
      <c r="H1985" s="115"/>
      <c r="I1985" s="115"/>
      <c r="J1985" s="115"/>
      <c r="K1985" s="115">
        <v>0</v>
      </c>
      <c r="L1985" s="12">
        <f t="shared" si="132"/>
        <v>0</v>
      </c>
      <c r="M1985" s="4">
        <f t="shared" si="133"/>
        <v>0</v>
      </c>
      <c r="N1985" s="4">
        <f t="shared" si="134"/>
        <v>0</v>
      </c>
      <c r="O1985" s="13">
        <f t="shared" si="135"/>
        <v>0</v>
      </c>
    </row>
    <row r="1986" spans="2:15">
      <c r="B1986" s="12">
        <v>17</v>
      </c>
      <c r="C1986" s="4" t="s">
        <v>152</v>
      </c>
      <c r="D1986" s="4" t="s">
        <v>149</v>
      </c>
      <c r="E1986" s="4">
        <v>7</v>
      </c>
      <c r="F1986" s="4">
        <v>11</v>
      </c>
      <c r="G1986" s="4">
        <v>5</v>
      </c>
      <c r="H1986" s="115"/>
      <c r="I1986" s="115"/>
      <c r="J1986" s="115"/>
      <c r="K1986" s="115">
        <v>0</v>
      </c>
      <c r="L1986" s="12">
        <f t="shared" si="132"/>
        <v>0</v>
      </c>
      <c r="M1986" s="4">
        <f t="shared" si="133"/>
        <v>0</v>
      </c>
      <c r="N1986" s="4">
        <f t="shared" si="134"/>
        <v>0</v>
      </c>
      <c r="O1986" s="13">
        <f t="shared" si="135"/>
        <v>0</v>
      </c>
    </row>
    <row r="1987" spans="2:15">
      <c r="B1987" s="12">
        <v>17</v>
      </c>
      <c r="C1987" s="4" t="s">
        <v>152</v>
      </c>
      <c r="D1987" s="4" t="s">
        <v>149</v>
      </c>
      <c r="E1987" s="4">
        <v>7</v>
      </c>
      <c r="F1987" s="4">
        <v>11</v>
      </c>
      <c r="G1987" s="4">
        <v>6</v>
      </c>
      <c r="H1987" s="115"/>
      <c r="I1987" s="115"/>
      <c r="J1987" s="115"/>
      <c r="K1987" s="115">
        <v>0</v>
      </c>
      <c r="L1987" s="12">
        <f t="shared" si="132"/>
        <v>0</v>
      </c>
      <c r="M1987" s="4">
        <f t="shared" si="133"/>
        <v>0</v>
      </c>
      <c r="N1987" s="4">
        <f t="shared" si="134"/>
        <v>0</v>
      </c>
      <c r="O1987" s="13">
        <f t="shared" si="135"/>
        <v>0</v>
      </c>
    </row>
    <row r="1988" spans="2:15">
      <c r="B1988" s="12">
        <v>17</v>
      </c>
      <c r="C1988" s="4" t="s">
        <v>152</v>
      </c>
      <c r="D1988" s="4" t="s">
        <v>149</v>
      </c>
      <c r="E1988" s="4">
        <v>7</v>
      </c>
      <c r="F1988" s="4">
        <v>11</v>
      </c>
      <c r="G1988" s="4">
        <v>7</v>
      </c>
      <c r="H1988" s="115"/>
      <c r="I1988" s="115"/>
      <c r="J1988" s="115"/>
      <c r="K1988" s="115">
        <v>0</v>
      </c>
      <c r="L1988" s="12">
        <f t="shared" si="132"/>
        <v>0</v>
      </c>
      <c r="M1988" s="4">
        <f t="shared" si="133"/>
        <v>0</v>
      </c>
      <c r="N1988" s="4">
        <f t="shared" si="134"/>
        <v>0</v>
      </c>
      <c r="O1988" s="13">
        <f t="shared" si="135"/>
        <v>0</v>
      </c>
    </row>
    <row r="1989" spans="2:15">
      <c r="B1989" s="12">
        <v>17</v>
      </c>
      <c r="C1989" s="4" t="s">
        <v>152</v>
      </c>
      <c r="D1989" s="4" t="s">
        <v>149</v>
      </c>
      <c r="E1989" s="4">
        <v>7</v>
      </c>
      <c r="F1989" s="4">
        <v>11</v>
      </c>
      <c r="G1989" s="4">
        <v>8</v>
      </c>
      <c r="H1989" s="115"/>
      <c r="I1989" s="115"/>
      <c r="J1989" s="115"/>
      <c r="K1989" s="115">
        <v>0</v>
      </c>
      <c r="L1989" s="12">
        <f t="shared" si="132"/>
        <v>0</v>
      </c>
      <c r="M1989" s="4">
        <f t="shared" si="133"/>
        <v>0</v>
      </c>
      <c r="N1989" s="4">
        <f t="shared" si="134"/>
        <v>0</v>
      </c>
      <c r="O1989" s="13">
        <f t="shared" si="135"/>
        <v>0</v>
      </c>
    </row>
    <row r="1990" spans="2:15">
      <c r="B1990" s="12">
        <v>17</v>
      </c>
      <c r="C1990" s="4" t="s">
        <v>152</v>
      </c>
      <c r="D1990" s="4" t="s">
        <v>149</v>
      </c>
      <c r="E1990" s="4">
        <v>7</v>
      </c>
      <c r="F1990" s="4">
        <v>11</v>
      </c>
      <c r="G1990" s="4">
        <v>9</v>
      </c>
      <c r="H1990" s="115"/>
      <c r="I1990" s="115"/>
      <c r="J1990" s="115"/>
      <c r="K1990" s="115">
        <v>0</v>
      </c>
      <c r="L1990" s="12">
        <f t="shared" si="132"/>
        <v>0</v>
      </c>
      <c r="M1990" s="4">
        <f t="shared" si="133"/>
        <v>0</v>
      </c>
      <c r="N1990" s="4">
        <f t="shared" si="134"/>
        <v>0</v>
      </c>
      <c r="O1990" s="13">
        <f t="shared" si="135"/>
        <v>0</v>
      </c>
    </row>
    <row r="1991" spans="2:15" ht="13.8" thickBot="1">
      <c r="B1991" s="14">
        <v>17</v>
      </c>
      <c r="C1991" s="15" t="s">
        <v>152</v>
      </c>
      <c r="D1991" s="15" t="s">
        <v>149</v>
      </c>
      <c r="E1991" s="15">
        <v>7</v>
      </c>
      <c r="F1991" s="15">
        <v>11</v>
      </c>
      <c r="G1991" s="15">
        <v>10</v>
      </c>
      <c r="H1991" s="121"/>
      <c r="I1991" s="121"/>
      <c r="J1991" s="121"/>
      <c r="K1991" s="121">
        <v>0</v>
      </c>
      <c r="L1991" s="14">
        <f t="shared" si="132"/>
        <v>0</v>
      </c>
      <c r="M1991" s="15">
        <f t="shared" si="133"/>
        <v>0</v>
      </c>
      <c r="N1991" s="15">
        <f t="shared" si="134"/>
        <v>0</v>
      </c>
      <c r="O1991" s="16">
        <f t="shared" si="135"/>
        <v>0</v>
      </c>
    </row>
    <row r="1992" spans="2:15">
      <c r="B1992" s="9">
        <v>17</v>
      </c>
      <c r="C1992" s="10" t="s">
        <v>152</v>
      </c>
      <c r="D1992" s="10" t="s">
        <v>149</v>
      </c>
      <c r="E1992" s="93">
        <v>8</v>
      </c>
      <c r="F1992" s="93">
        <v>9</v>
      </c>
      <c r="G1992" s="10">
        <v>1</v>
      </c>
      <c r="H1992" s="120">
        <v>4.5030000000002701</v>
      </c>
      <c r="I1992" s="120">
        <v>1.3170000000000073</v>
      </c>
      <c r="J1992" s="120">
        <v>5.849999999999568</v>
      </c>
      <c r="K1992" s="120">
        <v>11.669999999999845</v>
      </c>
      <c r="L1992" s="9">
        <f t="shared" si="132"/>
        <v>0.74059951281117786</v>
      </c>
      <c r="M1992" s="10">
        <f t="shared" si="133"/>
        <v>0.36492603378997696</v>
      </c>
      <c r="N1992" s="10">
        <f t="shared" si="134"/>
        <v>0.83569057149239823</v>
      </c>
      <c r="O1992" s="11">
        <f t="shared" si="135"/>
        <v>1.1027766148834361</v>
      </c>
    </row>
    <row r="1993" spans="2:15">
      <c r="B1993" s="12">
        <v>17</v>
      </c>
      <c r="C1993" s="4" t="s">
        <v>152</v>
      </c>
      <c r="D1993" s="4" t="s">
        <v>149</v>
      </c>
      <c r="E1993" s="4">
        <v>8</v>
      </c>
      <c r="F1993" s="4">
        <v>9</v>
      </c>
      <c r="G1993" s="4">
        <v>2</v>
      </c>
      <c r="H1993" s="115">
        <v>0.2660000000000764</v>
      </c>
      <c r="I1993" s="115"/>
      <c r="J1993" s="115">
        <v>0.86599999999998545</v>
      </c>
      <c r="K1993" s="115">
        <v>1.1320000000000618</v>
      </c>
      <c r="L1993" s="12">
        <f t="shared" si="132"/>
        <v>0.10243370568136251</v>
      </c>
      <c r="M1993" s="4">
        <f t="shared" si="133"/>
        <v>0</v>
      </c>
      <c r="N1993" s="4">
        <f t="shared" si="134"/>
        <v>0.27091163941047774</v>
      </c>
      <c r="O1993" s="13">
        <f t="shared" si="135"/>
        <v>0.32878720035454723</v>
      </c>
    </row>
    <row r="1994" spans="2:15">
      <c r="B1994" s="12">
        <v>17</v>
      </c>
      <c r="C1994" s="4" t="s">
        <v>152</v>
      </c>
      <c r="D1994" s="4" t="s">
        <v>149</v>
      </c>
      <c r="E1994" s="4">
        <v>8</v>
      </c>
      <c r="F1994" s="4">
        <v>9</v>
      </c>
      <c r="G1994" s="4">
        <v>3</v>
      </c>
      <c r="H1994" s="115"/>
      <c r="I1994" s="115"/>
      <c r="J1994" s="115">
        <v>0.18299999999999272</v>
      </c>
      <c r="K1994" s="115">
        <v>0.18299999999999272</v>
      </c>
      <c r="L1994" s="12">
        <f t="shared" si="132"/>
        <v>0</v>
      </c>
      <c r="M1994" s="4">
        <f t="shared" si="133"/>
        <v>0</v>
      </c>
      <c r="N1994" s="4">
        <f t="shared" si="134"/>
        <v>7.29847446279277E-2</v>
      </c>
      <c r="O1994" s="13">
        <f t="shared" si="135"/>
        <v>7.29847446279277E-2</v>
      </c>
    </row>
    <row r="1995" spans="2:15">
      <c r="B1995" s="12">
        <v>17</v>
      </c>
      <c r="C1995" s="4" t="s">
        <v>152</v>
      </c>
      <c r="D1995" s="4" t="s">
        <v>149</v>
      </c>
      <c r="E1995" s="4">
        <v>8</v>
      </c>
      <c r="F1995" s="4">
        <v>9</v>
      </c>
      <c r="G1995" s="4">
        <v>4</v>
      </c>
      <c r="H1995" s="115"/>
      <c r="I1995" s="115"/>
      <c r="J1995" s="115"/>
      <c r="K1995" s="115">
        <v>0</v>
      </c>
      <c r="L1995" s="12">
        <f t="shared" si="132"/>
        <v>0</v>
      </c>
      <c r="M1995" s="4">
        <f t="shared" si="133"/>
        <v>0</v>
      </c>
      <c r="N1995" s="4">
        <f t="shared" si="134"/>
        <v>0</v>
      </c>
      <c r="O1995" s="13">
        <f t="shared" si="135"/>
        <v>0</v>
      </c>
    </row>
    <row r="1996" spans="2:15">
      <c r="B1996" s="12">
        <v>17</v>
      </c>
      <c r="C1996" s="4" t="s">
        <v>152</v>
      </c>
      <c r="D1996" s="4" t="s">
        <v>149</v>
      </c>
      <c r="E1996" s="4">
        <v>8</v>
      </c>
      <c r="F1996" s="4">
        <v>9</v>
      </c>
      <c r="G1996" s="4">
        <v>5</v>
      </c>
      <c r="H1996" s="115"/>
      <c r="I1996" s="115"/>
      <c r="J1996" s="115"/>
      <c r="K1996" s="115">
        <v>0</v>
      </c>
      <c r="L1996" s="12">
        <f t="shared" si="132"/>
        <v>0</v>
      </c>
      <c r="M1996" s="4">
        <f t="shared" si="133"/>
        <v>0</v>
      </c>
      <c r="N1996" s="4">
        <f t="shared" si="134"/>
        <v>0</v>
      </c>
      <c r="O1996" s="13">
        <f t="shared" si="135"/>
        <v>0</v>
      </c>
    </row>
    <row r="1997" spans="2:15">
      <c r="B1997" s="12">
        <v>17</v>
      </c>
      <c r="C1997" s="4" t="s">
        <v>152</v>
      </c>
      <c r="D1997" s="4" t="s">
        <v>149</v>
      </c>
      <c r="E1997" s="4">
        <v>8</v>
      </c>
      <c r="F1997" s="4">
        <v>9</v>
      </c>
      <c r="G1997" s="4">
        <v>6</v>
      </c>
      <c r="H1997" s="115"/>
      <c r="I1997" s="115"/>
      <c r="J1997" s="115"/>
      <c r="K1997" s="115">
        <v>0</v>
      </c>
      <c r="L1997" s="12">
        <f t="shared" si="132"/>
        <v>0</v>
      </c>
      <c r="M1997" s="4">
        <f t="shared" si="133"/>
        <v>0</v>
      </c>
      <c r="N1997" s="4">
        <f t="shared" si="134"/>
        <v>0</v>
      </c>
      <c r="O1997" s="13">
        <f t="shared" si="135"/>
        <v>0</v>
      </c>
    </row>
    <row r="1998" spans="2:15">
      <c r="B1998" s="12">
        <v>17</v>
      </c>
      <c r="C1998" s="4" t="s">
        <v>152</v>
      </c>
      <c r="D1998" s="4" t="s">
        <v>149</v>
      </c>
      <c r="E1998" s="4">
        <v>8</v>
      </c>
      <c r="F1998" s="4">
        <v>9</v>
      </c>
      <c r="G1998" s="4">
        <v>7</v>
      </c>
      <c r="H1998" s="115"/>
      <c r="I1998" s="115"/>
      <c r="J1998" s="115"/>
      <c r="K1998" s="115">
        <v>0</v>
      </c>
      <c r="L1998" s="12">
        <f t="shared" si="132"/>
        <v>0</v>
      </c>
      <c r="M1998" s="4">
        <f t="shared" si="133"/>
        <v>0</v>
      </c>
      <c r="N1998" s="4">
        <f t="shared" si="134"/>
        <v>0</v>
      </c>
      <c r="O1998" s="13">
        <f t="shared" si="135"/>
        <v>0</v>
      </c>
    </row>
    <row r="1999" spans="2:15">
      <c r="B1999" s="12">
        <v>17</v>
      </c>
      <c r="C1999" s="4" t="s">
        <v>152</v>
      </c>
      <c r="D1999" s="4" t="s">
        <v>149</v>
      </c>
      <c r="E1999" s="4">
        <v>8</v>
      </c>
      <c r="F1999" s="4">
        <v>9</v>
      </c>
      <c r="G1999" s="4">
        <v>8</v>
      </c>
      <c r="H1999" s="115"/>
      <c r="I1999" s="115"/>
      <c r="J1999" s="115"/>
      <c r="K1999" s="115">
        <v>0</v>
      </c>
      <c r="L1999" s="12">
        <f t="shared" si="132"/>
        <v>0</v>
      </c>
      <c r="M1999" s="4">
        <f t="shared" si="133"/>
        <v>0</v>
      </c>
      <c r="N1999" s="4">
        <f t="shared" si="134"/>
        <v>0</v>
      </c>
      <c r="O1999" s="13">
        <f t="shared" si="135"/>
        <v>0</v>
      </c>
    </row>
    <row r="2000" spans="2:15">
      <c r="B2000" s="12">
        <v>17</v>
      </c>
      <c r="C2000" s="4" t="s">
        <v>152</v>
      </c>
      <c r="D2000" s="4" t="s">
        <v>149</v>
      </c>
      <c r="E2000" s="4">
        <v>8</v>
      </c>
      <c r="F2000" s="4">
        <v>9</v>
      </c>
      <c r="G2000" s="4">
        <v>9</v>
      </c>
      <c r="H2000" s="115"/>
      <c r="I2000" s="115"/>
      <c r="J2000" s="115"/>
      <c r="K2000" s="115">
        <v>0</v>
      </c>
      <c r="L2000" s="12">
        <f t="shared" si="132"/>
        <v>0</v>
      </c>
      <c r="M2000" s="4">
        <f t="shared" si="133"/>
        <v>0</v>
      </c>
      <c r="N2000" s="4">
        <f t="shared" si="134"/>
        <v>0</v>
      </c>
      <c r="O2000" s="13">
        <f t="shared" si="135"/>
        <v>0</v>
      </c>
    </row>
    <row r="2001" spans="2:15" ht="13.8" thickBot="1">
      <c r="B2001" s="14">
        <v>17</v>
      </c>
      <c r="C2001" s="15" t="s">
        <v>152</v>
      </c>
      <c r="D2001" s="15" t="s">
        <v>149</v>
      </c>
      <c r="E2001" s="15">
        <v>8</v>
      </c>
      <c r="F2001" s="15">
        <v>9</v>
      </c>
      <c r="G2001" s="15">
        <v>10</v>
      </c>
      <c r="H2001" s="121"/>
      <c r="I2001" s="121"/>
      <c r="J2001" s="121"/>
      <c r="K2001" s="121">
        <v>0</v>
      </c>
      <c r="L2001" s="14">
        <f t="shared" si="132"/>
        <v>0</v>
      </c>
      <c r="M2001" s="15">
        <f t="shared" si="133"/>
        <v>0</v>
      </c>
      <c r="N2001" s="15">
        <f t="shared" si="134"/>
        <v>0</v>
      </c>
      <c r="O2001" s="16">
        <f t="shared" si="135"/>
        <v>0</v>
      </c>
    </row>
    <row r="2002" spans="2:15">
      <c r="B2002" s="9">
        <v>17</v>
      </c>
      <c r="C2002" s="10" t="s">
        <v>152</v>
      </c>
      <c r="D2002" s="10" t="s">
        <v>150</v>
      </c>
      <c r="E2002" s="93">
        <v>9</v>
      </c>
      <c r="F2002" s="93">
        <v>1</v>
      </c>
      <c r="G2002" s="10">
        <v>1</v>
      </c>
      <c r="H2002" s="120">
        <v>6.0319999999999681</v>
      </c>
      <c r="I2002" s="120">
        <v>1.1500000000000057</v>
      </c>
      <c r="J2002" s="120">
        <v>0.73299999999998988</v>
      </c>
      <c r="K2002" s="120">
        <v>7.9149999999999636</v>
      </c>
      <c r="L2002" s="9">
        <f t="shared" si="132"/>
        <v>0.84707886206571348</v>
      </c>
      <c r="M2002" s="10">
        <f t="shared" si="133"/>
        <v>0.3324384599156065</v>
      </c>
      <c r="N2002" s="10">
        <f t="shared" si="134"/>
        <v>0.23879856271391448</v>
      </c>
      <c r="O2002" s="11">
        <f t="shared" si="135"/>
        <v>0.95012134751137167</v>
      </c>
    </row>
    <row r="2003" spans="2:15">
      <c r="B2003" s="12">
        <v>17</v>
      </c>
      <c r="C2003" s="4" t="s">
        <v>152</v>
      </c>
      <c r="D2003" s="4" t="s">
        <v>150</v>
      </c>
      <c r="E2003" s="4">
        <v>9</v>
      </c>
      <c r="F2003" s="4">
        <v>1</v>
      </c>
      <c r="G2003" s="4">
        <v>2</v>
      </c>
      <c r="H2003" s="115">
        <v>0.95000000000001705</v>
      </c>
      <c r="I2003" s="115">
        <v>0.11599999999999966</v>
      </c>
      <c r="J2003" s="115">
        <v>0.28199999999999648</v>
      </c>
      <c r="K2003" s="115">
        <v>1.3480000000000132</v>
      </c>
      <c r="L2003" s="12">
        <f t="shared" si="132"/>
        <v>0.29003461136252179</v>
      </c>
      <c r="M2003" s="4">
        <f t="shared" si="133"/>
        <v>4.7664194601559809E-2</v>
      </c>
      <c r="N2003" s="4">
        <f t="shared" si="134"/>
        <v>0.10788802518279743</v>
      </c>
      <c r="O2003" s="13">
        <f t="shared" si="135"/>
        <v>0.37069809257557929</v>
      </c>
    </row>
    <row r="2004" spans="2:15">
      <c r="B2004" s="12">
        <v>17</v>
      </c>
      <c r="C2004" s="4" t="s">
        <v>152</v>
      </c>
      <c r="D2004" s="4" t="s">
        <v>150</v>
      </c>
      <c r="E2004" s="4">
        <v>9</v>
      </c>
      <c r="F2004" s="4">
        <v>1</v>
      </c>
      <c r="G2004" s="4">
        <v>3</v>
      </c>
      <c r="H2004" s="115"/>
      <c r="I2004" s="115"/>
      <c r="J2004" s="115"/>
      <c r="K2004" s="115">
        <v>0</v>
      </c>
      <c r="L2004" s="12">
        <f t="shared" si="132"/>
        <v>0</v>
      </c>
      <c r="M2004" s="4">
        <f t="shared" si="133"/>
        <v>0</v>
      </c>
      <c r="N2004" s="4">
        <f t="shared" si="134"/>
        <v>0</v>
      </c>
      <c r="O2004" s="13">
        <f t="shared" si="135"/>
        <v>0</v>
      </c>
    </row>
    <row r="2005" spans="2:15">
      <c r="B2005" s="12">
        <v>17</v>
      </c>
      <c r="C2005" s="4" t="s">
        <v>152</v>
      </c>
      <c r="D2005" s="4" t="s">
        <v>150</v>
      </c>
      <c r="E2005" s="4">
        <v>9</v>
      </c>
      <c r="F2005" s="4">
        <v>1</v>
      </c>
      <c r="G2005" s="4">
        <v>4</v>
      </c>
      <c r="H2005" s="115"/>
      <c r="I2005" s="115"/>
      <c r="J2005" s="115"/>
      <c r="K2005" s="115">
        <v>0</v>
      </c>
      <c r="L2005" s="12">
        <f t="shared" si="132"/>
        <v>0</v>
      </c>
      <c r="M2005" s="4">
        <f t="shared" si="133"/>
        <v>0</v>
      </c>
      <c r="N2005" s="4">
        <f t="shared" si="134"/>
        <v>0</v>
      </c>
      <c r="O2005" s="13">
        <f t="shared" si="135"/>
        <v>0</v>
      </c>
    </row>
    <row r="2006" spans="2:15">
      <c r="B2006" s="12">
        <v>17</v>
      </c>
      <c r="C2006" s="4" t="s">
        <v>152</v>
      </c>
      <c r="D2006" s="4" t="s">
        <v>150</v>
      </c>
      <c r="E2006" s="4">
        <v>9</v>
      </c>
      <c r="F2006" s="4">
        <v>1</v>
      </c>
      <c r="G2006" s="4">
        <v>5</v>
      </c>
      <c r="H2006" s="115"/>
      <c r="I2006" s="115"/>
      <c r="J2006" s="115"/>
      <c r="K2006" s="115">
        <v>0</v>
      </c>
      <c r="L2006" s="12">
        <f t="shared" si="132"/>
        <v>0</v>
      </c>
      <c r="M2006" s="4">
        <f t="shared" si="133"/>
        <v>0</v>
      </c>
      <c r="N2006" s="4">
        <f t="shared" si="134"/>
        <v>0</v>
      </c>
      <c r="O2006" s="13">
        <f t="shared" si="135"/>
        <v>0</v>
      </c>
    </row>
    <row r="2007" spans="2:15">
      <c r="B2007" s="12">
        <v>17</v>
      </c>
      <c r="C2007" s="4" t="s">
        <v>152</v>
      </c>
      <c r="D2007" s="4" t="s">
        <v>150</v>
      </c>
      <c r="E2007" s="4">
        <v>9</v>
      </c>
      <c r="F2007" s="4">
        <v>1</v>
      </c>
      <c r="G2007" s="4">
        <v>6</v>
      </c>
      <c r="H2007" s="115"/>
      <c r="I2007" s="115"/>
      <c r="J2007" s="115"/>
      <c r="K2007" s="115">
        <v>0</v>
      </c>
      <c r="L2007" s="12">
        <f t="shared" si="132"/>
        <v>0</v>
      </c>
      <c r="M2007" s="4">
        <f t="shared" si="133"/>
        <v>0</v>
      </c>
      <c r="N2007" s="4">
        <f t="shared" si="134"/>
        <v>0</v>
      </c>
      <c r="O2007" s="13">
        <f t="shared" si="135"/>
        <v>0</v>
      </c>
    </row>
    <row r="2008" spans="2:15">
      <c r="B2008" s="12">
        <v>17</v>
      </c>
      <c r="C2008" s="4" t="s">
        <v>152</v>
      </c>
      <c r="D2008" s="4" t="s">
        <v>150</v>
      </c>
      <c r="E2008" s="4">
        <v>9</v>
      </c>
      <c r="F2008" s="4">
        <v>1</v>
      </c>
      <c r="G2008" s="4">
        <v>7</v>
      </c>
      <c r="H2008" s="115"/>
      <c r="I2008" s="115"/>
      <c r="J2008" s="115"/>
      <c r="K2008" s="115">
        <v>0</v>
      </c>
      <c r="L2008" s="12">
        <f t="shared" si="132"/>
        <v>0</v>
      </c>
      <c r="M2008" s="4">
        <f t="shared" si="133"/>
        <v>0</v>
      </c>
      <c r="N2008" s="4">
        <f t="shared" si="134"/>
        <v>0</v>
      </c>
      <c r="O2008" s="13">
        <f t="shared" si="135"/>
        <v>0</v>
      </c>
    </row>
    <row r="2009" spans="2:15">
      <c r="B2009" s="12">
        <v>17</v>
      </c>
      <c r="C2009" s="4" t="s">
        <v>152</v>
      </c>
      <c r="D2009" s="4" t="s">
        <v>150</v>
      </c>
      <c r="E2009" s="4">
        <v>9</v>
      </c>
      <c r="F2009" s="4">
        <v>1</v>
      </c>
      <c r="G2009" s="4">
        <v>8</v>
      </c>
      <c r="H2009" s="115"/>
      <c r="I2009" s="115"/>
      <c r="J2009" s="115"/>
      <c r="K2009" s="115">
        <v>0</v>
      </c>
      <c r="L2009" s="12">
        <f t="shared" si="132"/>
        <v>0</v>
      </c>
      <c r="M2009" s="4">
        <f t="shared" si="133"/>
        <v>0</v>
      </c>
      <c r="N2009" s="4">
        <f t="shared" si="134"/>
        <v>0</v>
      </c>
      <c r="O2009" s="13">
        <f t="shared" si="135"/>
        <v>0</v>
      </c>
    </row>
    <row r="2010" spans="2:15">
      <c r="B2010" s="12">
        <v>17</v>
      </c>
      <c r="C2010" s="4" t="s">
        <v>152</v>
      </c>
      <c r="D2010" s="4" t="s">
        <v>150</v>
      </c>
      <c r="E2010" s="4">
        <v>9</v>
      </c>
      <c r="F2010" s="4">
        <v>1</v>
      </c>
      <c r="G2010" s="4">
        <v>9</v>
      </c>
      <c r="H2010" s="115"/>
      <c r="I2010" s="115"/>
      <c r="J2010" s="115"/>
      <c r="K2010" s="115">
        <v>0</v>
      </c>
      <c r="L2010" s="12">
        <f t="shared" si="132"/>
        <v>0</v>
      </c>
      <c r="M2010" s="4">
        <f t="shared" si="133"/>
        <v>0</v>
      </c>
      <c r="N2010" s="4">
        <f t="shared" si="134"/>
        <v>0</v>
      </c>
      <c r="O2010" s="13">
        <f t="shared" si="135"/>
        <v>0</v>
      </c>
    </row>
    <row r="2011" spans="2:15" ht="13.8" thickBot="1">
      <c r="B2011" s="14">
        <v>17</v>
      </c>
      <c r="C2011" s="15" t="s">
        <v>152</v>
      </c>
      <c r="D2011" s="15" t="s">
        <v>150</v>
      </c>
      <c r="E2011" s="15">
        <v>9</v>
      </c>
      <c r="F2011" s="15">
        <v>1</v>
      </c>
      <c r="G2011" s="15">
        <v>10</v>
      </c>
      <c r="H2011" s="121"/>
      <c r="I2011" s="121"/>
      <c r="J2011" s="121"/>
      <c r="K2011" s="121">
        <v>0</v>
      </c>
      <c r="L2011" s="14">
        <f t="shared" si="132"/>
        <v>0</v>
      </c>
      <c r="M2011" s="15">
        <f t="shared" si="133"/>
        <v>0</v>
      </c>
      <c r="N2011" s="15">
        <f t="shared" si="134"/>
        <v>0</v>
      </c>
      <c r="O2011" s="16">
        <f t="shared" si="135"/>
        <v>0</v>
      </c>
    </row>
    <row r="2012" spans="2:15">
      <c r="B2012" s="9">
        <v>17</v>
      </c>
      <c r="C2012" s="10" t="s">
        <v>152</v>
      </c>
      <c r="D2012" s="10" t="s">
        <v>150</v>
      </c>
      <c r="E2012" s="93">
        <v>10</v>
      </c>
      <c r="F2012" s="93">
        <v>3</v>
      </c>
      <c r="G2012" s="10">
        <v>1</v>
      </c>
      <c r="H2012" s="120">
        <v>0.89900000000005775</v>
      </c>
      <c r="I2012" s="120">
        <v>0.10000000000002274</v>
      </c>
      <c r="J2012" s="120">
        <v>0.18299999999999272</v>
      </c>
      <c r="K2012" s="120">
        <v>1.1820000000000732</v>
      </c>
      <c r="L2012" s="9">
        <f t="shared" si="132"/>
        <v>0.27852496473703076</v>
      </c>
      <c r="M2012" s="10">
        <f t="shared" si="133"/>
        <v>4.1392685158234015E-2</v>
      </c>
      <c r="N2012" s="10">
        <f t="shared" si="134"/>
        <v>7.29847446279277E-2</v>
      </c>
      <c r="O2012" s="11">
        <f t="shared" si="135"/>
        <v>0.33885474625233764</v>
      </c>
    </row>
    <row r="2013" spans="2:15">
      <c r="B2013" s="12">
        <v>17</v>
      </c>
      <c r="C2013" s="4" t="s">
        <v>152</v>
      </c>
      <c r="D2013" s="4" t="s">
        <v>150</v>
      </c>
      <c r="E2013" s="4">
        <v>10</v>
      </c>
      <c r="F2013" s="4">
        <v>3</v>
      </c>
      <c r="G2013" s="4">
        <v>2</v>
      </c>
      <c r="H2013" s="115"/>
      <c r="I2013" s="115"/>
      <c r="J2013" s="115"/>
      <c r="K2013" s="115">
        <v>0</v>
      </c>
      <c r="L2013" s="12">
        <f t="shared" si="132"/>
        <v>0</v>
      </c>
      <c r="M2013" s="4">
        <f t="shared" si="133"/>
        <v>0</v>
      </c>
      <c r="N2013" s="4">
        <f t="shared" si="134"/>
        <v>0</v>
      </c>
      <c r="O2013" s="13">
        <f t="shared" si="135"/>
        <v>0</v>
      </c>
    </row>
    <row r="2014" spans="2:15">
      <c r="B2014" s="12">
        <v>17</v>
      </c>
      <c r="C2014" s="4" t="s">
        <v>152</v>
      </c>
      <c r="D2014" s="4" t="s">
        <v>150</v>
      </c>
      <c r="E2014" s="4">
        <v>10</v>
      </c>
      <c r="F2014" s="4">
        <v>3</v>
      </c>
      <c r="G2014" s="4">
        <v>3</v>
      </c>
      <c r="H2014" s="115"/>
      <c r="I2014" s="115"/>
      <c r="J2014" s="115"/>
      <c r="K2014" s="115">
        <v>0</v>
      </c>
      <c r="L2014" s="12">
        <f t="shared" si="132"/>
        <v>0</v>
      </c>
      <c r="M2014" s="4">
        <f t="shared" si="133"/>
        <v>0</v>
      </c>
      <c r="N2014" s="4">
        <f t="shared" si="134"/>
        <v>0</v>
      </c>
      <c r="O2014" s="13">
        <f t="shared" si="135"/>
        <v>0</v>
      </c>
    </row>
    <row r="2015" spans="2:15">
      <c r="B2015" s="12">
        <v>17</v>
      </c>
      <c r="C2015" s="4" t="s">
        <v>152</v>
      </c>
      <c r="D2015" s="4" t="s">
        <v>150</v>
      </c>
      <c r="E2015" s="4">
        <v>10</v>
      </c>
      <c r="F2015" s="4">
        <v>3</v>
      </c>
      <c r="G2015" s="4">
        <v>4</v>
      </c>
      <c r="H2015" s="115"/>
      <c r="I2015" s="115"/>
      <c r="J2015" s="115"/>
      <c r="K2015" s="115">
        <v>0</v>
      </c>
      <c r="L2015" s="12">
        <f t="shared" si="132"/>
        <v>0</v>
      </c>
      <c r="M2015" s="4">
        <f t="shared" si="133"/>
        <v>0</v>
      </c>
      <c r="N2015" s="4">
        <f t="shared" si="134"/>
        <v>0</v>
      </c>
      <c r="O2015" s="13">
        <f t="shared" si="135"/>
        <v>0</v>
      </c>
    </row>
    <row r="2016" spans="2:15">
      <c r="B2016" s="12">
        <v>17</v>
      </c>
      <c r="C2016" s="4" t="s">
        <v>152</v>
      </c>
      <c r="D2016" s="4" t="s">
        <v>150</v>
      </c>
      <c r="E2016" s="4">
        <v>10</v>
      </c>
      <c r="F2016" s="4">
        <v>3</v>
      </c>
      <c r="G2016" s="4">
        <v>5</v>
      </c>
      <c r="H2016" s="115"/>
      <c r="I2016" s="115"/>
      <c r="J2016" s="115"/>
      <c r="K2016" s="115">
        <v>0</v>
      </c>
      <c r="L2016" s="12">
        <f t="shared" si="132"/>
        <v>0</v>
      </c>
      <c r="M2016" s="4">
        <f t="shared" si="133"/>
        <v>0</v>
      </c>
      <c r="N2016" s="4">
        <f t="shared" si="134"/>
        <v>0</v>
      </c>
      <c r="O2016" s="13">
        <f t="shared" si="135"/>
        <v>0</v>
      </c>
    </row>
    <row r="2017" spans="2:15">
      <c r="B2017" s="12">
        <v>17</v>
      </c>
      <c r="C2017" s="4" t="s">
        <v>152</v>
      </c>
      <c r="D2017" s="4" t="s">
        <v>150</v>
      </c>
      <c r="E2017" s="4">
        <v>10</v>
      </c>
      <c r="F2017" s="4">
        <v>3</v>
      </c>
      <c r="G2017" s="4">
        <v>6</v>
      </c>
      <c r="H2017" s="115"/>
      <c r="I2017" s="115"/>
      <c r="J2017" s="115"/>
      <c r="K2017" s="115">
        <v>0</v>
      </c>
      <c r="L2017" s="12">
        <f t="shared" si="132"/>
        <v>0</v>
      </c>
      <c r="M2017" s="4">
        <f t="shared" si="133"/>
        <v>0</v>
      </c>
      <c r="N2017" s="4">
        <f t="shared" si="134"/>
        <v>0</v>
      </c>
      <c r="O2017" s="13">
        <f t="shared" si="135"/>
        <v>0</v>
      </c>
    </row>
    <row r="2018" spans="2:15">
      <c r="B2018" s="12">
        <v>17</v>
      </c>
      <c r="C2018" s="4" t="s">
        <v>152</v>
      </c>
      <c r="D2018" s="4" t="s">
        <v>150</v>
      </c>
      <c r="E2018" s="4">
        <v>10</v>
      </c>
      <c r="F2018" s="4">
        <v>3</v>
      </c>
      <c r="G2018" s="4">
        <v>7</v>
      </c>
      <c r="H2018" s="115"/>
      <c r="I2018" s="115"/>
      <c r="J2018" s="115"/>
      <c r="K2018" s="115">
        <v>0</v>
      </c>
      <c r="L2018" s="12">
        <f t="shared" si="132"/>
        <v>0</v>
      </c>
      <c r="M2018" s="4">
        <f t="shared" si="133"/>
        <v>0</v>
      </c>
      <c r="N2018" s="4">
        <f t="shared" si="134"/>
        <v>0</v>
      </c>
      <c r="O2018" s="13">
        <f t="shared" si="135"/>
        <v>0</v>
      </c>
    </row>
    <row r="2019" spans="2:15">
      <c r="B2019" s="12">
        <v>17</v>
      </c>
      <c r="C2019" s="4" t="s">
        <v>152</v>
      </c>
      <c r="D2019" s="4" t="s">
        <v>150</v>
      </c>
      <c r="E2019" s="4">
        <v>10</v>
      </c>
      <c r="F2019" s="4">
        <v>3</v>
      </c>
      <c r="G2019" s="4">
        <v>8</v>
      </c>
      <c r="H2019" s="115"/>
      <c r="I2019" s="115"/>
      <c r="J2019" s="115"/>
      <c r="K2019" s="115">
        <v>0</v>
      </c>
      <c r="L2019" s="12">
        <f t="shared" si="132"/>
        <v>0</v>
      </c>
      <c r="M2019" s="4">
        <f t="shared" si="133"/>
        <v>0</v>
      </c>
      <c r="N2019" s="4">
        <f t="shared" si="134"/>
        <v>0</v>
      </c>
      <c r="O2019" s="13">
        <f t="shared" si="135"/>
        <v>0</v>
      </c>
    </row>
    <row r="2020" spans="2:15">
      <c r="B2020" s="12">
        <v>17</v>
      </c>
      <c r="C2020" s="4" t="s">
        <v>152</v>
      </c>
      <c r="D2020" s="4" t="s">
        <v>150</v>
      </c>
      <c r="E2020" s="4">
        <v>10</v>
      </c>
      <c r="F2020" s="4">
        <v>3</v>
      </c>
      <c r="G2020" s="4">
        <v>9</v>
      </c>
      <c r="H2020" s="115"/>
      <c r="I2020" s="115"/>
      <c r="J2020" s="115"/>
      <c r="K2020" s="115">
        <v>0</v>
      </c>
      <c r="L2020" s="12">
        <f t="shared" si="132"/>
        <v>0</v>
      </c>
      <c r="M2020" s="4">
        <f t="shared" si="133"/>
        <v>0</v>
      </c>
      <c r="N2020" s="4">
        <f t="shared" si="134"/>
        <v>0</v>
      </c>
      <c r="O2020" s="13">
        <f t="shared" si="135"/>
        <v>0</v>
      </c>
    </row>
    <row r="2021" spans="2:15" ht="13.8" thickBot="1">
      <c r="B2021" s="14">
        <v>17</v>
      </c>
      <c r="C2021" s="15" t="s">
        <v>152</v>
      </c>
      <c r="D2021" s="15" t="s">
        <v>150</v>
      </c>
      <c r="E2021" s="15">
        <v>10</v>
      </c>
      <c r="F2021" s="15">
        <v>3</v>
      </c>
      <c r="G2021" s="15">
        <v>10</v>
      </c>
      <c r="H2021" s="121"/>
      <c r="I2021" s="121"/>
      <c r="J2021" s="121"/>
      <c r="K2021" s="121">
        <v>0</v>
      </c>
      <c r="L2021" s="14">
        <f t="shared" si="132"/>
        <v>0</v>
      </c>
      <c r="M2021" s="15">
        <f t="shared" si="133"/>
        <v>0</v>
      </c>
      <c r="N2021" s="15">
        <f t="shared" si="134"/>
        <v>0</v>
      </c>
      <c r="O2021" s="16">
        <f t="shared" si="135"/>
        <v>0</v>
      </c>
    </row>
    <row r="2022" spans="2:15">
      <c r="B2022" s="9">
        <v>17</v>
      </c>
      <c r="C2022" s="10" t="s">
        <v>152</v>
      </c>
      <c r="D2022" s="10" t="s">
        <v>154</v>
      </c>
      <c r="E2022" s="93">
        <v>11</v>
      </c>
      <c r="F2022" s="93">
        <v>5</v>
      </c>
      <c r="G2022" s="10">
        <v>1</v>
      </c>
      <c r="H2022" s="120">
        <v>2.4829999999999472</v>
      </c>
      <c r="I2022" s="120">
        <v>0.81600000000003092</v>
      </c>
      <c r="J2022" s="120">
        <v>0.53400000000004866</v>
      </c>
      <c r="K2022" s="120">
        <v>3.8330000000000268</v>
      </c>
      <c r="L2022" s="9">
        <f t="shared" si="132"/>
        <v>0.54195347445822972</v>
      </c>
      <c r="M2022" s="10">
        <f t="shared" si="133"/>
        <v>0.25911584418507372</v>
      </c>
      <c r="N2022" s="10">
        <f t="shared" si="134"/>
        <v>0.18582535961297594</v>
      </c>
      <c r="O2022" s="11">
        <f t="shared" si="135"/>
        <v>0.68421679513888289</v>
      </c>
    </row>
    <row r="2023" spans="2:15">
      <c r="B2023" s="12">
        <v>17</v>
      </c>
      <c r="C2023" s="4" t="s">
        <v>152</v>
      </c>
      <c r="D2023" s="4" t="s">
        <v>154</v>
      </c>
      <c r="E2023" s="4">
        <v>11</v>
      </c>
      <c r="F2023" s="4">
        <v>5</v>
      </c>
      <c r="G2023" s="4">
        <v>2</v>
      </c>
      <c r="H2023" s="115">
        <v>0.16600000000005366</v>
      </c>
      <c r="I2023" s="115">
        <v>0.9669999999999277</v>
      </c>
      <c r="J2023" s="115">
        <v>0.26099999999996726</v>
      </c>
      <c r="K2023" s="115">
        <v>1.3939999999999486</v>
      </c>
      <c r="L2023" s="12">
        <f t="shared" ref="L2023:L2086" si="136">LOG10(H2023+1)</f>
        <v>6.6698550423015271E-2</v>
      </c>
      <c r="M2023" s="4">
        <f t="shared" ref="M2023:M2086" si="137">LOG10(I2023+1)</f>
        <v>0.29380435991932075</v>
      </c>
      <c r="N2023" s="4">
        <f t="shared" ref="N2023:N2086" si="138">LOG10(J2023+1)</f>
        <v>0.10071508657307035</v>
      </c>
      <c r="O2023" s="13">
        <f t="shared" ref="O2023:O2086" si="139">LOG10(K2023+1)</f>
        <v>0.37912414607038253</v>
      </c>
    </row>
    <row r="2024" spans="2:15">
      <c r="B2024" s="12">
        <v>17</v>
      </c>
      <c r="C2024" s="4" t="s">
        <v>152</v>
      </c>
      <c r="D2024" s="4" t="s">
        <v>154</v>
      </c>
      <c r="E2024" s="4">
        <v>11</v>
      </c>
      <c r="F2024" s="4">
        <v>5</v>
      </c>
      <c r="G2024" s="4">
        <v>3</v>
      </c>
      <c r="H2024" s="115">
        <v>2.5319999999999823</v>
      </c>
      <c r="I2024" s="115">
        <v>0.36600000000004229</v>
      </c>
      <c r="J2024" s="115">
        <v>9.9999999999965894E-2</v>
      </c>
      <c r="K2024" s="115">
        <v>2.9979999999999905</v>
      </c>
      <c r="L2024" s="12">
        <f t="shared" si="136"/>
        <v>0.54802069490552885</v>
      </c>
      <c r="M2024" s="4">
        <f t="shared" si="137"/>
        <v>0.1354506993455272</v>
      </c>
      <c r="N2024" s="4">
        <f t="shared" si="138"/>
        <v>4.1392685158211574E-2</v>
      </c>
      <c r="O2024" s="13">
        <f t="shared" si="139"/>
        <v>0.60184278978209704</v>
      </c>
    </row>
    <row r="2025" spans="2:15">
      <c r="B2025" s="12">
        <v>17</v>
      </c>
      <c r="C2025" s="4" t="s">
        <v>152</v>
      </c>
      <c r="D2025" s="4" t="s">
        <v>154</v>
      </c>
      <c r="E2025" s="4">
        <v>11</v>
      </c>
      <c r="F2025" s="4">
        <v>5</v>
      </c>
      <c r="G2025" s="4">
        <v>4</v>
      </c>
      <c r="H2025" s="115">
        <v>0.46700000000004138</v>
      </c>
      <c r="I2025" s="115"/>
      <c r="J2025" s="115"/>
      <c r="K2025" s="115">
        <v>0.46700000000004138</v>
      </c>
      <c r="L2025" s="12">
        <f t="shared" si="136"/>
        <v>0.16643011384329492</v>
      </c>
      <c r="M2025" s="4">
        <f t="shared" si="137"/>
        <v>0</v>
      </c>
      <c r="N2025" s="4">
        <f t="shared" si="138"/>
        <v>0</v>
      </c>
      <c r="O2025" s="13">
        <f t="shared" si="139"/>
        <v>0.16643011384329492</v>
      </c>
    </row>
    <row r="2026" spans="2:15">
      <c r="B2026" s="12">
        <v>17</v>
      </c>
      <c r="C2026" s="4" t="s">
        <v>152</v>
      </c>
      <c r="D2026" s="4" t="s">
        <v>154</v>
      </c>
      <c r="E2026" s="4">
        <v>11</v>
      </c>
      <c r="F2026" s="4">
        <v>5</v>
      </c>
      <c r="G2026" s="4">
        <v>5</v>
      </c>
      <c r="H2026" s="115">
        <v>0.11600000000004229</v>
      </c>
      <c r="I2026" s="115"/>
      <c r="J2026" s="115"/>
      <c r="K2026" s="115">
        <v>0.11600000000004229</v>
      </c>
      <c r="L2026" s="12">
        <f t="shared" si="136"/>
        <v>4.76641946015764E-2</v>
      </c>
      <c r="M2026" s="4">
        <f t="shared" si="137"/>
        <v>0</v>
      </c>
      <c r="N2026" s="4">
        <f t="shared" si="138"/>
        <v>0</v>
      </c>
      <c r="O2026" s="13">
        <f t="shared" si="139"/>
        <v>4.76641946015764E-2</v>
      </c>
    </row>
    <row r="2027" spans="2:15">
      <c r="B2027" s="12">
        <v>17</v>
      </c>
      <c r="C2027" s="4" t="s">
        <v>152</v>
      </c>
      <c r="D2027" s="4" t="s">
        <v>154</v>
      </c>
      <c r="E2027" s="4">
        <v>11</v>
      </c>
      <c r="F2027" s="4">
        <v>5</v>
      </c>
      <c r="G2027" s="4">
        <v>6</v>
      </c>
      <c r="H2027" s="115"/>
      <c r="I2027" s="115"/>
      <c r="J2027" s="115"/>
      <c r="K2027" s="115">
        <v>0</v>
      </c>
      <c r="L2027" s="12">
        <f t="shared" si="136"/>
        <v>0</v>
      </c>
      <c r="M2027" s="4">
        <f t="shared" si="137"/>
        <v>0</v>
      </c>
      <c r="N2027" s="4">
        <f t="shared" si="138"/>
        <v>0</v>
      </c>
      <c r="O2027" s="13">
        <f t="shared" si="139"/>
        <v>0</v>
      </c>
    </row>
    <row r="2028" spans="2:15">
      <c r="B2028" s="12">
        <v>17</v>
      </c>
      <c r="C2028" s="4" t="s">
        <v>152</v>
      </c>
      <c r="D2028" s="4" t="s">
        <v>154</v>
      </c>
      <c r="E2028" s="4">
        <v>11</v>
      </c>
      <c r="F2028" s="4">
        <v>5</v>
      </c>
      <c r="G2028" s="4">
        <v>7</v>
      </c>
      <c r="H2028" s="115"/>
      <c r="I2028" s="115"/>
      <c r="J2028" s="115"/>
      <c r="K2028" s="115">
        <v>0</v>
      </c>
      <c r="L2028" s="12">
        <f t="shared" si="136"/>
        <v>0</v>
      </c>
      <c r="M2028" s="4">
        <f t="shared" si="137"/>
        <v>0</v>
      </c>
      <c r="N2028" s="4">
        <f t="shared" si="138"/>
        <v>0</v>
      </c>
      <c r="O2028" s="13">
        <f t="shared" si="139"/>
        <v>0</v>
      </c>
    </row>
    <row r="2029" spans="2:15">
      <c r="B2029" s="12">
        <v>17</v>
      </c>
      <c r="C2029" s="4" t="s">
        <v>152</v>
      </c>
      <c r="D2029" s="4" t="s">
        <v>154</v>
      </c>
      <c r="E2029" s="4">
        <v>11</v>
      </c>
      <c r="F2029" s="4">
        <v>5</v>
      </c>
      <c r="G2029" s="4">
        <v>8</v>
      </c>
      <c r="H2029" s="115"/>
      <c r="I2029" s="115"/>
      <c r="J2029" s="115"/>
      <c r="K2029" s="115">
        <v>0</v>
      </c>
      <c r="L2029" s="12">
        <f t="shared" si="136"/>
        <v>0</v>
      </c>
      <c r="M2029" s="4">
        <f t="shared" si="137"/>
        <v>0</v>
      </c>
      <c r="N2029" s="4">
        <f t="shared" si="138"/>
        <v>0</v>
      </c>
      <c r="O2029" s="13">
        <f t="shared" si="139"/>
        <v>0</v>
      </c>
    </row>
    <row r="2030" spans="2:15">
      <c r="B2030" s="12">
        <v>17</v>
      </c>
      <c r="C2030" s="4" t="s">
        <v>152</v>
      </c>
      <c r="D2030" s="4" t="s">
        <v>154</v>
      </c>
      <c r="E2030" s="4">
        <v>11</v>
      </c>
      <c r="F2030" s="4">
        <v>5</v>
      </c>
      <c r="G2030" s="4">
        <v>9</v>
      </c>
      <c r="H2030" s="115"/>
      <c r="I2030" s="115"/>
      <c r="J2030" s="115"/>
      <c r="K2030" s="115">
        <v>0</v>
      </c>
      <c r="L2030" s="12">
        <f t="shared" si="136"/>
        <v>0</v>
      </c>
      <c r="M2030" s="4">
        <f t="shared" si="137"/>
        <v>0</v>
      </c>
      <c r="N2030" s="4">
        <f t="shared" si="138"/>
        <v>0</v>
      </c>
      <c r="O2030" s="13">
        <f t="shared" si="139"/>
        <v>0</v>
      </c>
    </row>
    <row r="2031" spans="2:15" ht="13.8" thickBot="1">
      <c r="B2031" s="14">
        <v>17</v>
      </c>
      <c r="C2031" s="15" t="s">
        <v>152</v>
      </c>
      <c r="D2031" s="15" t="s">
        <v>154</v>
      </c>
      <c r="E2031" s="15">
        <v>11</v>
      </c>
      <c r="F2031" s="15">
        <v>5</v>
      </c>
      <c r="G2031" s="15">
        <v>10</v>
      </c>
      <c r="H2031" s="121"/>
      <c r="I2031" s="121"/>
      <c r="J2031" s="121"/>
      <c r="K2031" s="121">
        <v>0</v>
      </c>
      <c r="L2031" s="14">
        <f t="shared" si="136"/>
        <v>0</v>
      </c>
      <c r="M2031" s="15">
        <f t="shared" si="137"/>
        <v>0</v>
      </c>
      <c r="N2031" s="15">
        <f t="shared" si="138"/>
        <v>0</v>
      </c>
      <c r="O2031" s="16">
        <f t="shared" si="139"/>
        <v>0</v>
      </c>
    </row>
    <row r="2032" spans="2:15">
      <c r="B2032" s="9">
        <v>17</v>
      </c>
      <c r="C2032" s="10" t="s">
        <v>152</v>
      </c>
      <c r="D2032" s="10" t="s">
        <v>154</v>
      </c>
      <c r="E2032" s="93">
        <v>12</v>
      </c>
      <c r="F2032" s="93">
        <v>7</v>
      </c>
      <c r="G2032" s="10">
        <v>1</v>
      </c>
      <c r="H2032" s="120">
        <v>1.91700000000003</v>
      </c>
      <c r="I2032" s="120">
        <v>1.1489999999998872</v>
      </c>
      <c r="J2032" s="120">
        <v>0.51699999999993906</v>
      </c>
      <c r="K2032" s="120">
        <v>3.5829999999998563</v>
      </c>
      <c r="L2032" s="9">
        <f t="shared" si="136"/>
        <v>0.46493642912173716</v>
      </c>
      <c r="M2032" s="10">
        <f t="shared" si="137"/>
        <v>0.33223641549142052</v>
      </c>
      <c r="N2032" s="10">
        <f t="shared" si="138"/>
        <v>0.18098558078671304</v>
      </c>
      <c r="O2032" s="11">
        <f t="shared" si="139"/>
        <v>0.66114985724477304</v>
      </c>
    </row>
    <row r="2033" spans="2:15">
      <c r="B2033" s="12">
        <v>17</v>
      </c>
      <c r="C2033" s="4" t="s">
        <v>152</v>
      </c>
      <c r="D2033" s="4" t="s">
        <v>154</v>
      </c>
      <c r="E2033" s="4">
        <v>12</v>
      </c>
      <c r="F2033" s="4">
        <v>7</v>
      </c>
      <c r="G2033" s="4">
        <v>2</v>
      </c>
      <c r="H2033" s="115">
        <v>0.25</v>
      </c>
      <c r="I2033" s="115">
        <v>0.10000000000002274</v>
      </c>
      <c r="J2033" s="115">
        <v>0.10000000000002274</v>
      </c>
      <c r="K2033" s="115">
        <v>0.45000000000004547</v>
      </c>
      <c r="L2033" s="12">
        <f t="shared" si="136"/>
        <v>9.691001300805642E-2</v>
      </c>
      <c r="M2033" s="4">
        <f t="shared" si="137"/>
        <v>4.1392685158234015E-2</v>
      </c>
      <c r="N2033" s="4">
        <f t="shared" si="138"/>
        <v>4.1392685158234015E-2</v>
      </c>
      <c r="O2033" s="13">
        <f t="shared" si="139"/>
        <v>0.16136800223498851</v>
      </c>
    </row>
    <row r="2034" spans="2:15">
      <c r="B2034" s="12">
        <v>17</v>
      </c>
      <c r="C2034" s="4" t="s">
        <v>152</v>
      </c>
      <c r="D2034" s="4" t="s">
        <v>154</v>
      </c>
      <c r="E2034" s="4">
        <v>12</v>
      </c>
      <c r="F2034" s="4">
        <v>7</v>
      </c>
      <c r="G2034" s="4">
        <v>3</v>
      </c>
      <c r="H2034" s="115">
        <v>0.26700000000005275</v>
      </c>
      <c r="I2034" s="115">
        <v>0.33299999999996999</v>
      </c>
      <c r="J2034" s="115">
        <v>0.60000000000002274</v>
      </c>
      <c r="K2034" s="115">
        <v>1.2000000000000455</v>
      </c>
      <c r="L2034" s="12">
        <f t="shared" si="136"/>
        <v>0.10277661488345942</v>
      </c>
      <c r="M2034" s="4">
        <f t="shared" si="137"/>
        <v>0.12483014941384943</v>
      </c>
      <c r="N2034" s="4">
        <f t="shared" si="138"/>
        <v>0.20411998265593095</v>
      </c>
      <c r="O2034" s="13">
        <f t="shared" si="139"/>
        <v>0.34242268082221522</v>
      </c>
    </row>
    <row r="2035" spans="2:15">
      <c r="B2035" s="12">
        <v>17</v>
      </c>
      <c r="C2035" s="4" t="s">
        <v>152</v>
      </c>
      <c r="D2035" s="4" t="s">
        <v>154</v>
      </c>
      <c r="E2035" s="4">
        <v>12</v>
      </c>
      <c r="F2035" s="4">
        <v>7</v>
      </c>
      <c r="G2035" s="4">
        <v>4</v>
      </c>
      <c r="H2035" s="115">
        <v>1.4990000000000236</v>
      </c>
      <c r="I2035" s="115">
        <v>0.46600000000000819</v>
      </c>
      <c r="J2035" s="115">
        <v>0.31700000000000728</v>
      </c>
      <c r="K2035" s="115">
        <v>2.2820000000000391</v>
      </c>
      <c r="L2035" s="12">
        <f t="shared" si="136"/>
        <v>0.39776625612645411</v>
      </c>
      <c r="M2035" s="4">
        <f t="shared" si="137"/>
        <v>0.16613397030511157</v>
      </c>
      <c r="N2035" s="4">
        <f t="shared" si="138"/>
        <v>0.11958577496178621</v>
      </c>
      <c r="O2035" s="13">
        <f t="shared" si="139"/>
        <v>0.51613857671707963</v>
      </c>
    </row>
    <row r="2036" spans="2:15">
      <c r="B2036" s="12">
        <v>17</v>
      </c>
      <c r="C2036" s="4" t="s">
        <v>152</v>
      </c>
      <c r="D2036" s="4" t="s">
        <v>154</v>
      </c>
      <c r="E2036" s="4">
        <v>12</v>
      </c>
      <c r="F2036" s="4">
        <v>7</v>
      </c>
      <c r="G2036" s="4">
        <v>5</v>
      </c>
      <c r="H2036" s="115">
        <v>0.1330000000000382</v>
      </c>
      <c r="I2036" s="115">
        <v>0.14999999999997726</v>
      </c>
      <c r="J2036" s="115"/>
      <c r="K2036" s="115">
        <v>0.28300000000001546</v>
      </c>
      <c r="L2036" s="12">
        <f t="shared" si="136"/>
        <v>5.422990986341189E-2</v>
      </c>
      <c r="M2036" s="4">
        <f t="shared" si="137"/>
        <v>6.0697840353603094E-2</v>
      </c>
      <c r="N2036" s="4">
        <f t="shared" si="138"/>
        <v>0</v>
      </c>
      <c r="O2036" s="13">
        <f t="shared" si="139"/>
        <v>0.10822665637493374</v>
      </c>
    </row>
    <row r="2037" spans="2:15">
      <c r="B2037" s="12">
        <v>17</v>
      </c>
      <c r="C2037" s="4" t="s">
        <v>152</v>
      </c>
      <c r="D2037" s="4" t="s">
        <v>154</v>
      </c>
      <c r="E2037" s="4">
        <v>12</v>
      </c>
      <c r="F2037" s="4">
        <v>7</v>
      </c>
      <c r="G2037" s="4">
        <v>6</v>
      </c>
      <c r="H2037" s="115"/>
      <c r="I2037" s="115"/>
      <c r="J2037" s="115"/>
      <c r="K2037" s="115">
        <v>0</v>
      </c>
      <c r="L2037" s="12">
        <f t="shared" si="136"/>
        <v>0</v>
      </c>
      <c r="M2037" s="4">
        <f t="shared" si="137"/>
        <v>0</v>
      </c>
      <c r="N2037" s="4">
        <f t="shared" si="138"/>
        <v>0</v>
      </c>
      <c r="O2037" s="13">
        <f t="shared" si="139"/>
        <v>0</v>
      </c>
    </row>
    <row r="2038" spans="2:15">
      <c r="B2038" s="12">
        <v>17</v>
      </c>
      <c r="C2038" s="4" t="s">
        <v>152</v>
      </c>
      <c r="D2038" s="4" t="s">
        <v>154</v>
      </c>
      <c r="E2038" s="4">
        <v>12</v>
      </c>
      <c r="F2038" s="4">
        <v>7</v>
      </c>
      <c r="G2038" s="4">
        <v>7</v>
      </c>
      <c r="H2038" s="115"/>
      <c r="I2038" s="115"/>
      <c r="J2038" s="115"/>
      <c r="K2038" s="115">
        <v>0</v>
      </c>
      <c r="L2038" s="12">
        <f t="shared" si="136"/>
        <v>0</v>
      </c>
      <c r="M2038" s="4">
        <f t="shared" si="137"/>
        <v>0</v>
      </c>
      <c r="N2038" s="4">
        <f t="shared" si="138"/>
        <v>0</v>
      </c>
      <c r="O2038" s="13">
        <f t="shared" si="139"/>
        <v>0</v>
      </c>
    </row>
    <row r="2039" spans="2:15">
      <c r="B2039" s="12">
        <v>17</v>
      </c>
      <c r="C2039" s="4" t="s">
        <v>152</v>
      </c>
      <c r="D2039" s="4" t="s">
        <v>154</v>
      </c>
      <c r="E2039" s="4">
        <v>12</v>
      </c>
      <c r="F2039" s="4">
        <v>7</v>
      </c>
      <c r="G2039" s="4">
        <v>8</v>
      </c>
      <c r="H2039" s="115"/>
      <c r="I2039" s="115"/>
      <c r="J2039" s="115"/>
      <c r="K2039" s="115">
        <v>0</v>
      </c>
      <c r="L2039" s="12">
        <f t="shared" si="136"/>
        <v>0</v>
      </c>
      <c r="M2039" s="4">
        <f t="shared" si="137"/>
        <v>0</v>
      </c>
      <c r="N2039" s="4">
        <f t="shared" si="138"/>
        <v>0</v>
      </c>
      <c r="O2039" s="13">
        <f t="shared" si="139"/>
        <v>0</v>
      </c>
    </row>
    <row r="2040" spans="2:15">
      <c r="B2040" s="12">
        <v>17</v>
      </c>
      <c r="C2040" s="4" t="s">
        <v>152</v>
      </c>
      <c r="D2040" s="4" t="s">
        <v>154</v>
      </c>
      <c r="E2040" s="4">
        <v>12</v>
      </c>
      <c r="F2040" s="4">
        <v>7</v>
      </c>
      <c r="G2040" s="4">
        <v>9</v>
      </c>
      <c r="H2040" s="115"/>
      <c r="I2040" s="115"/>
      <c r="J2040" s="115"/>
      <c r="K2040" s="115">
        <v>0</v>
      </c>
      <c r="L2040" s="12">
        <f t="shared" si="136"/>
        <v>0</v>
      </c>
      <c r="M2040" s="4">
        <f t="shared" si="137"/>
        <v>0</v>
      </c>
      <c r="N2040" s="4">
        <f t="shared" si="138"/>
        <v>0</v>
      </c>
      <c r="O2040" s="13">
        <f t="shared" si="139"/>
        <v>0</v>
      </c>
    </row>
    <row r="2041" spans="2:15" ht="13.8" thickBot="1">
      <c r="B2041" s="14">
        <v>17</v>
      </c>
      <c r="C2041" s="15" t="s">
        <v>152</v>
      </c>
      <c r="D2041" s="15" t="s">
        <v>154</v>
      </c>
      <c r="E2041" s="15">
        <v>12</v>
      </c>
      <c r="F2041" s="15">
        <v>7</v>
      </c>
      <c r="G2041" s="15">
        <v>10</v>
      </c>
      <c r="H2041" s="121"/>
      <c r="I2041" s="121"/>
      <c r="J2041" s="121"/>
      <c r="K2041" s="121">
        <v>0</v>
      </c>
      <c r="L2041" s="14">
        <f t="shared" si="136"/>
        <v>0</v>
      </c>
      <c r="M2041" s="15">
        <f t="shared" si="137"/>
        <v>0</v>
      </c>
      <c r="N2041" s="15">
        <f t="shared" si="138"/>
        <v>0</v>
      </c>
      <c r="O2041" s="16">
        <f t="shared" si="139"/>
        <v>0</v>
      </c>
    </row>
    <row r="2042" spans="2:15">
      <c r="B2042" s="9">
        <v>18</v>
      </c>
      <c r="C2042" s="10" t="s">
        <v>151</v>
      </c>
      <c r="D2042" s="10" t="s">
        <v>149</v>
      </c>
      <c r="E2042" s="93">
        <v>1</v>
      </c>
      <c r="F2042" s="93">
        <v>6</v>
      </c>
      <c r="G2042" s="10">
        <v>1</v>
      </c>
      <c r="H2042" s="120">
        <v>3.5649999999999977</v>
      </c>
      <c r="I2042" s="120">
        <v>0.94900000000012597</v>
      </c>
      <c r="J2042" s="120">
        <v>0.13399999999995771</v>
      </c>
      <c r="K2042" s="120">
        <v>4.6480000000000814</v>
      </c>
      <c r="L2042" s="9">
        <f t="shared" si="136"/>
        <v>0.65944078187031752</v>
      </c>
      <c r="M2042" s="10">
        <f t="shared" si="137"/>
        <v>0.28981183911764952</v>
      </c>
      <c r="N2042" s="10">
        <f t="shared" si="138"/>
        <v>5.4613054556871578E-2</v>
      </c>
      <c r="O2042" s="11">
        <f t="shared" si="139"/>
        <v>0.75189468804375359</v>
      </c>
    </row>
    <row r="2043" spans="2:15">
      <c r="B2043" s="12">
        <v>18</v>
      </c>
      <c r="C2043" s="4" t="s">
        <v>151</v>
      </c>
      <c r="D2043" s="4" t="s">
        <v>149</v>
      </c>
      <c r="E2043" s="4">
        <v>1</v>
      </c>
      <c r="F2043" s="4">
        <v>6</v>
      </c>
      <c r="G2043" s="4">
        <v>2</v>
      </c>
      <c r="H2043" s="115"/>
      <c r="I2043" s="115"/>
      <c r="J2043" s="115"/>
      <c r="K2043" s="115">
        <v>0</v>
      </c>
      <c r="L2043" s="12">
        <f t="shared" si="136"/>
        <v>0</v>
      </c>
      <c r="M2043" s="4">
        <f t="shared" si="137"/>
        <v>0</v>
      </c>
      <c r="N2043" s="4">
        <f t="shared" si="138"/>
        <v>0</v>
      </c>
      <c r="O2043" s="13">
        <f t="shared" si="139"/>
        <v>0</v>
      </c>
    </row>
    <row r="2044" spans="2:15">
      <c r="B2044" s="12">
        <v>18</v>
      </c>
      <c r="C2044" s="4" t="s">
        <v>151</v>
      </c>
      <c r="D2044" s="4" t="s">
        <v>149</v>
      </c>
      <c r="E2044" s="4">
        <v>1</v>
      </c>
      <c r="F2044" s="4">
        <v>6</v>
      </c>
      <c r="G2044" s="4">
        <v>3</v>
      </c>
      <c r="H2044" s="115"/>
      <c r="I2044" s="115"/>
      <c r="J2044" s="115"/>
      <c r="K2044" s="115">
        <v>0</v>
      </c>
      <c r="L2044" s="12">
        <f t="shared" si="136"/>
        <v>0</v>
      </c>
      <c r="M2044" s="4">
        <f t="shared" si="137"/>
        <v>0</v>
      </c>
      <c r="N2044" s="4">
        <f t="shared" si="138"/>
        <v>0</v>
      </c>
      <c r="O2044" s="13">
        <f t="shared" si="139"/>
        <v>0</v>
      </c>
    </row>
    <row r="2045" spans="2:15">
      <c r="B2045" s="12">
        <v>18</v>
      </c>
      <c r="C2045" s="4" t="s">
        <v>151</v>
      </c>
      <c r="D2045" s="4" t="s">
        <v>149</v>
      </c>
      <c r="E2045" s="4">
        <v>1</v>
      </c>
      <c r="F2045" s="4">
        <v>6</v>
      </c>
      <c r="G2045" s="4">
        <v>4</v>
      </c>
      <c r="H2045" s="115"/>
      <c r="I2045" s="115"/>
      <c r="J2045" s="115"/>
      <c r="K2045" s="115">
        <v>0</v>
      </c>
      <c r="L2045" s="12">
        <f t="shared" si="136"/>
        <v>0</v>
      </c>
      <c r="M2045" s="4">
        <f t="shared" si="137"/>
        <v>0</v>
      </c>
      <c r="N2045" s="4">
        <f t="shared" si="138"/>
        <v>0</v>
      </c>
      <c r="O2045" s="13">
        <f t="shared" si="139"/>
        <v>0</v>
      </c>
    </row>
    <row r="2046" spans="2:15">
      <c r="B2046" s="12">
        <v>18</v>
      </c>
      <c r="C2046" s="4" t="s">
        <v>151</v>
      </c>
      <c r="D2046" s="4" t="s">
        <v>149</v>
      </c>
      <c r="E2046" s="4">
        <v>1</v>
      </c>
      <c r="F2046" s="4">
        <v>6</v>
      </c>
      <c r="G2046" s="4">
        <v>5</v>
      </c>
      <c r="H2046" s="115"/>
      <c r="I2046" s="115"/>
      <c r="J2046" s="115"/>
      <c r="K2046" s="115">
        <v>0</v>
      </c>
      <c r="L2046" s="12">
        <f t="shared" si="136"/>
        <v>0</v>
      </c>
      <c r="M2046" s="4">
        <f t="shared" si="137"/>
        <v>0</v>
      </c>
      <c r="N2046" s="4">
        <f t="shared" si="138"/>
        <v>0</v>
      </c>
      <c r="O2046" s="13">
        <f t="shared" si="139"/>
        <v>0</v>
      </c>
    </row>
    <row r="2047" spans="2:15">
      <c r="B2047" s="12">
        <v>18</v>
      </c>
      <c r="C2047" s="4" t="s">
        <v>151</v>
      </c>
      <c r="D2047" s="4" t="s">
        <v>149</v>
      </c>
      <c r="E2047" s="4">
        <v>1</v>
      </c>
      <c r="F2047" s="4">
        <v>6</v>
      </c>
      <c r="G2047" s="4">
        <v>6</v>
      </c>
      <c r="H2047" s="115"/>
      <c r="I2047" s="115"/>
      <c r="J2047" s="115"/>
      <c r="K2047" s="115">
        <v>0</v>
      </c>
      <c r="L2047" s="12">
        <f t="shared" si="136"/>
        <v>0</v>
      </c>
      <c r="M2047" s="4">
        <f t="shared" si="137"/>
        <v>0</v>
      </c>
      <c r="N2047" s="4">
        <f t="shared" si="138"/>
        <v>0</v>
      </c>
      <c r="O2047" s="13">
        <f t="shared" si="139"/>
        <v>0</v>
      </c>
    </row>
    <row r="2048" spans="2:15">
      <c r="B2048" s="12">
        <v>18</v>
      </c>
      <c r="C2048" s="4" t="s">
        <v>151</v>
      </c>
      <c r="D2048" s="4" t="s">
        <v>149</v>
      </c>
      <c r="E2048" s="4">
        <v>1</v>
      </c>
      <c r="F2048" s="4">
        <v>6</v>
      </c>
      <c r="G2048" s="4">
        <v>7</v>
      </c>
      <c r="H2048" s="115"/>
      <c r="I2048" s="115"/>
      <c r="J2048" s="115"/>
      <c r="K2048" s="115">
        <v>0</v>
      </c>
      <c r="L2048" s="12">
        <f t="shared" si="136"/>
        <v>0</v>
      </c>
      <c r="M2048" s="4">
        <f t="shared" si="137"/>
        <v>0</v>
      </c>
      <c r="N2048" s="4">
        <f t="shared" si="138"/>
        <v>0</v>
      </c>
      <c r="O2048" s="13">
        <f t="shared" si="139"/>
        <v>0</v>
      </c>
    </row>
    <row r="2049" spans="2:15">
      <c r="B2049" s="12">
        <v>18</v>
      </c>
      <c r="C2049" s="4" t="s">
        <v>151</v>
      </c>
      <c r="D2049" s="4" t="s">
        <v>149</v>
      </c>
      <c r="E2049" s="4">
        <v>1</v>
      </c>
      <c r="F2049" s="4">
        <v>6</v>
      </c>
      <c r="G2049" s="4">
        <v>8</v>
      </c>
      <c r="H2049" s="115"/>
      <c r="I2049" s="115"/>
      <c r="J2049" s="115"/>
      <c r="K2049" s="115">
        <v>0</v>
      </c>
      <c r="L2049" s="12">
        <f t="shared" si="136"/>
        <v>0</v>
      </c>
      <c r="M2049" s="4">
        <f t="shared" si="137"/>
        <v>0</v>
      </c>
      <c r="N2049" s="4">
        <f t="shared" si="138"/>
        <v>0</v>
      </c>
      <c r="O2049" s="13">
        <f t="shared" si="139"/>
        <v>0</v>
      </c>
    </row>
    <row r="2050" spans="2:15">
      <c r="B2050" s="12">
        <v>18</v>
      </c>
      <c r="C2050" s="4" t="s">
        <v>151</v>
      </c>
      <c r="D2050" s="4" t="s">
        <v>149</v>
      </c>
      <c r="E2050" s="4">
        <v>1</v>
      </c>
      <c r="F2050" s="4">
        <v>6</v>
      </c>
      <c r="G2050" s="4">
        <v>9</v>
      </c>
      <c r="H2050" s="115"/>
      <c r="I2050" s="115"/>
      <c r="J2050" s="115"/>
      <c r="K2050" s="115">
        <v>0</v>
      </c>
      <c r="L2050" s="12">
        <f t="shared" si="136"/>
        <v>0</v>
      </c>
      <c r="M2050" s="4">
        <f t="shared" si="137"/>
        <v>0</v>
      </c>
      <c r="N2050" s="4">
        <f t="shared" si="138"/>
        <v>0</v>
      </c>
      <c r="O2050" s="13">
        <f t="shared" si="139"/>
        <v>0</v>
      </c>
    </row>
    <row r="2051" spans="2:15" ht="13.8" thickBot="1">
      <c r="B2051" s="14">
        <v>18</v>
      </c>
      <c r="C2051" s="15" t="s">
        <v>151</v>
      </c>
      <c r="D2051" s="15" t="s">
        <v>149</v>
      </c>
      <c r="E2051" s="15">
        <v>1</v>
      </c>
      <c r="F2051" s="15">
        <v>6</v>
      </c>
      <c r="G2051" s="15">
        <v>10</v>
      </c>
      <c r="H2051" s="121"/>
      <c r="I2051" s="121"/>
      <c r="J2051" s="121"/>
      <c r="K2051" s="121">
        <v>0</v>
      </c>
      <c r="L2051" s="14">
        <f t="shared" si="136"/>
        <v>0</v>
      </c>
      <c r="M2051" s="15">
        <f t="shared" si="137"/>
        <v>0</v>
      </c>
      <c r="N2051" s="15">
        <f t="shared" si="138"/>
        <v>0</v>
      </c>
      <c r="O2051" s="16">
        <f t="shared" si="139"/>
        <v>0</v>
      </c>
    </row>
    <row r="2052" spans="2:15">
      <c r="B2052" s="9">
        <v>18</v>
      </c>
      <c r="C2052" s="10" t="s">
        <v>151</v>
      </c>
      <c r="D2052" s="10" t="s">
        <v>154</v>
      </c>
      <c r="E2052" s="93">
        <v>2</v>
      </c>
      <c r="F2052" s="93">
        <v>10</v>
      </c>
      <c r="G2052" s="10">
        <v>1</v>
      </c>
      <c r="H2052" s="120">
        <v>3.2000000000000455</v>
      </c>
      <c r="I2052" s="120">
        <v>0.20000000000004547</v>
      </c>
      <c r="J2052" s="120">
        <v>0.51599999999990587</v>
      </c>
      <c r="K2052" s="120">
        <v>3.9159999999999968</v>
      </c>
      <c r="L2052" s="9">
        <f t="shared" si="136"/>
        <v>0.62324929039790522</v>
      </c>
      <c r="M2052" s="10">
        <f t="shared" si="137"/>
        <v>7.918124604764129E-2</v>
      </c>
      <c r="N2052" s="10">
        <f t="shared" si="138"/>
        <v>0.18069920129600778</v>
      </c>
      <c r="O2052" s="11">
        <f t="shared" si="139"/>
        <v>0.69161187421441617</v>
      </c>
    </row>
    <row r="2053" spans="2:15">
      <c r="B2053" s="12">
        <v>18</v>
      </c>
      <c r="C2053" s="4" t="s">
        <v>151</v>
      </c>
      <c r="D2053" s="4" t="s">
        <v>154</v>
      </c>
      <c r="E2053" s="4">
        <v>2</v>
      </c>
      <c r="F2053" s="4">
        <v>10</v>
      </c>
      <c r="G2053" s="4">
        <v>2</v>
      </c>
      <c r="H2053" s="115">
        <v>0.56699999999995043</v>
      </c>
      <c r="I2053" s="115"/>
      <c r="J2053" s="115"/>
      <c r="K2053" s="115">
        <v>0.56699999999995043</v>
      </c>
      <c r="L2053" s="12">
        <f t="shared" si="136"/>
        <v>0.19506899646857639</v>
      </c>
      <c r="M2053" s="4">
        <f t="shared" si="137"/>
        <v>0</v>
      </c>
      <c r="N2053" s="4">
        <f t="shared" si="138"/>
        <v>0</v>
      </c>
      <c r="O2053" s="13">
        <f t="shared" si="139"/>
        <v>0.19506899646857639</v>
      </c>
    </row>
    <row r="2054" spans="2:15">
      <c r="B2054" s="12">
        <v>18</v>
      </c>
      <c r="C2054" s="4" t="s">
        <v>151</v>
      </c>
      <c r="D2054" s="4" t="s">
        <v>154</v>
      </c>
      <c r="E2054" s="4">
        <v>2</v>
      </c>
      <c r="F2054" s="4">
        <v>10</v>
      </c>
      <c r="G2054" s="4">
        <v>3</v>
      </c>
      <c r="H2054" s="115"/>
      <c r="I2054" s="115">
        <v>0.26599999999996271</v>
      </c>
      <c r="J2054" s="115">
        <v>0.39900000000000091</v>
      </c>
      <c r="K2054" s="115">
        <v>0.66499999999996362</v>
      </c>
      <c r="L2054" s="12">
        <f t="shared" si="136"/>
        <v>0</v>
      </c>
      <c r="M2054" s="4">
        <f t="shared" si="137"/>
        <v>0.10243370568132351</v>
      </c>
      <c r="N2054" s="4">
        <f t="shared" si="138"/>
        <v>0.1458177144918279</v>
      </c>
      <c r="O2054" s="13">
        <f t="shared" si="139"/>
        <v>0.22141423784232919</v>
      </c>
    </row>
    <row r="2055" spans="2:15">
      <c r="B2055" s="12">
        <v>18</v>
      </c>
      <c r="C2055" s="4" t="s">
        <v>151</v>
      </c>
      <c r="D2055" s="4" t="s">
        <v>154</v>
      </c>
      <c r="E2055" s="4">
        <v>2</v>
      </c>
      <c r="F2055" s="4">
        <v>10</v>
      </c>
      <c r="G2055" s="4">
        <v>4</v>
      </c>
      <c r="H2055" s="115">
        <v>1.1660000000000537</v>
      </c>
      <c r="I2055" s="115">
        <v>0.25</v>
      </c>
      <c r="J2055" s="115">
        <v>1.0679999999999268</v>
      </c>
      <c r="K2055" s="115">
        <v>2.4839999999999804</v>
      </c>
      <c r="L2055" s="12">
        <f t="shared" si="136"/>
        <v>0.33565845228931229</v>
      </c>
      <c r="M2055" s="4">
        <f t="shared" si="137"/>
        <v>9.691001300805642E-2</v>
      </c>
      <c r="N2055" s="4">
        <f t="shared" si="138"/>
        <v>0.31555053442188952</v>
      </c>
      <c r="O2055" s="13">
        <f t="shared" si="139"/>
        <v>0.54207814633562312</v>
      </c>
    </row>
    <row r="2056" spans="2:15">
      <c r="B2056" s="12">
        <v>18</v>
      </c>
      <c r="C2056" s="4" t="s">
        <v>151</v>
      </c>
      <c r="D2056" s="4" t="s">
        <v>154</v>
      </c>
      <c r="E2056" s="4">
        <v>2</v>
      </c>
      <c r="F2056" s="4">
        <v>10</v>
      </c>
      <c r="G2056" s="4">
        <v>5</v>
      </c>
      <c r="H2056" s="115">
        <v>0.33300000000008367</v>
      </c>
      <c r="I2056" s="115">
        <v>0.21600000000000819</v>
      </c>
      <c r="J2056" s="115"/>
      <c r="K2056" s="115">
        <v>0.54900000000009186</v>
      </c>
      <c r="L2056" s="12">
        <f t="shared" si="136"/>
        <v>0.12483014941388647</v>
      </c>
      <c r="M2056" s="4">
        <f t="shared" si="137"/>
        <v>8.4933574936719061E-2</v>
      </c>
      <c r="N2056" s="4">
        <f t="shared" si="138"/>
        <v>0</v>
      </c>
      <c r="O2056" s="13">
        <f t="shared" si="139"/>
        <v>0.19005141775923176</v>
      </c>
    </row>
    <row r="2057" spans="2:15">
      <c r="B2057" s="12">
        <v>18</v>
      </c>
      <c r="C2057" s="4" t="s">
        <v>151</v>
      </c>
      <c r="D2057" s="4" t="s">
        <v>154</v>
      </c>
      <c r="E2057" s="4">
        <v>2</v>
      </c>
      <c r="F2057" s="4">
        <v>10</v>
      </c>
      <c r="G2057" s="4">
        <v>6</v>
      </c>
      <c r="H2057" s="115"/>
      <c r="I2057" s="115"/>
      <c r="J2057" s="115"/>
      <c r="K2057" s="115">
        <v>0</v>
      </c>
      <c r="L2057" s="12">
        <f t="shared" si="136"/>
        <v>0</v>
      </c>
      <c r="M2057" s="4">
        <f t="shared" si="137"/>
        <v>0</v>
      </c>
      <c r="N2057" s="4">
        <f t="shared" si="138"/>
        <v>0</v>
      </c>
      <c r="O2057" s="13">
        <f t="shared" si="139"/>
        <v>0</v>
      </c>
    </row>
    <row r="2058" spans="2:15">
      <c r="B2058" s="12">
        <v>18</v>
      </c>
      <c r="C2058" s="4" t="s">
        <v>151</v>
      </c>
      <c r="D2058" s="4" t="s">
        <v>154</v>
      </c>
      <c r="E2058" s="4">
        <v>2</v>
      </c>
      <c r="F2058" s="4">
        <v>10</v>
      </c>
      <c r="G2058" s="4">
        <v>7</v>
      </c>
      <c r="H2058" s="115"/>
      <c r="I2058" s="115"/>
      <c r="J2058" s="115"/>
      <c r="K2058" s="115">
        <v>0</v>
      </c>
      <c r="L2058" s="12">
        <f t="shared" si="136"/>
        <v>0</v>
      </c>
      <c r="M2058" s="4">
        <f t="shared" si="137"/>
        <v>0</v>
      </c>
      <c r="N2058" s="4">
        <f t="shared" si="138"/>
        <v>0</v>
      </c>
      <c r="O2058" s="13">
        <f t="shared" si="139"/>
        <v>0</v>
      </c>
    </row>
    <row r="2059" spans="2:15">
      <c r="B2059" s="12">
        <v>18</v>
      </c>
      <c r="C2059" s="4" t="s">
        <v>151</v>
      </c>
      <c r="D2059" s="4" t="s">
        <v>154</v>
      </c>
      <c r="E2059" s="4">
        <v>2</v>
      </c>
      <c r="F2059" s="4">
        <v>10</v>
      </c>
      <c r="G2059" s="4">
        <v>8</v>
      </c>
      <c r="H2059" s="115"/>
      <c r="I2059" s="115"/>
      <c r="J2059" s="115"/>
      <c r="K2059" s="115">
        <v>0</v>
      </c>
      <c r="L2059" s="12">
        <f t="shared" si="136"/>
        <v>0</v>
      </c>
      <c r="M2059" s="4">
        <f t="shared" si="137"/>
        <v>0</v>
      </c>
      <c r="N2059" s="4">
        <f t="shared" si="138"/>
        <v>0</v>
      </c>
      <c r="O2059" s="13">
        <f t="shared" si="139"/>
        <v>0</v>
      </c>
    </row>
    <row r="2060" spans="2:15">
      <c r="B2060" s="12">
        <v>18</v>
      </c>
      <c r="C2060" s="4" t="s">
        <v>151</v>
      </c>
      <c r="D2060" s="4" t="s">
        <v>154</v>
      </c>
      <c r="E2060" s="4">
        <v>2</v>
      </c>
      <c r="F2060" s="4">
        <v>10</v>
      </c>
      <c r="G2060" s="4">
        <v>9</v>
      </c>
      <c r="H2060" s="115"/>
      <c r="I2060" s="115"/>
      <c r="J2060" s="115"/>
      <c r="K2060" s="115">
        <v>0</v>
      </c>
      <c r="L2060" s="12">
        <f t="shared" si="136"/>
        <v>0</v>
      </c>
      <c r="M2060" s="4">
        <f t="shared" si="137"/>
        <v>0</v>
      </c>
      <c r="N2060" s="4">
        <f t="shared" si="138"/>
        <v>0</v>
      </c>
      <c r="O2060" s="13">
        <f t="shared" si="139"/>
        <v>0</v>
      </c>
    </row>
    <row r="2061" spans="2:15" ht="13.8" thickBot="1">
      <c r="B2061" s="14">
        <v>18</v>
      </c>
      <c r="C2061" s="15" t="s">
        <v>151</v>
      </c>
      <c r="D2061" s="15" t="s">
        <v>154</v>
      </c>
      <c r="E2061" s="15">
        <v>2</v>
      </c>
      <c r="F2061" s="15">
        <v>10</v>
      </c>
      <c r="G2061" s="15">
        <v>10</v>
      </c>
      <c r="H2061" s="121"/>
      <c r="I2061" s="121"/>
      <c r="J2061" s="121"/>
      <c r="K2061" s="121">
        <v>0</v>
      </c>
      <c r="L2061" s="14">
        <f t="shared" si="136"/>
        <v>0</v>
      </c>
      <c r="M2061" s="15">
        <f t="shared" si="137"/>
        <v>0</v>
      </c>
      <c r="N2061" s="15">
        <f t="shared" si="138"/>
        <v>0</v>
      </c>
      <c r="O2061" s="16">
        <f t="shared" si="139"/>
        <v>0</v>
      </c>
    </row>
    <row r="2062" spans="2:15">
      <c r="B2062" s="9">
        <v>18</v>
      </c>
      <c r="C2062" s="10" t="s">
        <v>151</v>
      </c>
      <c r="D2062" s="10" t="s">
        <v>154</v>
      </c>
      <c r="E2062" s="93">
        <v>3</v>
      </c>
      <c r="F2062" s="93">
        <v>12</v>
      </c>
      <c r="G2062" s="10">
        <v>1</v>
      </c>
      <c r="H2062" s="120">
        <v>0.80000000000006821</v>
      </c>
      <c r="I2062" s="120">
        <v>0.46600000000000819</v>
      </c>
      <c r="J2062" s="120">
        <v>2.7169999999999845</v>
      </c>
      <c r="K2062" s="120">
        <v>3.9830000000000609</v>
      </c>
      <c r="L2062" s="9">
        <f t="shared" si="136"/>
        <v>0.2552725051033225</v>
      </c>
      <c r="M2062" s="10">
        <f t="shared" si="137"/>
        <v>0.16613397030511157</v>
      </c>
      <c r="N2062" s="10">
        <f t="shared" si="138"/>
        <v>0.57019256109572414</v>
      </c>
      <c r="O2062" s="11">
        <f t="shared" si="139"/>
        <v>0.69749088717106222</v>
      </c>
    </row>
    <row r="2063" spans="2:15">
      <c r="B2063" s="12">
        <v>18</v>
      </c>
      <c r="C2063" s="4" t="s">
        <v>151</v>
      </c>
      <c r="D2063" s="4" t="s">
        <v>154</v>
      </c>
      <c r="E2063" s="4">
        <v>3</v>
      </c>
      <c r="F2063" s="4">
        <v>12</v>
      </c>
      <c r="G2063" s="4">
        <v>2</v>
      </c>
      <c r="H2063" s="115">
        <v>0.46699999999998454</v>
      </c>
      <c r="I2063" s="115">
        <v>1.1660000000000537</v>
      </c>
      <c r="J2063" s="115">
        <v>0.86600000000009913</v>
      </c>
      <c r="K2063" s="115">
        <v>2.4990000000001373</v>
      </c>
      <c r="L2063" s="12">
        <f t="shared" si="136"/>
        <v>0.1664301138432781</v>
      </c>
      <c r="M2063" s="4">
        <f t="shared" si="137"/>
        <v>0.33565845228931229</v>
      </c>
      <c r="N2063" s="4">
        <f t="shared" si="138"/>
        <v>0.27091163941050422</v>
      </c>
      <c r="O2063" s="13">
        <f t="shared" si="139"/>
        <v>0.54394394248292344</v>
      </c>
    </row>
    <row r="2064" spans="2:15">
      <c r="B2064" s="12">
        <v>18</v>
      </c>
      <c r="C2064" s="4" t="s">
        <v>151</v>
      </c>
      <c r="D2064" s="4" t="s">
        <v>154</v>
      </c>
      <c r="E2064" s="4">
        <v>3</v>
      </c>
      <c r="F2064" s="4">
        <v>12</v>
      </c>
      <c r="G2064" s="4">
        <v>3</v>
      </c>
      <c r="H2064" s="115">
        <v>0.78199999999992542</v>
      </c>
      <c r="I2064" s="115"/>
      <c r="J2064" s="115"/>
      <c r="K2064" s="115">
        <v>0.78199999999992542</v>
      </c>
      <c r="L2064" s="12">
        <f t="shared" si="136"/>
        <v>0.25090769970083782</v>
      </c>
      <c r="M2064" s="4">
        <f t="shared" si="137"/>
        <v>0</v>
      </c>
      <c r="N2064" s="4">
        <f t="shared" si="138"/>
        <v>0</v>
      </c>
      <c r="O2064" s="13">
        <f t="shared" si="139"/>
        <v>0.25090769970083782</v>
      </c>
    </row>
    <row r="2065" spans="2:15">
      <c r="B2065" s="12">
        <v>18</v>
      </c>
      <c r="C2065" s="4" t="s">
        <v>151</v>
      </c>
      <c r="D2065" s="4" t="s">
        <v>154</v>
      </c>
      <c r="E2065" s="4">
        <v>3</v>
      </c>
      <c r="F2065" s="4">
        <v>12</v>
      </c>
      <c r="G2065" s="4">
        <v>4</v>
      </c>
      <c r="H2065" s="115"/>
      <c r="I2065" s="115"/>
      <c r="J2065" s="115"/>
      <c r="K2065" s="115">
        <v>0</v>
      </c>
      <c r="L2065" s="12">
        <f t="shared" si="136"/>
        <v>0</v>
      </c>
      <c r="M2065" s="4">
        <f t="shared" si="137"/>
        <v>0</v>
      </c>
      <c r="N2065" s="4">
        <f t="shared" si="138"/>
        <v>0</v>
      </c>
      <c r="O2065" s="13">
        <f t="shared" si="139"/>
        <v>0</v>
      </c>
    </row>
    <row r="2066" spans="2:15">
      <c r="B2066" s="12">
        <v>18</v>
      </c>
      <c r="C2066" s="4" t="s">
        <v>151</v>
      </c>
      <c r="D2066" s="4" t="s">
        <v>154</v>
      </c>
      <c r="E2066" s="4">
        <v>3</v>
      </c>
      <c r="F2066" s="4">
        <v>12</v>
      </c>
      <c r="G2066" s="4">
        <v>5</v>
      </c>
      <c r="H2066" s="115"/>
      <c r="I2066" s="115"/>
      <c r="J2066" s="115"/>
      <c r="K2066" s="115">
        <v>0</v>
      </c>
      <c r="L2066" s="12">
        <f t="shared" si="136"/>
        <v>0</v>
      </c>
      <c r="M2066" s="4">
        <f t="shared" si="137"/>
        <v>0</v>
      </c>
      <c r="N2066" s="4">
        <f t="shared" si="138"/>
        <v>0</v>
      </c>
      <c r="O2066" s="13">
        <f t="shared" si="139"/>
        <v>0</v>
      </c>
    </row>
    <row r="2067" spans="2:15">
      <c r="B2067" s="12">
        <v>18</v>
      </c>
      <c r="C2067" s="4" t="s">
        <v>151</v>
      </c>
      <c r="D2067" s="4" t="s">
        <v>154</v>
      </c>
      <c r="E2067" s="4">
        <v>3</v>
      </c>
      <c r="F2067" s="4">
        <v>12</v>
      </c>
      <c r="G2067" s="4">
        <v>6</v>
      </c>
      <c r="H2067" s="115"/>
      <c r="I2067" s="115"/>
      <c r="J2067" s="115"/>
      <c r="K2067" s="115">
        <v>0</v>
      </c>
      <c r="L2067" s="12">
        <f t="shared" si="136"/>
        <v>0</v>
      </c>
      <c r="M2067" s="4">
        <f t="shared" si="137"/>
        <v>0</v>
      </c>
      <c r="N2067" s="4">
        <f t="shared" si="138"/>
        <v>0</v>
      </c>
      <c r="O2067" s="13">
        <f t="shared" si="139"/>
        <v>0</v>
      </c>
    </row>
    <row r="2068" spans="2:15">
      <c r="B2068" s="12">
        <v>18</v>
      </c>
      <c r="C2068" s="4" t="s">
        <v>151</v>
      </c>
      <c r="D2068" s="4" t="s">
        <v>154</v>
      </c>
      <c r="E2068" s="4">
        <v>3</v>
      </c>
      <c r="F2068" s="4">
        <v>12</v>
      </c>
      <c r="G2068" s="4">
        <v>7</v>
      </c>
      <c r="H2068" s="115"/>
      <c r="I2068" s="115"/>
      <c r="J2068" s="115"/>
      <c r="K2068" s="115">
        <v>0</v>
      </c>
      <c r="L2068" s="12">
        <f t="shared" si="136"/>
        <v>0</v>
      </c>
      <c r="M2068" s="4">
        <f t="shared" si="137"/>
        <v>0</v>
      </c>
      <c r="N2068" s="4">
        <f t="shared" si="138"/>
        <v>0</v>
      </c>
      <c r="O2068" s="13">
        <f t="shared" si="139"/>
        <v>0</v>
      </c>
    </row>
    <row r="2069" spans="2:15">
      <c r="B2069" s="12">
        <v>18</v>
      </c>
      <c r="C2069" s="4" t="s">
        <v>151</v>
      </c>
      <c r="D2069" s="4" t="s">
        <v>154</v>
      </c>
      <c r="E2069" s="4">
        <v>3</v>
      </c>
      <c r="F2069" s="4">
        <v>12</v>
      </c>
      <c r="G2069" s="4">
        <v>8</v>
      </c>
      <c r="H2069" s="115"/>
      <c r="I2069" s="115"/>
      <c r="J2069" s="115"/>
      <c r="K2069" s="115">
        <v>0</v>
      </c>
      <c r="L2069" s="12">
        <f t="shared" si="136"/>
        <v>0</v>
      </c>
      <c r="M2069" s="4">
        <f t="shared" si="137"/>
        <v>0</v>
      </c>
      <c r="N2069" s="4">
        <f t="shared" si="138"/>
        <v>0</v>
      </c>
      <c r="O2069" s="13">
        <f t="shared" si="139"/>
        <v>0</v>
      </c>
    </row>
    <row r="2070" spans="2:15">
      <c r="B2070" s="12">
        <v>18</v>
      </c>
      <c r="C2070" s="4" t="s">
        <v>151</v>
      </c>
      <c r="D2070" s="4" t="s">
        <v>154</v>
      </c>
      <c r="E2070" s="4">
        <v>3</v>
      </c>
      <c r="F2070" s="4">
        <v>12</v>
      </c>
      <c r="G2070" s="4">
        <v>9</v>
      </c>
      <c r="H2070" s="115"/>
      <c r="I2070" s="115"/>
      <c r="J2070" s="115"/>
      <c r="K2070" s="115">
        <v>0</v>
      </c>
      <c r="L2070" s="12">
        <f t="shared" si="136"/>
        <v>0</v>
      </c>
      <c r="M2070" s="4">
        <f t="shared" si="137"/>
        <v>0</v>
      </c>
      <c r="N2070" s="4">
        <f t="shared" si="138"/>
        <v>0</v>
      </c>
      <c r="O2070" s="13">
        <f t="shared" si="139"/>
        <v>0</v>
      </c>
    </row>
    <row r="2071" spans="2:15" ht="13.8" thickBot="1">
      <c r="B2071" s="14">
        <v>18</v>
      </c>
      <c r="C2071" s="15" t="s">
        <v>151</v>
      </c>
      <c r="D2071" s="15" t="s">
        <v>154</v>
      </c>
      <c r="E2071" s="15">
        <v>3</v>
      </c>
      <c r="F2071" s="15">
        <v>12</v>
      </c>
      <c r="G2071" s="15">
        <v>10</v>
      </c>
      <c r="H2071" s="121"/>
      <c r="I2071" s="121"/>
      <c r="J2071" s="121"/>
      <c r="K2071" s="121">
        <v>0</v>
      </c>
      <c r="L2071" s="14">
        <f t="shared" si="136"/>
        <v>0</v>
      </c>
      <c r="M2071" s="15">
        <f t="shared" si="137"/>
        <v>0</v>
      </c>
      <c r="N2071" s="15">
        <f t="shared" si="138"/>
        <v>0</v>
      </c>
      <c r="O2071" s="16">
        <f t="shared" si="139"/>
        <v>0</v>
      </c>
    </row>
    <row r="2072" spans="2:15">
      <c r="B2072" s="9">
        <v>18</v>
      </c>
      <c r="C2072" s="10" t="s">
        <v>151</v>
      </c>
      <c r="D2072" s="10" t="s">
        <v>150</v>
      </c>
      <c r="E2072" s="93">
        <v>4</v>
      </c>
      <c r="F2072" s="93">
        <v>2</v>
      </c>
      <c r="G2072" s="10">
        <v>1</v>
      </c>
      <c r="H2072" s="120">
        <v>3.1660000000000394</v>
      </c>
      <c r="I2072" s="120">
        <v>0.93200000000001637</v>
      </c>
      <c r="J2072" s="120">
        <v>3.699999999999946</v>
      </c>
      <c r="K2072" s="120">
        <v>7.7980000000000018</v>
      </c>
      <c r="L2072" s="9">
        <f t="shared" si="136"/>
        <v>0.61971926561173118</v>
      </c>
      <c r="M2072" s="10">
        <f t="shared" si="137"/>
        <v>0.2860071220794782</v>
      </c>
      <c r="N2072" s="10">
        <f t="shared" si="138"/>
        <v>0.67209785793571253</v>
      </c>
      <c r="O2072" s="11">
        <f t="shared" si="139"/>
        <v>0.94438395764084426</v>
      </c>
    </row>
    <row r="2073" spans="2:15">
      <c r="B2073" s="12">
        <v>18</v>
      </c>
      <c r="C2073" s="4" t="s">
        <v>151</v>
      </c>
      <c r="D2073" s="4" t="s">
        <v>150</v>
      </c>
      <c r="E2073" s="4">
        <v>4</v>
      </c>
      <c r="F2073" s="4">
        <v>2</v>
      </c>
      <c r="G2073" s="4">
        <v>2</v>
      </c>
      <c r="H2073" s="115">
        <v>1.4480000000000075</v>
      </c>
      <c r="I2073" s="115">
        <v>0.53400000000002024</v>
      </c>
      <c r="J2073" s="115">
        <v>0.93500000000000227</v>
      </c>
      <c r="K2073" s="115">
        <v>2.91700000000003</v>
      </c>
      <c r="L2073" s="12">
        <f t="shared" si="136"/>
        <v>0.38881141347352494</v>
      </c>
      <c r="M2073" s="4">
        <f t="shared" si="137"/>
        <v>0.18582535961296789</v>
      </c>
      <c r="N2073" s="4">
        <f t="shared" si="138"/>
        <v>0.2866809693549307</v>
      </c>
      <c r="O2073" s="13">
        <f t="shared" si="139"/>
        <v>0.59295357154786921</v>
      </c>
    </row>
    <row r="2074" spans="2:15">
      <c r="B2074" s="12">
        <v>18</v>
      </c>
      <c r="C2074" s="4" t="s">
        <v>151</v>
      </c>
      <c r="D2074" s="4" t="s">
        <v>150</v>
      </c>
      <c r="E2074" s="4">
        <v>4</v>
      </c>
      <c r="F2074" s="4">
        <v>2</v>
      </c>
      <c r="G2074" s="4">
        <v>3</v>
      </c>
      <c r="H2074" s="115"/>
      <c r="I2074" s="115"/>
      <c r="J2074" s="115"/>
      <c r="K2074" s="115">
        <v>0</v>
      </c>
      <c r="L2074" s="12">
        <f t="shared" si="136"/>
        <v>0</v>
      </c>
      <c r="M2074" s="4">
        <f t="shared" si="137"/>
        <v>0</v>
      </c>
      <c r="N2074" s="4">
        <f t="shared" si="138"/>
        <v>0</v>
      </c>
      <c r="O2074" s="13">
        <f t="shared" si="139"/>
        <v>0</v>
      </c>
    </row>
    <row r="2075" spans="2:15">
      <c r="B2075" s="12">
        <v>18</v>
      </c>
      <c r="C2075" s="4" t="s">
        <v>151</v>
      </c>
      <c r="D2075" s="4" t="s">
        <v>150</v>
      </c>
      <c r="E2075" s="4">
        <v>4</v>
      </c>
      <c r="F2075" s="4">
        <v>2</v>
      </c>
      <c r="G2075" s="4">
        <v>4</v>
      </c>
      <c r="H2075" s="115"/>
      <c r="I2075" s="115"/>
      <c r="J2075" s="115"/>
      <c r="K2075" s="115">
        <v>0</v>
      </c>
      <c r="L2075" s="12">
        <f t="shared" si="136"/>
        <v>0</v>
      </c>
      <c r="M2075" s="4">
        <f t="shared" si="137"/>
        <v>0</v>
      </c>
      <c r="N2075" s="4">
        <f t="shared" si="138"/>
        <v>0</v>
      </c>
      <c r="O2075" s="13">
        <f t="shared" si="139"/>
        <v>0</v>
      </c>
    </row>
    <row r="2076" spans="2:15">
      <c r="B2076" s="12">
        <v>18</v>
      </c>
      <c r="C2076" s="4" t="s">
        <v>151</v>
      </c>
      <c r="D2076" s="4" t="s">
        <v>150</v>
      </c>
      <c r="E2076" s="4">
        <v>4</v>
      </c>
      <c r="F2076" s="4">
        <v>2</v>
      </c>
      <c r="G2076" s="4">
        <v>5</v>
      </c>
      <c r="H2076" s="115"/>
      <c r="I2076" s="115"/>
      <c r="J2076" s="115"/>
      <c r="K2076" s="115">
        <v>0</v>
      </c>
      <c r="L2076" s="12">
        <f t="shared" si="136"/>
        <v>0</v>
      </c>
      <c r="M2076" s="4">
        <f t="shared" si="137"/>
        <v>0</v>
      </c>
      <c r="N2076" s="4">
        <f t="shared" si="138"/>
        <v>0</v>
      </c>
      <c r="O2076" s="13">
        <f t="shared" si="139"/>
        <v>0</v>
      </c>
    </row>
    <row r="2077" spans="2:15">
      <c r="B2077" s="12">
        <v>18</v>
      </c>
      <c r="C2077" s="4" t="s">
        <v>151</v>
      </c>
      <c r="D2077" s="4" t="s">
        <v>150</v>
      </c>
      <c r="E2077" s="4">
        <v>4</v>
      </c>
      <c r="F2077" s="4">
        <v>2</v>
      </c>
      <c r="G2077" s="4">
        <v>6</v>
      </c>
      <c r="H2077" s="115"/>
      <c r="I2077" s="115"/>
      <c r="J2077" s="115"/>
      <c r="K2077" s="115">
        <v>0</v>
      </c>
      <c r="L2077" s="12">
        <f t="shared" si="136"/>
        <v>0</v>
      </c>
      <c r="M2077" s="4">
        <f t="shared" si="137"/>
        <v>0</v>
      </c>
      <c r="N2077" s="4">
        <f t="shared" si="138"/>
        <v>0</v>
      </c>
      <c r="O2077" s="13">
        <f t="shared" si="139"/>
        <v>0</v>
      </c>
    </row>
    <row r="2078" spans="2:15">
      <c r="B2078" s="12">
        <v>18</v>
      </c>
      <c r="C2078" s="4" t="s">
        <v>151</v>
      </c>
      <c r="D2078" s="4" t="s">
        <v>150</v>
      </c>
      <c r="E2078" s="4">
        <v>4</v>
      </c>
      <c r="F2078" s="4">
        <v>2</v>
      </c>
      <c r="G2078" s="4">
        <v>7</v>
      </c>
      <c r="H2078" s="115"/>
      <c r="I2078" s="115"/>
      <c r="J2078" s="115"/>
      <c r="K2078" s="115">
        <v>0</v>
      </c>
      <c r="L2078" s="12">
        <f t="shared" si="136"/>
        <v>0</v>
      </c>
      <c r="M2078" s="4">
        <f t="shared" si="137"/>
        <v>0</v>
      </c>
      <c r="N2078" s="4">
        <f t="shared" si="138"/>
        <v>0</v>
      </c>
      <c r="O2078" s="13">
        <f t="shared" si="139"/>
        <v>0</v>
      </c>
    </row>
    <row r="2079" spans="2:15">
      <c r="B2079" s="12">
        <v>18</v>
      </c>
      <c r="C2079" s="4" t="s">
        <v>151</v>
      </c>
      <c r="D2079" s="4" t="s">
        <v>150</v>
      </c>
      <c r="E2079" s="4">
        <v>4</v>
      </c>
      <c r="F2079" s="4">
        <v>2</v>
      </c>
      <c r="G2079" s="4">
        <v>8</v>
      </c>
      <c r="H2079" s="115"/>
      <c r="I2079" s="115"/>
      <c r="J2079" s="115"/>
      <c r="K2079" s="115">
        <v>0</v>
      </c>
      <c r="L2079" s="12">
        <f t="shared" si="136"/>
        <v>0</v>
      </c>
      <c r="M2079" s="4">
        <f t="shared" si="137"/>
        <v>0</v>
      </c>
      <c r="N2079" s="4">
        <f t="shared" si="138"/>
        <v>0</v>
      </c>
      <c r="O2079" s="13">
        <f t="shared" si="139"/>
        <v>0</v>
      </c>
    </row>
    <row r="2080" spans="2:15">
      <c r="B2080" s="12">
        <v>18</v>
      </c>
      <c r="C2080" s="4" t="s">
        <v>151</v>
      </c>
      <c r="D2080" s="4" t="s">
        <v>150</v>
      </c>
      <c r="E2080" s="4">
        <v>4</v>
      </c>
      <c r="F2080" s="4">
        <v>2</v>
      </c>
      <c r="G2080" s="4">
        <v>9</v>
      </c>
      <c r="H2080" s="115"/>
      <c r="I2080" s="115"/>
      <c r="J2080" s="115"/>
      <c r="K2080" s="115">
        <v>0</v>
      </c>
      <c r="L2080" s="12">
        <f t="shared" si="136"/>
        <v>0</v>
      </c>
      <c r="M2080" s="4">
        <f t="shared" si="137"/>
        <v>0</v>
      </c>
      <c r="N2080" s="4">
        <f t="shared" si="138"/>
        <v>0</v>
      </c>
      <c r="O2080" s="13">
        <f t="shared" si="139"/>
        <v>0</v>
      </c>
    </row>
    <row r="2081" spans="2:15" ht="13.8" thickBot="1">
      <c r="B2081" s="14">
        <v>18</v>
      </c>
      <c r="C2081" s="15" t="s">
        <v>151</v>
      </c>
      <c r="D2081" s="15" t="s">
        <v>150</v>
      </c>
      <c r="E2081" s="15">
        <v>4</v>
      </c>
      <c r="F2081" s="15">
        <v>2</v>
      </c>
      <c r="G2081" s="15">
        <v>10</v>
      </c>
      <c r="H2081" s="121"/>
      <c r="I2081" s="121"/>
      <c r="J2081" s="121"/>
      <c r="K2081" s="121">
        <v>0</v>
      </c>
      <c r="L2081" s="14">
        <f t="shared" si="136"/>
        <v>0</v>
      </c>
      <c r="M2081" s="15">
        <f t="shared" si="137"/>
        <v>0</v>
      </c>
      <c r="N2081" s="15">
        <f t="shared" si="138"/>
        <v>0</v>
      </c>
      <c r="O2081" s="16">
        <f t="shared" si="139"/>
        <v>0</v>
      </c>
    </row>
    <row r="2082" spans="2:15">
      <c r="B2082" s="9">
        <v>18</v>
      </c>
      <c r="C2082" s="10" t="s">
        <v>151</v>
      </c>
      <c r="D2082" s="10" t="s">
        <v>150</v>
      </c>
      <c r="E2082" s="93">
        <v>5</v>
      </c>
      <c r="F2082" s="93">
        <v>4</v>
      </c>
      <c r="G2082" s="10">
        <v>1</v>
      </c>
      <c r="H2082" s="120">
        <v>2.5810000000000741</v>
      </c>
      <c r="I2082" s="120">
        <v>0.39899999999997249</v>
      </c>
      <c r="J2082" s="120">
        <v>1.8659999999999854</v>
      </c>
      <c r="K2082" s="120">
        <v>4.8460000000000321</v>
      </c>
      <c r="L2082" s="9">
        <f t="shared" si="136"/>
        <v>0.55400432101191188</v>
      </c>
      <c r="M2082" s="10">
        <f t="shared" si="137"/>
        <v>0.1458177144918191</v>
      </c>
      <c r="N2082" s="10">
        <f t="shared" si="138"/>
        <v>0.45727618606132348</v>
      </c>
      <c r="O2082" s="11">
        <f t="shared" si="139"/>
        <v>0.76685881102141995</v>
      </c>
    </row>
    <row r="2083" spans="2:15">
      <c r="B2083" s="12">
        <v>18</v>
      </c>
      <c r="C2083" s="4" t="s">
        <v>151</v>
      </c>
      <c r="D2083" s="4" t="s">
        <v>150</v>
      </c>
      <c r="E2083" s="4">
        <v>5</v>
      </c>
      <c r="F2083" s="4">
        <v>4</v>
      </c>
      <c r="G2083" s="4">
        <v>2</v>
      </c>
      <c r="H2083" s="115">
        <v>1.8840000000000714</v>
      </c>
      <c r="I2083" s="115">
        <v>0.36699999999999022</v>
      </c>
      <c r="J2083" s="115">
        <v>0.76699999999999591</v>
      </c>
      <c r="K2083" s="115">
        <v>3.0180000000000575</v>
      </c>
      <c r="L2083" s="12">
        <f t="shared" si="136"/>
        <v>0.45999525604740216</v>
      </c>
      <c r="M2083" s="4">
        <f t="shared" si="137"/>
        <v>0.13576851456781916</v>
      </c>
      <c r="N2083" s="4">
        <f t="shared" si="138"/>
        <v>0.24723654950676308</v>
      </c>
      <c r="O2083" s="13">
        <f t="shared" si="139"/>
        <v>0.60400993241223655</v>
      </c>
    </row>
    <row r="2084" spans="2:15">
      <c r="B2084" s="12">
        <v>18</v>
      </c>
      <c r="C2084" s="4" t="s">
        <v>151</v>
      </c>
      <c r="D2084" s="4" t="s">
        <v>150</v>
      </c>
      <c r="E2084" s="4">
        <v>5</v>
      </c>
      <c r="F2084" s="4">
        <v>4</v>
      </c>
      <c r="G2084" s="4">
        <v>3</v>
      </c>
      <c r="H2084" s="115">
        <v>1.7639999999999816</v>
      </c>
      <c r="I2084" s="115">
        <v>0.28300000000001546</v>
      </c>
      <c r="J2084" s="115"/>
      <c r="K2084" s="115">
        <v>2.046999999999997</v>
      </c>
      <c r="L2084" s="12">
        <f t="shared" si="136"/>
        <v>0.44153803870215791</v>
      </c>
      <c r="M2084" s="4">
        <f t="shared" si="137"/>
        <v>0.10822665637493374</v>
      </c>
      <c r="N2084" s="4">
        <f t="shared" si="138"/>
        <v>0</v>
      </c>
      <c r="O2084" s="13">
        <f t="shared" si="139"/>
        <v>0.48387245422267317</v>
      </c>
    </row>
    <row r="2085" spans="2:15">
      <c r="B2085" s="12">
        <v>18</v>
      </c>
      <c r="C2085" s="4" t="s">
        <v>151</v>
      </c>
      <c r="D2085" s="4" t="s">
        <v>150</v>
      </c>
      <c r="E2085" s="4">
        <v>5</v>
      </c>
      <c r="F2085" s="4">
        <v>4</v>
      </c>
      <c r="G2085" s="4">
        <v>4</v>
      </c>
      <c r="H2085" s="115"/>
      <c r="I2085" s="115"/>
      <c r="J2085" s="115"/>
      <c r="K2085" s="115">
        <v>0</v>
      </c>
      <c r="L2085" s="12">
        <f t="shared" si="136"/>
        <v>0</v>
      </c>
      <c r="M2085" s="4">
        <f t="shared" si="137"/>
        <v>0</v>
      </c>
      <c r="N2085" s="4">
        <f t="shared" si="138"/>
        <v>0</v>
      </c>
      <c r="O2085" s="13">
        <f t="shared" si="139"/>
        <v>0</v>
      </c>
    </row>
    <row r="2086" spans="2:15">
      <c r="B2086" s="12">
        <v>18</v>
      </c>
      <c r="C2086" s="4" t="s">
        <v>151</v>
      </c>
      <c r="D2086" s="4" t="s">
        <v>150</v>
      </c>
      <c r="E2086" s="4">
        <v>5</v>
      </c>
      <c r="F2086" s="4">
        <v>4</v>
      </c>
      <c r="G2086" s="4">
        <v>5</v>
      </c>
      <c r="H2086" s="115"/>
      <c r="I2086" s="115"/>
      <c r="J2086" s="115"/>
      <c r="K2086" s="115">
        <v>0</v>
      </c>
      <c r="L2086" s="12">
        <f t="shared" si="136"/>
        <v>0</v>
      </c>
      <c r="M2086" s="4">
        <f t="shared" si="137"/>
        <v>0</v>
      </c>
      <c r="N2086" s="4">
        <f t="shared" si="138"/>
        <v>0</v>
      </c>
      <c r="O2086" s="13">
        <f t="shared" si="139"/>
        <v>0</v>
      </c>
    </row>
    <row r="2087" spans="2:15">
      <c r="B2087" s="12">
        <v>18</v>
      </c>
      <c r="C2087" s="4" t="s">
        <v>151</v>
      </c>
      <c r="D2087" s="4" t="s">
        <v>150</v>
      </c>
      <c r="E2087" s="4">
        <v>5</v>
      </c>
      <c r="F2087" s="4">
        <v>4</v>
      </c>
      <c r="G2087" s="4">
        <v>6</v>
      </c>
      <c r="H2087" s="115"/>
      <c r="I2087" s="115"/>
      <c r="J2087" s="115"/>
      <c r="K2087" s="115">
        <v>0</v>
      </c>
      <c r="L2087" s="12">
        <f t="shared" ref="L2087:L2150" si="140">LOG10(H2087+1)</f>
        <v>0</v>
      </c>
      <c r="M2087" s="4">
        <f t="shared" ref="M2087:M2150" si="141">LOG10(I2087+1)</f>
        <v>0</v>
      </c>
      <c r="N2087" s="4">
        <f t="shared" ref="N2087:N2150" si="142">LOG10(J2087+1)</f>
        <v>0</v>
      </c>
      <c r="O2087" s="13">
        <f t="shared" ref="O2087:O2150" si="143">LOG10(K2087+1)</f>
        <v>0</v>
      </c>
    </row>
    <row r="2088" spans="2:15">
      <c r="B2088" s="12">
        <v>18</v>
      </c>
      <c r="C2088" s="4" t="s">
        <v>151</v>
      </c>
      <c r="D2088" s="4" t="s">
        <v>150</v>
      </c>
      <c r="E2088" s="4">
        <v>5</v>
      </c>
      <c r="F2088" s="4">
        <v>4</v>
      </c>
      <c r="G2088" s="4">
        <v>7</v>
      </c>
      <c r="H2088" s="115"/>
      <c r="I2088" s="115"/>
      <c r="J2088" s="115"/>
      <c r="K2088" s="115">
        <v>0</v>
      </c>
      <c r="L2088" s="12">
        <f t="shared" si="140"/>
        <v>0</v>
      </c>
      <c r="M2088" s="4">
        <f t="shared" si="141"/>
        <v>0</v>
      </c>
      <c r="N2088" s="4">
        <f t="shared" si="142"/>
        <v>0</v>
      </c>
      <c r="O2088" s="13">
        <f t="shared" si="143"/>
        <v>0</v>
      </c>
    </row>
    <row r="2089" spans="2:15">
      <c r="B2089" s="12">
        <v>18</v>
      </c>
      <c r="C2089" s="4" t="s">
        <v>151</v>
      </c>
      <c r="D2089" s="4" t="s">
        <v>150</v>
      </c>
      <c r="E2089" s="4">
        <v>5</v>
      </c>
      <c r="F2089" s="4">
        <v>4</v>
      </c>
      <c r="G2089" s="4">
        <v>8</v>
      </c>
      <c r="H2089" s="115"/>
      <c r="I2089" s="115"/>
      <c r="J2089" s="115"/>
      <c r="K2089" s="115">
        <v>0</v>
      </c>
      <c r="L2089" s="12">
        <f t="shared" si="140"/>
        <v>0</v>
      </c>
      <c r="M2089" s="4">
        <f t="shared" si="141"/>
        <v>0</v>
      </c>
      <c r="N2089" s="4">
        <f t="shared" si="142"/>
        <v>0</v>
      </c>
      <c r="O2089" s="13">
        <f t="shared" si="143"/>
        <v>0</v>
      </c>
    </row>
    <row r="2090" spans="2:15">
      <c r="B2090" s="12">
        <v>18</v>
      </c>
      <c r="C2090" s="4" t="s">
        <v>151</v>
      </c>
      <c r="D2090" s="4" t="s">
        <v>150</v>
      </c>
      <c r="E2090" s="4">
        <v>5</v>
      </c>
      <c r="F2090" s="4">
        <v>4</v>
      </c>
      <c r="G2090" s="4">
        <v>9</v>
      </c>
      <c r="H2090" s="115"/>
      <c r="I2090" s="115"/>
      <c r="J2090" s="115"/>
      <c r="K2090" s="115">
        <v>0</v>
      </c>
      <c r="L2090" s="12">
        <f t="shared" si="140"/>
        <v>0</v>
      </c>
      <c r="M2090" s="4">
        <f t="shared" si="141"/>
        <v>0</v>
      </c>
      <c r="N2090" s="4">
        <f t="shared" si="142"/>
        <v>0</v>
      </c>
      <c r="O2090" s="13">
        <f t="shared" si="143"/>
        <v>0</v>
      </c>
    </row>
    <row r="2091" spans="2:15" ht="13.8" thickBot="1">
      <c r="B2091" s="14">
        <v>18</v>
      </c>
      <c r="C2091" s="15" t="s">
        <v>151</v>
      </c>
      <c r="D2091" s="15" t="s">
        <v>150</v>
      </c>
      <c r="E2091" s="15">
        <v>5</v>
      </c>
      <c r="F2091" s="15">
        <v>4</v>
      </c>
      <c r="G2091" s="15">
        <v>10</v>
      </c>
      <c r="H2091" s="121"/>
      <c r="I2091" s="121"/>
      <c r="J2091" s="121"/>
      <c r="K2091" s="121">
        <v>0</v>
      </c>
      <c r="L2091" s="14">
        <f t="shared" si="140"/>
        <v>0</v>
      </c>
      <c r="M2091" s="15">
        <f t="shared" si="141"/>
        <v>0</v>
      </c>
      <c r="N2091" s="15">
        <f t="shared" si="142"/>
        <v>0</v>
      </c>
      <c r="O2091" s="16">
        <f t="shared" si="143"/>
        <v>0</v>
      </c>
    </row>
    <row r="2092" spans="2:15">
      <c r="B2092" s="9">
        <v>18</v>
      </c>
      <c r="C2092" s="10" t="s">
        <v>151</v>
      </c>
      <c r="D2092" s="10" t="s">
        <v>149</v>
      </c>
      <c r="E2092" s="93">
        <v>6</v>
      </c>
      <c r="F2092" s="93">
        <v>8</v>
      </c>
      <c r="G2092" s="10">
        <v>1</v>
      </c>
      <c r="H2092" s="120">
        <v>1.6500000000000909</v>
      </c>
      <c r="I2092" s="120">
        <v>0.1330000000000382</v>
      </c>
      <c r="J2092" s="120">
        <v>0.54900000000003502</v>
      </c>
      <c r="K2092" s="120">
        <v>2.3320000000001642</v>
      </c>
      <c r="L2092" s="9">
        <f t="shared" si="140"/>
        <v>0.42324587393682278</v>
      </c>
      <c r="M2092" s="10">
        <f t="shared" si="141"/>
        <v>5.422990986341189E-2</v>
      </c>
      <c r="N2092" s="10">
        <f t="shared" si="142"/>
        <v>0.19005141775921583</v>
      </c>
      <c r="O2092" s="11">
        <f t="shared" si="143"/>
        <v>0.52270499273477133</v>
      </c>
    </row>
    <row r="2093" spans="2:15">
      <c r="B2093" s="12">
        <v>18</v>
      </c>
      <c r="C2093" s="4" t="s">
        <v>151</v>
      </c>
      <c r="D2093" s="4" t="s">
        <v>149</v>
      </c>
      <c r="E2093" s="4">
        <v>6</v>
      </c>
      <c r="F2093" s="4">
        <v>8</v>
      </c>
      <c r="G2093" s="4">
        <v>2</v>
      </c>
      <c r="H2093" s="115"/>
      <c r="I2093" s="115"/>
      <c r="J2093" s="115"/>
      <c r="K2093" s="115">
        <v>0</v>
      </c>
      <c r="L2093" s="12">
        <f t="shared" si="140"/>
        <v>0</v>
      </c>
      <c r="M2093" s="4">
        <f t="shared" si="141"/>
        <v>0</v>
      </c>
      <c r="N2093" s="4">
        <f t="shared" si="142"/>
        <v>0</v>
      </c>
      <c r="O2093" s="13">
        <f t="shared" si="143"/>
        <v>0</v>
      </c>
    </row>
    <row r="2094" spans="2:15">
      <c r="B2094" s="12">
        <v>18</v>
      </c>
      <c r="C2094" s="4" t="s">
        <v>151</v>
      </c>
      <c r="D2094" s="4" t="s">
        <v>149</v>
      </c>
      <c r="E2094" s="4">
        <v>6</v>
      </c>
      <c r="F2094" s="4">
        <v>8</v>
      </c>
      <c r="G2094" s="4">
        <v>3</v>
      </c>
      <c r="H2094" s="115"/>
      <c r="I2094" s="115"/>
      <c r="J2094" s="115"/>
      <c r="K2094" s="115">
        <v>0</v>
      </c>
      <c r="L2094" s="12">
        <f t="shared" si="140"/>
        <v>0</v>
      </c>
      <c r="M2094" s="4">
        <f t="shared" si="141"/>
        <v>0</v>
      </c>
      <c r="N2094" s="4">
        <f t="shared" si="142"/>
        <v>0</v>
      </c>
      <c r="O2094" s="13">
        <f t="shared" si="143"/>
        <v>0</v>
      </c>
    </row>
    <row r="2095" spans="2:15">
      <c r="B2095" s="12">
        <v>18</v>
      </c>
      <c r="C2095" s="4" t="s">
        <v>151</v>
      </c>
      <c r="D2095" s="4" t="s">
        <v>149</v>
      </c>
      <c r="E2095" s="4">
        <v>6</v>
      </c>
      <c r="F2095" s="4">
        <v>8</v>
      </c>
      <c r="G2095" s="4">
        <v>4</v>
      </c>
      <c r="H2095" s="115"/>
      <c r="I2095" s="115"/>
      <c r="J2095" s="115"/>
      <c r="K2095" s="115">
        <v>0</v>
      </c>
      <c r="L2095" s="12">
        <f t="shared" si="140"/>
        <v>0</v>
      </c>
      <c r="M2095" s="4">
        <f t="shared" si="141"/>
        <v>0</v>
      </c>
      <c r="N2095" s="4">
        <f t="shared" si="142"/>
        <v>0</v>
      </c>
      <c r="O2095" s="13">
        <f t="shared" si="143"/>
        <v>0</v>
      </c>
    </row>
    <row r="2096" spans="2:15">
      <c r="B2096" s="12">
        <v>18</v>
      </c>
      <c r="C2096" s="4" t="s">
        <v>151</v>
      </c>
      <c r="D2096" s="4" t="s">
        <v>149</v>
      </c>
      <c r="E2096" s="4">
        <v>6</v>
      </c>
      <c r="F2096" s="4">
        <v>8</v>
      </c>
      <c r="G2096" s="4">
        <v>5</v>
      </c>
      <c r="H2096" s="115"/>
      <c r="I2096" s="115"/>
      <c r="J2096" s="115"/>
      <c r="K2096" s="115">
        <v>0</v>
      </c>
      <c r="L2096" s="12">
        <f t="shared" si="140"/>
        <v>0</v>
      </c>
      <c r="M2096" s="4">
        <f t="shared" si="141"/>
        <v>0</v>
      </c>
      <c r="N2096" s="4">
        <f t="shared" si="142"/>
        <v>0</v>
      </c>
      <c r="O2096" s="13">
        <f t="shared" si="143"/>
        <v>0</v>
      </c>
    </row>
    <row r="2097" spans="2:15">
      <c r="B2097" s="12">
        <v>18</v>
      </c>
      <c r="C2097" s="4" t="s">
        <v>151</v>
      </c>
      <c r="D2097" s="4" t="s">
        <v>149</v>
      </c>
      <c r="E2097" s="4">
        <v>6</v>
      </c>
      <c r="F2097" s="4">
        <v>8</v>
      </c>
      <c r="G2097" s="4">
        <v>6</v>
      </c>
      <c r="H2097" s="115"/>
      <c r="I2097" s="115"/>
      <c r="J2097" s="115"/>
      <c r="K2097" s="115">
        <v>0</v>
      </c>
      <c r="L2097" s="12">
        <f t="shared" si="140"/>
        <v>0</v>
      </c>
      <c r="M2097" s="4">
        <f t="shared" si="141"/>
        <v>0</v>
      </c>
      <c r="N2097" s="4">
        <f t="shared" si="142"/>
        <v>0</v>
      </c>
      <c r="O2097" s="13">
        <f t="shared" si="143"/>
        <v>0</v>
      </c>
    </row>
    <row r="2098" spans="2:15">
      <c r="B2098" s="12">
        <v>18</v>
      </c>
      <c r="C2098" s="4" t="s">
        <v>151</v>
      </c>
      <c r="D2098" s="4" t="s">
        <v>149</v>
      </c>
      <c r="E2098" s="4">
        <v>6</v>
      </c>
      <c r="F2098" s="4">
        <v>8</v>
      </c>
      <c r="G2098" s="4">
        <v>7</v>
      </c>
      <c r="H2098" s="115"/>
      <c r="I2098" s="115"/>
      <c r="J2098" s="115"/>
      <c r="K2098" s="115">
        <v>0</v>
      </c>
      <c r="L2098" s="12">
        <f t="shared" si="140"/>
        <v>0</v>
      </c>
      <c r="M2098" s="4">
        <f t="shared" si="141"/>
        <v>0</v>
      </c>
      <c r="N2098" s="4">
        <f t="shared" si="142"/>
        <v>0</v>
      </c>
      <c r="O2098" s="13">
        <f t="shared" si="143"/>
        <v>0</v>
      </c>
    </row>
    <row r="2099" spans="2:15">
      <c r="B2099" s="12">
        <v>18</v>
      </c>
      <c r="C2099" s="4" t="s">
        <v>151</v>
      </c>
      <c r="D2099" s="4" t="s">
        <v>149</v>
      </c>
      <c r="E2099" s="4">
        <v>6</v>
      </c>
      <c r="F2099" s="4">
        <v>8</v>
      </c>
      <c r="G2099" s="4">
        <v>8</v>
      </c>
      <c r="H2099" s="115"/>
      <c r="I2099" s="115"/>
      <c r="J2099" s="115"/>
      <c r="K2099" s="115">
        <v>0</v>
      </c>
      <c r="L2099" s="12">
        <f t="shared" si="140"/>
        <v>0</v>
      </c>
      <c r="M2099" s="4">
        <f t="shared" si="141"/>
        <v>0</v>
      </c>
      <c r="N2099" s="4">
        <f t="shared" si="142"/>
        <v>0</v>
      </c>
      <c r="O2099" s="13">
        <f t="shared" si="143"/>
        <v>0</v>
      </c>
    </row>
    <row r="2100" spans="2:15">
      <c r="B2100" s="12">
        <v>18</v>
      </c>
      <c r="C2100" s="4" t="s">
        <v>151</v>
      </c>
      <c r="D2100" s="4" t="s">
        <v>149</v>
      </c>
      <c r="E2100" s="4">
        <v>6</v>
      </c>
      <c r="F2100" s="4">
        <v>8</v>
      </c>
      <c r="G2100" s="4">
        <v>9</v>
      </c>
      <c r="H2100" s="115"/>
      <c r="I2100" s="115"/>
      <c r="J2100" s="115"/>
      <c r="K2100" s="115">
        <v>0</v>
      </c>
      <c r="L2100" s="12">
        <f t="shared" si="140"/>
        <v>0</v>
      </c>
      <c r="M2100" s="4">
        <f t="shared" si="141"/>
        <v>0</v>
      </c>
      <c r="N2100" s="4">
        <f t="shared" si="142"/>
        <v>0</v>
      </c>
      <c r="O2100" s="13">
        <f t="shared" si="143"/>
        <v>0</v>
      </c>
    </row>
    <row r="2101" spans="2:15" ht="13.8" thickBot="1">
      <c r="B2101" s="14">
        <v>18</v>
      </c>
      <c r="C2101" s="15" t="s">
        <v>151</v>
      </c>
      <c r="D2101" s="15" t="s">
        <v>149</v>
      </c>
      <c r="E2101" s="15">
        <v>6</v>
      </c>
      <c r="F2101" s="15">
        <v>8</v>
      </c>
      <c r="G2101" s="15">
        <v>10</v>
      </c>
      <c r="H2101" s="121"/>
      <c r="I2101" s="121"/>
      <c r="J2101" s="121"/>
      <c r="K2101" s="121">
        <v>0</v>
      </c>
      <c r="L2101" s="14">
        <f t="shared" si="140"/>
        <v>0</v>
      </c>
      <c r="M2101" s="15">
        <f t="shared" si="141"/>
        <v>0</v>
      </c>
      <c r="N2101" s="15">
        <f t="shared" si="142"/>
        <v>0</v>
      </c>
      <c r="O2101" s="16">
        <f t="shared" si="143"/>
        <v>0</v>
      </c>
    </row>
    <row r="2102" spans="2:15">
      <c r="B2102" s="9">
        <v>18</v>
      </c>
      <c r="C2102" s="10" t="s">
        <v>152</v>
      </c>
      <c r="D2102" s="10" t="s">
        <v>149</v>
      </c>
      <c r="E2102" s="93">
        <v>7</v>
      </c>
      <c r="F2102" s="93">
        <v>5</v>
      </c>
      <c r="G2102" s="10">
        <v>1</v>
      </c>
      <c r="H2102" s="120">
        <v>4.3330000000000268</v>
      </c>
      <c r="I2102" s="120">
        <v>9.9999999999965894E-2</v>
      </c>
      <c r="J2102" s="120">
        <v>1.0669999999999504</v>
      </c>
      <c r="K2102" s="120">
        <v>5.4999999999999432</v>
      </c>
      <c r="L2102" s="9">
        <f t="shared" si="140"/>
        <v>0.72697158368287884</v>
      </c>
      <c r="M2102" s="10">
        <f t="shared" si="141"/>
        <v>4.1392685158211574E-2</v>
      </c>
      <c r="N2102" s="10">
        <f t="shared" si="142"/>
        <v>0.31534047662727782</v>
      </c>
      <c r="O2102" s="11">
        <f t="shared" si="143"/>
        <v>0.8129133566428518</v>
      </c>
    </row>
    <row r="2103" spans="2:15">
      <c r="B2103" s="12">
        <v>18</v>
      </c>
      <c r="C2103" s="4" t="s">
        <v>152</v>
      </c>
      <c r="D2103" s="4" t="s">
        <v>149</v>
      </c>
      <c r="E2103" s="4">
        <v>7</v>
      </c>
      <c r="F2103" s="4">
        <v>5</v>
      </c>
      <c r="G2103" s="4">
        <v>2</v>
      </c>
      <c r="H2103" s="115">
        <v>0.31700000000006412</v>
      </c>
      <c r="I2103" s="115"/>
      <c r="J2103" s="115"/>
      <c r="K2103" s="115">
        <v>0.31700000000006412</v>
      </c>
      <c r="L2103" s="12">
        <f t="shared" si="140"/>
        <v>0.11958577496180495</v>
      </c>
      <c r="M2103" s="4">
        <f t="shared" si="141"/>
        <v>0</v>
      </c>
      <c r="N2103" s="4">
        <f t="shared" si="142"/>
        <v>0</v>
      </c>
      <c r="O2103" s="13">
        <f t="shared" si="143"/>
        <v>0.11958577496180495</v>
      </c>
    </row>
    <row r="2104" spans="2:15">
      <c r="B2104" s="12">
        <v>18</v>
      </c>
      <c r="C2104" s="4" t="s">
        <v>152</v>
      </c>
      <c r="D2104" s="4" t="s">
        <v>149</v>
      </c>
      <c r="E2104" s="4">
        <v>7</v>
      </c>
      <c r="F2104" s="4">
        <v>5</v>
      </c>
      <c r="G2104" s="4">
        <v>3</v>
      </c>
      <c r="H2104" s="115"/>
      <c r="I2104" s="115"/>
      <c r="J2104" s="115"/>
      <c r="K2104" s="115">
        <v>0</v>
      </c>
      <c r="L2104" s="12">
        <f t="shared" si="140"/>
        <v>0</v>
      </c>
      <c r="M2104" s="4">
        <f t="shared" si="141"/>
        <v>0</v>
      </c>
      <c r="N2104" s="4">
        <f t="shared" si="142"/>
        <v>0</v>
      </c>
      <c r="O2104" s="13">
        <f t="shared" si="143"/>
        <v>0</v>
      </c>
    </row>
    <row r="2105" spans="2:15">
      <c r="B2105" s="12">
        <v>18</v>
      </c>
      <c r="C2105" s="4" t="s">
        <v>152</v>
      </c>
      <c r="D2105" s="4" t="s">
        <v>149</v>
      </c>
      <c r="E2105" s="4">
        <v>7</v>
      </c>
      <c r="F2105" s="4">
        <v>5</v>
      </c>
      <c r="G2105" s="4">
        <v>4</v>
      </c>
      <c r="H2105" s="115"/>
      <c r="I2105" s="115"/>
      <c r="J2105" s="115"/>
      <c r="K2105" s="115">
        <v>0</v>
      </c>
      <c r="L2105" s="12">
        <f t="shared" si="140"/>
        <v>0</v>
      </c>
      <c r="M2105" s="4">
        <f t="shared" si="141"/>
        <v>0</v>
      </c>
      <c r="N2105" s="4">
        <f t="shared" si="142"/>
        <v>0</v>
      </c>
      <c r="O2105" s="13">
        <f t="shared" si="143"/>
        <v>0</v>
      </c>
    </row>
    <row r="2106" spans="2:15">
      <c r="B2106" s="12">
        <v>18</v>
      </c>
      <c r="C2106" s="4" t="s">
        <v>152</v>
      </c>
      <c r="D2106" s="4" t="s">
        <v>149</v>
      </c>
      <c r="E2106" s="4">
        <v>7</v>
      </c>
      <c r="F2106" s="4">
        <v>5</v>
      </c>
      <c r="G2106" s="4">
        <v>5</v>
      </c>
      <c r="H2106" s="115"/>
      <c r="I2106" s="115"/>
      <c r="J2106" s="115"/>
      <c r="K2106" s="115">
        <v>0</v>
      </c>
      <c r="L2106" s="12">
        <f t="shared" si="140"/>
        <v>0</v>
      </c>
      <c r="M2106" s="4">
        <f t="shared" si="141"/>
        <v>0</v>
      </c>
      <c r="N2106" s="4">
        <f t="shared" si="142"/>
        <v>0</v>
      </c>
      <c r="O2106" s="13">
        <f t="shared" si="143"/>
        <v>0</v>
      </c>
    </row>
    <row r="2107" spans="2:15">
      <c r="B2107" s="12">
        <v>18</v>
      </c>
      <c r="C2107" s="4" t="s">
        <v>152</v>
      </c>
      <c r="D2107" s="4" t="s">
        <v>149</v>
      </c>
      <c r="E2107" s="4">
        <v>7</v>
      </c>
      <c r="F2107" s="4">
        <v>5</v>
      </c>
      <c r="G2107" s="4">
        <v>6</v>
      </c>
      <c r="H2107" s="115"/>
      <c r="I2107" s="115"/>
      <c r="J2107" s="115"/>
      <c r="K2107" s="115">
        <v>0</v>
      </c>
      <c r="L2107" s="12">
        <f t="shared" si="140"/>
        <v>0</v>
      </c>
      <c r="M2107" s="4">
        <f t="shared" si="141"/>
        <v>0</v>
      </c>
      <c r="N2107" s="4">
        <f t="shared" si="142"/>
        <v>0</v>
      </c>
      <c r="O2107" s="13">
        <f t="shared" si="143"/>
        <v>0</v>
      </c>
    </row>
    <row r="2108" spans="2:15">
      <c r="B2108" s="12">
        <v>18</v>
      </c>
      <c r="C2108" s="4" t="s">
        <v>152</v>
      </c>
      <c r="D2108" s="4" t="s">
        <v>149</v>
      </c>
      <c r="E2108" s="4">
        <v>7</v>
      </c>
      <c r="F2108" s="4">
        <v>5</v>
      </c>
      <c r="G2108" s="4">
        <v>7</v>
      </c>
      <c r="H2108" s="115"/>
      <c r="I2108" s="115"/>
      <c r="J2108" s="115"/>
      <c r="K2108" s="115">
        <v>0</v>
      </c>
      <c r="L2108" s="12">
        <f t="shared" si="140"/>
        <v>0</v>
      </c>
      <c r="M2108" s="4">
        <f t="shared" si="141"/>
        <v>0</v>
      </c>
      <c r="N2108" s="4">
        <f t="shared" si="142"/>
        <v>0</v>
      </c>
      <c r="O2108" s="13">
        <f t="shared" si="143"/>
        <v>0</v>
      </c>
    </row>
    <row r="2109" spans="2:15">
      <c r="B2109" s="12">
        <v>18</v>
      </c>
      <c r="C2109" s="4" t="s">
        <v>152</v>
      </c>
      <c r="D2109" s="4" t="s">
        <v>149</v>
      </c>
      <c r="E2109" s="4">
        <v>7</v>
      </c>
      <c r="F2109" s="4">
        <v>5</v>
      </c>
      <c r="G2109" s="4">
        <v>8</v>
      </c>
      <c r="H2109" s="115"/>
      <c r="I2109" s="115"/>
      <c r="J2109" s="115"/>
      <c r="K2109" s="115">
        <v>0</v>
      </c>
      <c r="L2109" s="12">
        <f t="shared" si="140"/>
        <v>0</v>
      </c>
      <c r="M2109" s="4">
        <f t="shared" si="141"/>
        <v>0</v>
      </c>
      <c r="N2109" s="4">
        <f t="shared" si="142"/>
        <v>0</v>
      </c>
      <c r="O2109" s="13">
        <f t="shared" si="143"/>
        <v>0</v>
      </c>
    </row>
    <row r="2110" spans="2:15">
      <c r="B2110" s="12">
        <v>18</v>
      </c>
      <c r="C2110" s="4" t="s">
        <v>152</v>
      </c>
      <c r="D2110" s="4" t="s">
        <v>149</v>
      </c>
      <c r="E2110" s="4">
        <v>7</v>
      </c>
      <c r="F2110" s="4">
        <v>5</v>
      </c>
      <c r="G2110" s="4">
        <v>9</v>
      </c>
      <c r="H2110" s="115"/>
      <c r="I2110" s="115"/>
      <c r="J2110" s="115"/>
      <c r="K2110" s="115">
        <v>0</v>
      </c>
      <c r="L2110" s="12">
        <f t="shared" si="140"/>
        <v>0</v>
      </c>
      <c r="M2110" s="4">
        <f t="shared" si="141"/>
        <v>0</v>
      </c>
      <c r="N2110" s="4">
        <f t="shared" si="142"/>
        <v>0</v>
      </c>
      <c r="O2110" s="13">
        <f t="shared" si="143"/>
        <v>0</v>
      </c>
    </row>
    <row r="2111" spans="2:15" ht="13.8" thickBot="1">
      <c r="B2111" s="14">
        <v>18</v>
      </c>
      <c r="C2111" s="15" t="s">
        <v>152</v>
      </c>
      <c r="D2111" s="15" t="s">
        <v>149</v>
      </c>
      <c r="E2111" s="15">
        <v>7</v>
      </c>
      <c r="F2111" s="15">
        <v>5</v>
      </c>
      <c r="G2111" s="15">
        <v>10</v>
      </c>
      <c r="H2111" s="121"/>
      <c r="I2111" s="121"/>
      <c r="J2111" s="121"/>
      <c r="K2111" s="121">
        <v>0</v>
      </c>
      <c r="L2111" s="14">
        <f t="shared" si="140"/>
        <v>0</v>
      </c>
      <c r="M2111" s="15">
        <f t="shared" si="141"/>
        <v>0</v>
      </c>
      <c r="N2111" s="15">
        <f t="shared" si="142"/>
        <v>0</v>
      </c>
      <c r="O2111" s="16">
        <f t="shared" si="143"/>
        <v>0</v>
      </c>
    </row>
    <row r="2112" spans="2:15">
      <c r="B2112" s="9">
        <v>18</v>
      </c>
      <c r="C2112" s="10" t="s">
        <v>152</v>
      </c>
      <c r="D2112" s="10" t="s">
        <v>154</v>
      </c>
      <c r="E2112" s="93">
        <v>8</v>
      </c>
      <c r="F2112" s="93">
        <v>9</v>
      </c>
      <c r="G2112" s="10">
        <v>1</v>
      </c>
      <c r="H2112" s="120">
        <v>4.4130000000000109</v>
      </c>
      <c r="I2112" s="120">
        <v>0.68400000000002592</v>
      </c>
      <c r="J2112" s="120">
        <v>0.56600000000003092</v>
      </c>
      <c r="K2112" s="120">
        <v>5.6630000000000678</v>
      </c>
      <c r="L2112" s="9">
        <f t="shared" si="140"/>
        <v>0.73343802709106221</v>
      </c>
      <c r="M2112" s="10">
        <f t="shared" si="141"/>
        <v>0.22634208716363738</v>
      </c>
      <c r="N2112" s="10">
        <f t="shared" si="142"/>
        <v>0.19479175772193316</v>
      </c>
      <c r="O2112" s="11">
        <f t="shared" si="143"/>
        <v>0.82366981326814082</v>
      </c>
    </row>
    <row r="2113" spans="2:15">
      <c r="B2113" s="12">
        <v>18</v>
      </c>
      <c r="C2113" s="4" t="s">
        <v>152</v>
      </c>
      <c r="D2113" s="4" t="s">
        <v>154</v>
      </c>
      <c r="E2113" s="4">
        <v>8</v>
      </c>
      <c r="F2113" s="4">
        <v>9</v>
      </c>
      <c r="G2113" s="4">
        <v>2</v>
      </c>
      <c r="H2113" s="115"/>
      <c r="I2113" s="115"/>
      <c r="J2113" s="115"/>
      <c r="K2113" s="115">
        <v>0</v>
      </c>
      <c r="L2113" s="12">
        <f t="shared" si="140"/>
        <v>0</v>
      </c>
      <c r="M2113" s="4">
        <f t="shared" si="141"/>
        <v>0</v>
      </c>
      <c r="N2113" s="4">
        <f t="shared" si="142"/>
        <v>0</v>
      </c>
      <c r="O2113" s="13">
        <f t="shared" si="143"/>
        <v>0</v>
      </c>
    </row>
    <row r="2114" spans="2:15">
      <c r="B2114" s="12">
        <v>18</v>
      </c>
      <c r="C2114" s="4" t="s">
        <v>152</v>
      </c>
      <c r="D2114" s="4" t="s">
        <v>154</v>
      </c>
      <c r="E2114" s="4">
        <v>8</v>
      </c>
      <c r="F2114" s="4">
        <v>9</v>
      </c>
      <c r="G2114" s="4">
        <v>3</v>
      </c>
      <c r="H2114" s="115"/>
      <c r="I2114" s="115"/>
      <c r="J2114" s="115">
        <v>9.9999999999965894E-2</v>
      </c>
      <c r="K2114" s="115">
        <v>9.9999999999965894E-2</v>
      </c>
      <c r="L2114" s="12">
        <f t="shared" si="140"/>
        <v>0</v>
      </c>
      <c r="M2114" s="4">
        <f t="shared" si="141"/>
        <v>0</v>
      </c>
      <c r="N2114" s="4">
        <f t="shared" si="142"/>
        <v>4.1392685158211574E-2</v>
      </c>
      <c r="O2114" s="13">
        <f t="shared" si="143"/>
        <v>4.1392685158211574E-2</v>
      </c>
    </row>
    <row r="2115" spans="2:15">
      <c r="B2115" s="12">
        <v>18</v>
      </c>
      <c r="C2115" s="4" t="s">
        <v>152</v>
      </c>
      <c r="D2115" s="4" t="s">
        <v>154</v>
      </c>
      <c r="E2115" s="4">
        <v>8</v>
      </c>
      <c r="F2115" s="4">
        <v>9</v>
      </c>
      <c r="G2115" s="4">
        <v>4</v>
      </c>
      <c r="H2115" s="115"/>
      <c r="I2115" s="115"/>
      <c r="J2115" s="115"/>
      <c r="K2115" s="115">
        <v>0</v>
      </c>
      <c r="L2115" s="12">
        <f t="shared" si="140"/>
        <v>0</v>
      </c>
      <c r="M2115" s="4">
        <f t="shared" si="141"/>
        <v>0</v>
      </c>
      <c r="N2115" s="4">
        <f t="shared" si="142"/>
        <v>0</v>
      </c>
      <c r="O2115" s="13">
        <f t="shared" si="143"/>
        <v>0</v>
      </c>
    </row>
    <row r="2116" spans="2:15">
      <c r="B2116" s="12">
        <v>18</v>
      </c>
      <c r="C2116" s="4" t="s">
        <v>152</v>
      </c>
      <c r="D2116" s="4" t="s">
        <v>154</v>
      </c>
      <c r="E2116" s="4">
        <v>8</v>
      </c>
      <c r="F2116" s="4">
        <v>9</v>
      </c>
      <c r="G2116" s="4">
        <v>5</v>
      </c>
      <c r="H2116" s="115"/>
      <c r="I2116" s="115"/>
      <c r="J2116" s="115"/>
      <c r="K2116" s="115">
        <v>0</v>
      </c>
      <c r="L2116" s="12">
        <f t="shared" si="140"/>
        <v>0</v>
      </c>
      <c r="M2116" s="4">
        <f t="shared" si="141"/>
        <v>0</v>
      </c>
      <c r="N2116" s="4">
        <f t="shared" si="142"/>
        <v>0</v>
      </c>
      <c r="O2116" s="13">
        <f t="shared" si="143"/>
        <v>0</v>
      </c>
    </row>
    <row r="2117" spans="2:15">
      <c r="B2117" s="12">
        <v>18</v>
      </c>
      <c r="C2117" s="4" t="s">
        <v>152</v>
      </c>
      <c r="D2117" s="4" t="s">
        <v>154</v>
      </c>
      <c r="E2117" s="4">
        <v>8</v>
      </c>
      <c r="F2117" s="4">
        <v>9</v>
      </c>
      <c r="G2117" s="4">
        <v>6</v>
      </c>
      <c r="H2117" s="115"/>
      <c r="I2117" s="115"/>
      <c r="J2117" s="115"/>
      <c r="K2117" s="115">
        <v>0</v>
      </c>
      <c r="L2117" s="12">
        <f t="shared" si="140"/>
        <v>0</v>
      </c>
      <c r="M2117" s="4">
        <f t="shared" si="141"/>
        <v>0</v>
      </c>
      <c r="N2117" s="4">
        <f t="shared" si="142"/>
        <v>0</v>
      </c>
      <c r="O2117" s="13">
        <f t="shared" si="143"/>
        <v>0</v>
      </c>
    </row>
    <row r="2118" spans="2:15">
      <c r="B2118" s="12">
        <v>18</v>
      </c>
      <c r="C2118" s="4" t="s">
        <v>152</v>
      </c>
      <c r="D2118" s="4" t="s">
        <v>154</v>
      </c>
      <c r="E2118" s="4">
        <v>8</v>
      </c>
      <c r="F2118" s="4">
        <v>9</v>
      </c>
      <c r="G2118" s="4">
        <v>7</v>
      </c>
      <c r="H2118" s="115"/>
      <c r="I2118" s="115"/>
      <c r="J2118" s="115"/>
      <c r="K2118" s="115">
        <v>0</v>
      </c>
      <c r="L2118" s="12">
        <f t="shared" si="140"/>
        <v>0</v>
      </c>
      <c r="M2118" s="4">
        <f t="shared" si="141"/>
        <v>0</v>
      </c>
      <c r="N2118" s="4">
        <f t="shared" si="142"/>
        <v>0</v>
      </c>
      <c r="O2118" s="13">
        <f t="shared" si="143"/>
        <v>0</v>
      </c>
    </row>
    <row r="2119" spans="2:15">
      <c r="B2119" s="12">
        <v>18</v>
      </c>
      <c r="C2119" s="4" t="s">
        <v>152</v>
      </c>
      <c r="D2119" s="4" t="s">
        <v>154</v>
      </c>
      <c r="E2119" s="4">
        <v>8</v>
      </c>
      <c r="F2119" s="4">
        <v>9</v>
      </c>
      <c r="G2119" s="4">
        <v>8</v>
      </c>
      <c r="H2119" s="115"/>
      <c r="I2119" s="115"/>
      <c r="J2119" s="115"/>
      <c r="K2119" s="115">
        <v>0</v>
      </c>
      <c r="L2119" s="12">
        <f t="shared" si="140"/>
        <v>0</v>
      </c>
      <c r="M2119" s="4">
        <f t="shared" si="141"/>
        <v>0</v>
      </c>
      <c r="N2119" s="4">
        <f t="shared" si="142"/>
        <v>0</v>
      </c>
      <c r="O2119" s="13">
        <f t="shared" si="143"/>
        <v>0</v>
      </c>
    </row>
    <row r="2120" spans="2:15">
      <c r="B2120" s="12">
        <v>18</v>
      </c>
      <c r="C2120" s="4" t="s">
        <v>152</v>
      </c>
      <c r="D2120" s="4" t="s">
        <v>154</v>
      </c>
      <c r="E2120" s="4">
        <v>8</v>
      </c>
      <c r="F2120" s="4">
        <v>9</v>
      </c>
      <c r="G2120" s="4">
        <v>9</v>
      </c>
      <c r="H2120" s="115"/>
      <c r="I2120" s="115"/>
      <c r="J2120" s="115"/>
      <c r="K2120" s="115">
        <v>0</v>
      </c>
      <c r="L2120" s="12">
        <f t="shared" si="140"/>
        <v>0</v>
      </c>
      <c r="M2120" s="4">
        <f t="shared" si="141"/>
        <v>0</v>
      </c>
      <c r="N2120" s="4">
        <f t="shared" si="142"/>
        <v>0</v>
      </c>
      <c r="O2120" s="13">
        <f t="shared" si="143"/>
        <v>0</v>
      </c>
    </row>
    <row r="2121" spans="2:15" ht="13.8" thickBot="1">
      <c r="B2121" s="14">
        <v>18</v>
      </c>
      <c r="C2121" s="15" t="s">
        <v>152</v>
      </c>
      <c r="D2121" s="15" t="s">
        <v>154</v>
      </c>
      <c r="E2121" s="15">
        <v>8</v>
      </c>
      <c r="F2121" s="15">
        <v>9</v>
      </c>
      <c r="G2121" s="15">
        <v>10</v>
      </c>
      <c r="H2121" s="121"/>
      <c r="I2121" s="121"/>
      <c r="J2121" s="121"/>
      <c r="K2121" s="121">
        <v>0</v>
      </c>
      <c r="L2121" s="14">
        <f t="shared" si="140"/>
        <v>0</v>
      </c>
      <c r="M2121" s="15">
        <f t="shared" si="141"/>
        <v>0</v>
      </c>
      <c r="N2121" s="15">
        <f t="shared" si="142"/>
        <v>0</v>
      </c>
      <c r="O2121" s="16">
        <f t="shared" si="143"/>
        <v>0</v>
      </c>
    </row>
    <row r="2122" spans="2:15">
      <c r="B2122" s="9">
        <v>18</v>
      </c>
      <c r="C2122" s="10" t="s">
        <v>152</v>
      </c>
      <c r="D2122" s="10" t="s">
        <v>154</v>
      </c>
      <c r="E2122" s="93">
        <v>9</v>
      </c>
      <c r="F2122" s="93">
        <v>11</v>
      </c>
      <c r="G2122" s="10">
        <v>1</v>
      </c>
      <c r="H2122" s="120">
        <v>3.4980000000000473</v>
      </c>
      <c r="I2122" s="120"/>
      <c r="J2122" s="120"/>
      <c r="K2122" s="120">
        <v>3.4980000000000473</v>
      </c>
      <c r="L2122" s="9">
        <f t="shared" si="140"/>
        <v>0.6530194510996179</v>
      </c>
      <c r="M2122" s="10">
        <f t="shared" si="141"/>
        <v>0</v>
      </c>
      <c r="N2122" s="10">
        <f t="shared" si="142"/>
        <v>0</v>
      </c>
      <c r="O2122" s="11">
        <f t="shared" si="143"/>
        <v>0.6530194510996179</v>
      </c>
    </row>
    <row r="2123" spans="2:15">
      <c r="B2123" s="12">
        <v>18</v>
      </c>
      <c r="C2123" s="4" t="s">
        <v>152</v>
      </c>
      <c r="D2123" s="4" t="s">
        <v>154</v>
      </c>
      <c r="E2123" s="4">
        <v>9</v>
      </c>
      <c r="F2123" s="4">
        <v>11</v>
      </c>
      <c r="G2123" s="4">
        <v>2</v>
      </c>
      <c r="H2123" s="115">
        <v>0.15000000000009095</v>
      </c>
      <c r="I2123" s="115">
        <v>0.13299999999992451</v>
      </c>
      <c r="J2123" s="115"/>
      <c r="K2123" s="115">
        <v>0.28300000000001546</v>
      </c>
      <c r="L2123" s="12">
        <f t="shared" si="140"/>
        <v>6.0697840353646032E-2</v>
      </c>
      <c r="M2123" s="4">
        <f t="shared" si="141"/>
        <v>5.4229909863368307E-2</v>
      </c>
      <c r="N2123" s="4">
        <f t="shared" si="142"/>
        <v>0</v>
      </c>
      <c r="O2123" s="13">
        <f t="shared" si="143"/>
        <v>0.10822665637493374</v>
      </c>
    </row>
    <row r="2124" spans="2:15">
      <c r="B2124" s="12">
        <v>18</v>
      </c>
      <c r="C2124" s="4" t="s">
        <v>152</v>
      </c>
      <c r="D2124" s="4" t="s">
        <v>154</v>
      </c>
      <c r="E2124" s="4">
        <v>9</v>
      </c>
      <c r="F2124" s="4">
        <v>11</v>
      </c>
      <c r="G2124" s="4">
        <v>3</v>
      </c>
      <c r="H2124" s="115"/>
      <c r="I2124" s="115"/>
      <c r="J2124" s="115"/>
      <c r="K2124" s="115">
        <v>0</v>
      </c>
      <c r="L2124" s="12">
        <f t="shared" si="140"/>
        <v>0</v>
      </c>
      <c r="M2124" s="4">
        <f t="shared" si="141"/>
        <v>0</v>
      </c>
      <c r="N2124" s="4">
        <f t="shared" si="142"/>
        <v>0</v>
      </c>
      <c r="O2124" s="13">
        <f t="shared" si="143"/>
        <v>0</v>
      </c>
    </row>
    <row r="2125" spans="2:15">
      <c r="B2125" s="12">
        <v>18</v>
      </c>
      <c r="C2125" s="4" t="s">
        <v>152</v>
      </c>
      <c r="D2125" s="4" t="s">
        <v>154</v>
      </c>
      <c r="E2125" s="4">
        <v>9</v>
      </c>
      <c r="F2125" s="4">
        <v>11</v>
      </c>
      <c r="G2125" s="4">
        <v>4</v>
      </c>
      <c r="H2125" s="115"/>
      <c r="I2125" s="115"/>
      <c r="J2125" s="115"/>
      <c r="K2125" s="115">
        <v>0</v>
      </c>
      <c r="L2125" s="12">
        <f t="shared" si="140"/>
        <v>0</v>
      </c>
      <c r="M2125" s="4">
        <f t="shared" si="141"/>
        <v>0</v>
      </c>
      <c r="N2125" s="4">
        <f t="shared" si="142"/>
        <v>0</v>
      </c>
      <c r="O2125" s="13">
        <f t="shared" si="143"/>
        <v>0</v>
      </c>
    </row>
    <row r="2126" spans="2:15">
      <c r="B2126" s="12">
        <v>18</v>
      </c>
      <c r="C2126" s="4" t="s">
        <v>152</v>
      </c>
      <c r="D2126" s="4" t="s">
        <v>154</v>
      </c>
      <c r="E2126" s="4">
        <v>9</v>
      </c>
      <c r="F2126" s="4">
        <v>11</v>
      </c>
      <c r="G2126" s="4">
        <v>5</v>
      </c>
      <c r="H2126" s="115"/>
      <c r="I2126" s="115"/>
      <c r="J2126" s="115"/>
      <c r="K2126" s="115">
        <v>0</v>
      </c>
      <c r="L2126" s="12">
        <f t="shared" si="140"/>
        <v>0</v>
      </c>
      <c r="M2126" s="4">
        <f t="shared" si="141"/>
        <v>0</v>
      </c>
      <c r="N2126" s="4">
        <f t="shared" si="142"/>
        <v>0</v>
      </c>
      <c r="O2126" s="13">
        <f t="shared" si="143"/>
        <v>0</v>
      </c>
    </row>
    <row r="2127" spans="2:15">
      <c r="B2127" s="12">
        <v>18</v>
      </c>
      <c r="C2127" s="4" t="s">
        <v>152</v>
      </c>
      <c r="D2127" s="4" t="s">
        <v>154</v>
      </c>
      <c r="E2127" s="4">
        <v>9</v>
      </c>
      <c r="F2127" s="4">
        <v>11</v>
      </c>
      <c r="G2127" s="4">
        <v>6</v>
      </c>
      <c r="H2127" s="115"/>
      <c r="I2127" s="115"/>
      <c r="J2127" s="115"/>
      <c r="K2127" s="115">
        <v>0</v>
      </c>
      <c r="L2127" s="12">
        <f t="shared" si="140"/>
        <v>0</v>
      </c>
      <c r="M2127" s="4">
        <f t="shared" si="141"/>
        <v>0</v>
      </c>
      <c r="N2127" s="4">
        <f t="shared" si="142"/>
        <v>0</v>
      </c>
      <c r="O2127" s="13">
        <f t="shared" si="143"/>
        <v>0</v>
      </c>
    </row>
    <row r="2128" spans="2:15">
      <c r="B2128" s="12">
        <v>18</v>
      </c>
      <c r="C2128" s="4" t="s">
        <v>152</v>
      </c>
      <c r="D2128" s="4" t="s">
        <v>154</v>
      </c>
      <c r="E2128" s="4">
        <v>9</v>
      </c>
      <c r="F2128" s="4">
        <v>11</v>
      </c>
      <c r="G2128" s="4">
        <v>7</v>
      </c>
      <c r="H2128" s="115"/>
      <c r="I2128" s="115"/>
      <c r="J2128" s="115"/>
      <c r="K2128" s="115">
        <v>0</v>
      </c>
      <c r="L2128" s="12">
        <f t="shared" si="140"/>
        <v>0</v>
      </c>
      <c r="M2128" s="4">
        <f t="shared" si="141"/>
        <v>0</v>
      </c>
      <c r="N2128" s="4">
        <f t="shared" si="142"/>
        <v>0</v>
      </c>
      <c r="O2128" s="13">
        <f t="shared" si="143"/>
        <v>0</v>
      </c>
    </row>
    <row r="2129" spans="2:15">
      <c r="B2129" s="12">
        <v>18</v>
      </c>
      <c r="C2129" s="4" t="s">
        <v>152</v>
      </c>
      <c r="D2129" s="4" t="s">
        <v>154</v>
      </c>
      <c r="E2129" s="4">
        <v>9</v>
      </c>
      <c r="F2129" s="4">
        <v>11</v>
      </c>
      <c r="G2129" s="4">
        <v>8</v>
      </c>
      <c r="H2129" s="115"/>
      <c r="I2129" s="115"/>
      <c r="J2129" s="115"/>
      <c r="K2129" s="115">
        <v>0</v>
      </c>
      <c r="L2129" s="12">
        <f t="shared" si="140"/>
        <v>0</v>
      </c>
      <c r="M2129" s="4">
        <f t="shared" si="141"/>
        <v>0</v>
      </c>
      <c r="N2129" s="4">
        <f t="shared" si="142"/>
        <v>0</v>
      </c>
      <c r="O2129" s="13">
        <f t="shared" si="143"/>
        <v>0</v>
      </c>
    </row>
    <row r="2130" spans="2:15">
      <c r="B2130" s="12">
        <v>18</v>
      </c>
      <c r="C2130" s="4" t="s">
        <v>152</v>
      </c>
      <c r="D2130" s="4" t="s">
        <v>154</v>
      </c>
      <c r="E2130" s="4">
        <v>9</v>
      </c>
      <c r="F2130" s="4">
        <v>11</v>
      </c>
      <c r="G2130" s="4">
        <v>9</v>
      </c>
      <c r="H2130" s="115"/>
      <c r="I2130" s="115"/>
      <c r="J2130" s="115"/>
      <c r="K2130" s="115">
        <v>0</v>
      </c>
      <c r="L2130" s="12">
        <f t="shared" si="140"/>
        <v>0</v>
      </c>
      <c r="M2130" s="4">
        <f t="shared" si="141"/>
        <v>0</v>
      </c>
      <c r="N2130" s="4">
        <f t="shared" si="142"/>
        <v>0</v>
      </c>
      <c r="O2130" s="13">
        <f t="shared" si="143"/>
        <v>0</v>
      </c>
    </row>
    <row r="2131" spans="2:15" ht="13.8" thickBot="1">
      <c r="B2131" s="14">
        <v>18</v>
      </c>
      <c r="C2131" s="15" t="s">
        <v>152</v>
      </c>
      <c r="D2131" s="15" t="s">
        <v>154</v>
      </c>
      <c r="E2131" s="15">
        <v>9</v>
      </c>
      <c r="F2131" s="15">
        <v>11</v>
      </c>
      <c r="G2131" s="15">
        <v>10</v>
      </c>
      <c r="H2131" s="121"/>
      <c r="I2131" s="121"/>
      <c r="J2131" s="121"/>
      <c r="K2131" s="121">
        <v>0</v>
      </c>
      <c r="L2131" s="14">
        <f t="shared" si="140"/>
        <v>0</v>
      </c>
      <c r="M2131" s="15">
        <f t="shared" si="141"/>
        <v>0</v>
      </c>
      <c r="N2131" s="15">
        <f t="shared" si="142"/>
        <v>0</v>
      </c>
      <c r="O2131" s="16">
        <f t="shared" si="143"/>
        <v>0</v>
      </c>
    </row>
    <row r="2132" spans="2:15">
      <c r="B2132" s="9">
        <v>18</v>
      </c>
      <c r="C2132" s="10" t="s">
        <v>152</v>
      </c>
      <c r="D2132" s="10" t="s">
        <v>150</v>
      </c>
      <c r="E2132" s="93">
        <v>10</v>
      </c>
      <c r="F2132" s="93">
        <v>1</v>
      </c>
      <c r="G2132" s="10">
        <v>1</v>
      </c>
      <c r="H2132" s="120">
        <v>0.14900000000000091</v>
      </c>
      <c r="I2132" s="120"/>
      <c r="J2132" s="120"/>
      <c r="K2132" s="120">
        <v>0.14900000000000091</v>
      </c>
      <c r="L2132" s="9">
        <f t="shared" si="140"/>
        <v>6.0320028688285524E-2</v>
      </c>
      <c r="M2132" s="10">
        <f t="shared" si="141"/>
        <v>0</v>
      </c>
      <c r="N2132" s="10">
        <f t="shared" si="142"/>
        <v>0</v>
      </c>
      <c r="O2132" s="11">
        <f t="shared" si="143"/>
        <v>6.0320028688285524E-2</v>
      </c>
    </row>
    <row r="2133" spans="2:15">
      <c r="B2133" s="12">
        <v>18</v>
      </c>
      <c r="C2133" s="4" t="s">
        <v>152</v>
      </c>
      <c r="D2133" s="4" t="s">
        <v>150</v>
      </c>
      <c r="E2133" s="4">
        <v>10</v>
      </c>
      <c r="F2133" s="4">
        <v>1</v>
      </c>
      <c r="G2133" s="4">
        <v>2</v>
      </c>
      <c r="H2133" s="115"/>
      <c r="I2133" s="115"/>
      <c r="J2133" s="115"/>
      <c r="K2133" s="115">
        <v>0</v>
      </c>
      <c r="L2133" s="12">
        <f t="shared" si="140"/>
        <v>0</v>
      </c>
      <c r="M2133" s="4">
        <f t="shared" si="141"/>
        <v>0</v>
      </c>
      <c r="N2133" s="4">
        <f t="shared" si="142"/>
        <v>0</v>
      </c>
      <c r="O2133" s="13">
        <f t="shared" si="143"/>
        <v>0</v>
      </c>
    </row>
    <row r="2134" spans="2:15">
      <c r="B2134" s="12">
        <v>18</v>
      </c>
      <c r="C2134" s="4" t="s">
        <v>152</v>
      </c>
      <c r="D2134" s="4" t="s">
        <v>150</v>
      </c>
      <c r="E2134" s="4">
        <v>10</v>
      </c>
      <c r="F2134" s="4">
        <v>1</v>
      </c>
      <c r="G2134" s="4">
        <v>3</v>
      </c>
      <c r="H2134" s="115"/>
      <c r="I2134" s="115"/>
      <c r="J2134" s="115"/>
      <c r="K2134" s="115">
        <v>0</v>
      </c>
      <c r="L2134" s="12">
        <f t="shared" si="140"/>
        <v>0</v>
      </c>
      <c r="M2134" s="4">
        <f t="shared" si="141"/>
        <v>0</v>
      </c>
      <c r="N2134" s="4">
        <f t="shared" si="142"/>
        <v>0</v>
      </c>
      <c r="O2134" s="13">
        <f t="shared" si="143"/>
        <v>0</v>
      </c>
    </row>
    <row r="2135" spans="2:15">
      <c r="B2135" s="12">
        <v>18</v>
      </c>
      <c r="C2135" s="4" t="s">
        <v>152</v>
      </c>
      <c r="D2135" s="4" t="s">
        <v>150</v>
      </c>
      <c r="E2135" s="4">
        <v>10</v>
      </c>
      <c r="F2135" s="4">
        <v>1</v>
      </c>
      <c r="G2135" s="4">
        <v>4</v>
      </c>
      <c r="H2135" s="115"/>
      <c r="I2135" s="115"/>
      <c r="J2135" s="115"/>
      <c r="K2135" s="115">
        <v>0</v>
      </c>
      <c r="L2135" s="12">
        <f t="shared" si="140"/>
        <v>0</v>
      </c>
      <c r="M2135" s="4">
        <f t="shared" si="141"/>
        <v>0</v>
      </c>
      <c r="N2135" s="4">
        <f t="shared" si="142"/>
        <v>0</v>
      </c>
      <c r="O2135" s="13">
        <f t="shared" si="143"/>
        <v>0</v>
      </c>
    </row>
    <row r="2136" spans="2:15">
      <c r="B2136" s="12">
        <v>18</v>
      </c>
      <c r="C2136" s="4" t="s">
        <v>152</v>
      </c>
      <c r="D2136" s="4" t="s">
        <v>150</v>
      </c>
      <c r="E2136" s="4">
        <v>10</v>
      </c>
      <c r="F2136" s="4">
        <v>1</v>
      </c>
      <c r="G2136" s="4">
        <v>5</v>
      </c>
      <c r="H2136" s="115"/>
      <c r="I2136" s="115"/>
      <c r="J2136" s="115"/>
      <c r="K2136" s="115">
        <v>0</v>
      </c>
      <c r="L2136" s="12">
        <f t="shared" si="140"/>
        <v>0</v>
      </c>
      <c r="M2136" s="4">
        <f t="shared" si="141"/>
        <v>0</v>
      </c>
      <c r="N2136" s="4">
        <f t="shared" si="142"/>
        <v>0</v>
      </c>
      <c r="O2136" s="13">
        <f t="shared" si="143"/>
        <v>0</v>
      </c>
    </row>
    <row r="2137" spans="2:15">
      <c r="B2137" s="12">
        <v>18</v>
      </c>
      <c r="C2137" s="4" t="s">
        <v>152</v>
      </c>
      <c r="D2137" s="4" t="s">
        <v>150</v>
      </c>
      <c r="E2137" s="4">
        <v>10</v>
      </c>
      <c r="F2137" s="4">
        <v>1</v>
      </c>
      <c r="G2137" s="4">
        <v>6</v>
      </c>
      <c r="H2137" s="115"/>
      <c r="I2137" s="115"/>
      <c r="J2137" s="115"/>
      <c r="K2137" s="115">
        <v>0</v>
      </c>
      <c r="L2137" s="12">
        <f t="shared" si="140"/>
        <v>0</v>
      </c>
      <c r="M2137" s="4">
        <f t="shared" si="141"/>
        <v>0</v>
      </c>
      <c r="N2137" s="4">
        <f t="shared" si="142"/>
        <v>0</v>
      </c>
      <c r="O2137" s="13">
        <f t="shared" si="143"/>
        <v>0</v>
      </c>
    </row>
    <row r="2138" spans="2:15">
      <c r="B2138" s="12">
        <v>18</v>
      </c>
      <c r="C2138" s="4" t="s">
        <v>152</v>
      </c>
      <c r="D2138" s="4" t="s">
        <v>150</v>
      </c>
      <c r="E2138" s="4">
        <v>10</v>
      </c>
      <c r="F2138" s="4">
        <v>1</v>
      </c>
      <c r="G2138" s="4">
        <v>7</v>
      </c>
      <c r="H2138" s="115"/>
      <c r="I2138" s="115"/>
      <c r="J2138" s="115"/>
      <c r="K2138" s="115">
        <v>0</v>
      </c>
      <c r="L2138" s="12">
        <f t="shared" si="140"/>
        <v>0</v>
      </c>
      <c r="M2138" s="4">
        <f t="shared" si="141"/>
        <v>0</v>
      </c>
      <c r="N2138" s="4">
        <f t="shared" si="142"/>
        <v>0</v>
      </c>
      <c r="O2138" s="13">
        <f t="shared" si="143"/>
        <v>0</v>
      </c>
    </row>
    <row r="2139" spans="2:15">
      <c r="B2139" s="12">
        <v>18</v>
      </c>
      <c r="C2139" s="4" t="s">
        <v>152</v>
      </c>
      <c r="D2139" s="4" t="s">
        <v>150</v>
      </c>
      <c r="E2139" s="4">
        <v>10</v>
      </c>
      <c r="F2139" s="4">
        <v>1</v>
      </c>
      <c r="G2139" s="4">
        <v>8</v>
      </c>
      <c r="H2139" s="115"/>
      <c r="I2139" s="115"/>
      <c r="J2139" s="115"/>
      <c r="K2139" s="115">
        <v>0</v>
      </c>
      <c r="L2139" s="12">
        <f t="shared" si="140"/>
        <v>0</v>
      </c>
      <c r="M2139" s="4">
        <f t="shared" si="141"/>
        <v>0</v>
      </c>
      <c r="N2139" s="4">
        <f t="shared" si="142"/>
        <v>0</v>
      </c>
      <c r="O2139" s="13">
        <f t="shared" si="143"/>
        <v>0</v>
      </c>
    </row>
    <row r="2140" spans="2:15">
      <c r="B2140" s="12">
        <v>18</v>
      </c>
      <c r="C2140" s="4" t="s">
        <v>152</v>
      </c>
      <c r="D2140" s="4" t="s">
        <v>150</v>
      </c>
      <c r="E2140" s="4">
        <v>10</v>
      </c>
      <c r="F2140" s="4">
        <v>1</v>
      </c>
      <c r="G2140" s="4">
        <v>9</v>
      </c>
      <c r="H2140" s="115"/>
      <c r="I2140" s="115"/>
      <c r="J2140" s="115"/>
      <c r="K2140" s="115">
        <v>0</v>
      </c>
      <c r="L2140" s="12">
        <f t="shared" si="140"/>
        <v>0</v>
      </c>
      <c r="M2140" s="4">
        <f t="shared" si="141"/>
        <v>0</v>
      </c>
      <c r="N2140" s="4">
        <f t="shared" si="142"/>
        <v>0</v>
      </c>
      <c r="O2140" s="13">
        <f t="shared" si="143"/>
        <v>0</v>
      </c>
    </row>
    <row r="2141" spans="2:15" ht="13.8" thickBot="1">
      <c r="B2141" s="14">
        <v>18</v>
      </c>
      <c r="C2141" s="15" t="s">
        <v>152</v>
      </c>
      <c r="D2141" s="15" t="s">
        <v>150</v>
      </c>
      <c r="E2141" s="15">
        <v>10</v>
      </c>
      <c r="F2141" s="15">
        <v>1</v>
      </c>
      <c r="G2141" s="15">
        <v>10</v>
      </c>
      <c r="H2141" s="121"/>
      <c r="I2141" s="121"/>
      <c r="J2141" s="121"/>
      <c r="K2141" s="121">
        <v>0</v>
      </c>
      <c r="L2141" s="14">
        <f t="shared" si="140"/>
        <v>0</v>
      </c>
      <c r="M2141" s="15">
        <f t="shared" si="141"/>
        <v>0</v>
      </c>
      <c r="N2141" s="15">
        <f t="shared" si="142"/>
        <v>0</v>
      </c>
      <c r="O2141" s="16">
        <f t="shared" si="143"/>
        <v>0</v>
      </c>
    </row>
    <row r="2142" spans="2:15">
      <c r="B2142" s="9">
        <v>18</v>
      </c>
      <c r="C2142" s="10" t="s">
        <v>152</v>
      </c>
      <c r="D2142" s="10" t="s">
        <v>149</v>
      </c>
      <c r="E2142" s="93">
        <v>11</v>
      </c>
      <c r="F2142" s="93">
        <v>7</v>
      </c>
      <c r="G2142" s="10">
        <v>1</v>
      </c>
      <c r="H2142" s="120">
        <v>8.4659999999999513</v>
      </c>
      <c r="I2142" s="120">
        <v>0.51599999999996271</v>
      </c>
      <c r="J2142" s="120">
        <v>0.49900000000008049</v>
      </c>
      <c r="K2142" s="120">
        <v>9.4809999999999945</v>
      </c>
      <c r="L2142" s="9">
        <f t="shared" si="140"/>
        <v>0.97616650013197293</v>
      </c>
      <c r="M2142" s="10">
        <f t="shared" si="141"/>
        <v>0.18069920129602404</v>
      </c>
      <c r="N2142" s="10">
        <f t="shared" si="142"/>
        <v>0.17580163284830277</v>
      </c>
      <c r="O2142" s="11">
        <f t="shared" si="143"/>
        <v>1.020402720983878</v>
      </c>
    </row>
    <row r="2143" spans="2:15">
      <c r="B2143" s="12">
        <v>18</v>
      </c>
      <c r="C2143" s="4" t="s">
        <v>152</v>
      </c>
      <c r="D2143" s="4" t="s">
        <v>149</v>
      </c>
      <c r="E2143" s="4">
        <v>11</v>
      </c>
      <c r="F2143" s="4">
        <v>7</v>
      </c>
      <c r="G2143" s="4">
        <v>2</v>
      </c>
      <c r="H2143" s="115">
        <v>0.36700000000001864</v>
      </c>
      <c r="I2143" s="115">
        <v>0.7169999999999277</v>
      </c>
      <c r="J2143" s="115">
        <v>2.2650000000000432</v>
      </c>
      <c r="K2143" s="115">
        <v>3.3489999999999895</v>
      </c>
      <c r="L2143" s="12">
        <f t="shared" si="140"/>
        <v>0.13576851456782821</v>
      </c>
      <c r="M2143" s="4">
        <f t="shared" si="141"/>
        <v>0.2347702951608982</v>
      </c>
      <c r="N2143" s="4">
        <f t="shared" si="142"/>
        <v>0.51388318561109847</v>
      </c>
      <c r="O2143" s="13">
        <f t="shared" si="143"/>
        <v>0.63838940766533492</v>
      </c>
    </row>
    <row r="2144" spans="2:15">
      <c r="B2144" s="12">
        <v>18</v>
      </c>
      <c r="C2144" s="4" t="s">
        <v>152</v>
      </c>
      <c r="D2144" s="4" t="s">
        <v>149</v>
      </c>
      <c r="E2144" s="4">
        <v>11</v>
      </c>
      <c r="F2144" s="4">
        <v>7</v>
      </c>
      <c r="G2144" s="4">
        <v>3</v>
      </c>
      <c r="H2144" s="115">
        <v>1.4159999999999968</v>
      </c>
      <c r="I2144" s="115">
        <v>0.88400000000001455</v>
      </c>
      <c r="J2144" s="115">
        <v>0.7680000000000291</v>
      </c>
      <c r="K2144" s="115">
        <v>3.0680000000000405</v>
      </c>
      <c r="L2144" s="12">
        <f t="shared" si="140"/>
        <v>0.38309692994909367</v>
      </c>
      <c r="M2144" s="4">
        <f t="shared" si="141"/>
        <v>0.2750808984568619</v>
      </c>
      <c r="N2144" s="4">
        <f t="shared" si="142"/>
        <v>0.24748226067706144</v>
      </c>
      <c r="O2144" s="13">
        <f t="shared" si="143"/>
        <v>0.60938094425071132</v>
      </c>
    </row>
    <row r="2145" spans="2:15">
      <c r="B2145" s="12">
        <v>18</v>
      </c>
      <c r="C2145" s="4" t="s">
        <v>152</v>
      </c>
      <c r="D2145" s="4" t="s">
        <v>149</v>
      </c>
      <c r="E2145" s="4">
        <v>11</v>
      </c>
      <c r="F2145" s="4">
        <v>7</v>
      </c>
      <c r="G2145" s="4">
        <v>4</v>
      </c>
      <c r="H2145" s="115"/>
      <c r="I2145" s="115"/>
      <c r="J2145" s="115"/>
      <c r="K2145" s="115">
        <v>0</v>
      </c>
      <c r="L2145" s="12">
        <f t="shared" si="140"/>
        <v>0</v>
      </c>
      <c r="M2145" s="4">
        <f t="shared" si="141"/>
        <v>0</v>
      </c>
      <c r="N2145" s="4">
        <f t="shared" si="142"/>
        <v>0</v>
      </c>
      <c r="O2145" s="13">
        <f t="shared" si="143"/>
        <v>0</v>
      </c>
    </row>
    <row r="2146" spans="2:15">
      <c r="B2146" s="12">
        <v>18</v>
      </c>
      <c r="C2146" s="4" t="s">
        <v>152</v>
      </c>
      <c r="D2146" s="4" t="s">
        <v>149</v>
      </c>
      <c r="E2146" s="4">
        <v>11</v>
      </c>
      <c r="F2146" s="4">
        <v>7</v>
      </c>
      <c r="G2146" s="4">
        <v>5</v>
      </c>
      <c r="H2146" s="115"/>
      <c r="I2146" s="115"/>
      <c r="J2146" s="115"/>
      <c r="K2146" s="115">
        <v>0</v>
      </c>
      <c r="L2146" s="12">
        <f t="shared" si="140"/>
        <v>0</v>
      </c>
      <c r="M2146" s="4">
        <f t="shared" si="141"/>
        <v>0</v>
      </c>
      <c r="N2146" s="4">
        <f t="shared" si="142"/>
        <v>0</v>
      </c>
      <c r="O2146" s="13">
        <f t="shared" si="143"/>
        <v>0</v>
      </c>
    </row>
    <row r="2147" spans="2:15">
      <c r="B2147" s="12">
        <v>18</v>
      </c>
      <c r="C2147" s="4" t="s">
        <v>152</v>
      </c>
      <c r="D2147" s="4" t="s">
        <v>149</v>
      </c>
      <c r="E2147" s="4">
        <v>11</v>
      </c>
      <c r="F2147" s="4">
        <v>7</v>
      </c>
      <c r="G2147" s="4">
        <v>6</v>
      </c>
      <c r="H2147" s="115"/>
      <c r="I2147" s="115"/>
      <c r="J2147" s="115"/>
      <c r="K2147" s="115">
        <v>0</v>
      </c>
      <c r="L2147" s="12">
        <f t="shared" si="140"/>
        <v>0</v>
      </c>
      <c r="M2147" s="4">
        <f t="shared" si="141"/>
        <v>0</v>
      </c>
      <c r="N2147" s="4">
        <f t="shared" si="142"/>
        <v>0</v>
      </c>
      <c r="O2147" s="13">
        <f t="shared" si="143"/>
        <v>0</v>
      </c>
    </row>
    <row r="2148" spans="2:15">
      <c r="B2148" s="12">
        <v>18</v>
      </c>
      <c r="C2148" s="4" t="s">
        <v>152</v>
      </c>
      <c r="D2148" s="4" t="s">
        <v>149</v>
      </c>
      <c r="E2148" s="4">
        <v>11</v>
      </c>
      <c r="F2148" s="4">
        <v>7</v>
      </c>
      <c r="G2148" s="4">
        <v>7</v>
      </c>
      <c r="H2148" s="115"/>
      <c r="I2148" s="115"/>
      <c r="J2148" s="115"/>
      <c r="K2148" s="115">
        <v>0</v>
      </c>
      <c r="L2148" s="12">
        <f t="shared" si="140"/>
        <v>0</v>
      </c>
      <c r="M2148" s="4">
        <f t="shared" si="141"/>
        <v>0</v>
      </c>
      <c r="N2148" s="4">
        <f t="shared" si="142"/>
        <v>0</v>
      </c>
      <c r="O2148" s="13">
        <f t="shared" si="143"/>
        <v>0</v>
      </c>
    </row>
    <row r="2149" spans="2:15">
      <c r="B2149" s="12">
        <v>18</v>
      </c>
      <c r="C2149" s="4" t="s">
        <v>152</v>
      </c>
      <c r="D2149" s="4" t="s">
        <v>149</v>
      </c>
      <c r="E2149" s="4">
        <v>11</v>
      </c>
      <c r="F2149" s="4">
        <v>7</v>
      </c>
      <c r="G2149" s="4">
        <v>8</v>
      </c>
      <c r="H2149" s="115"/>
      <c r="I2149" s="115"/>
      <c r="J2149" s="115"/>
      <c r="K2149" s="115">
        <v>0</v>
      </c>
      <c r="L2149" s="12">
        <f t="shared" si="140"/>
        <v>0</v>
      </c>
      <c r="M2149" s="4">
        <f t="shared" si="141"/>
        <v>0</v>
      </c>
      <c r="N2149" s="4">
        <f t="shared" si="142"/>
        <v>0</v>
      </c>
      <c r="O2149" s="13">
        <f t="shared" si="143"/>
        <v>0</v>
      </c>
    </row>
    <row r="2150" spans="2:15">
      <c r="B2150" s="12">
        <v>18</v>
      </c>
      <c r="C2150" s="4" t="s">
        <v>152</v>
      </c>
      <c r="D2150" s="4" t="s">
        <v>149</v>
      </c>
      <c r="E2150" s="4">
        <v>11</v>
      </c>
      <c r="F2150" s="4">
        <v>7</v>
      </c>
      <c r="G2150" s="4">
        <v>9</v>
      </c>
      <c r="H2150" s="115"/>
      <c r="I2150" s="115"/>
      <c r="J2150" s="115"/>
      <c r="K2150" s="115">
        <v>0</v>
      </c>
      <c r="L2150" s="12">
        <f t="shared" si="140"/>
        <v>0</v>
      </c>
      <c r="M2150" s="4">
        <f t="shared" si="141"/>
        <v>0</v>
      </c>
      <c r="N2150" s="4">
        <f t="shared" si="142"/>
        <v>0</v>
      </c>
      <c r="O2150" s="13">
        <f t="shared" si="143"/>
        <v>0</v>
      </c>
    </row>
    <row r="2151" spans="2:15" ht="13.8" thickBot="1">
      <c r="B2151" s="14">
        <v>18</v>
      </c>
      <c r="C2151" s="15" t="s">
        <v>152</v>
      </c>
      <c r="D2151" s="15" t="s">
        <v>149</v>
      </c>
      <c r="E2151" s="15">
        <v>11</v>
      </c>
      <c r="F2151" s="15">
        <v>7</v>
      </c>
      <c r="G2151" s="15">
        <v>10</v>
      </c>
      <c r="H2151" s="121"/>
      <c r="I2151" s="121"/>
      <c r="J2151" s="121"/>
      <c r="K2151" s="121">
        <v>0</v>
      </c>
      <c r="L2151" s="14">
        <f t="shared" ref="L2151:L2214" si="144">LOG10(H2151+1)</f>
        <v>0</v>
      </c>
      <c r="M2151" s="15">
        <f t="shared" ref="M2151:M2214" si="145">LOG10(I2151+1)</f>
        <v>0</v>
      </c>
      <c r="N2151" s="15">
        <f t="shared" ref="N2151:N2214" si="146">LOG10(J2151+1)</f>
        <v>0</v>
      </c>
      <c r="O2151" s="16">
        <f t="shared" ref="O2151:O2214" si="147">LOG10(K2151+1)</f>
        <v>0</v>
      </c>
    </row>
    <row r="2152" spans="2:15">
      <c r="B2152" s="9">
        <v>18</v>
      </c>
      <c r="C2152" s="10" t="s">
        <v>152</v>
      </c>
      <c r="D2152" s="10" t="s">
        <v>150</v>
      </c>
      <c r="E2152" s="93">
        <v>12</v>
      </c>
      <c r="F2152" s="93">
        <v>3</v>
      </c>
      <c r="G2152" s="10">
        <v>1</v>
      </c>
      <c r="H2152" s="120">
        <v>2.1150000000000091</v>
      </c>
      <c r="I2152" s="120">
        <v>3.3990000000000293</v>
      </c>
      <c r="J2152" s="120">
        <v>2.2319999999999709</v>
      </c>
      <c r="K2152" s="120">
        <v>7.7460000000000093</v>
      </c>
      <c r="L2152" s="9">
        <f t="shared" si="144"/>
        <v>0.49345805099518969</v>
      </c>
      <c r="M2152" s="10">
        <f t="shared" si="145"/>
        <v>0.6433539619768659</v>
      </c>
      <c r="N2152" s="10">
        <f t="shared" si="146"/>
        <v>0.50947135210254468</v>
      </c>
      <c r="O2152" s="11">
        <f t="shared" si="147"/>
        <v>0.94180947300883866</v>
      </c>
    </row>
    <row r="2153" spans="2:15">
      <c r="B2153" s="12">
        <v>18</v>
      </c>
      <c r="C2153" s="4" t="s">
        <v>152</v>
      </c>
      <c r="D2153" s="4" t="s">
        <v>150</v>
      </c>
      <c r="E2153" s="4">
        <v>12</v>
      </c>
      <c r="F2153" s="4">
        <v>3</v>
      </c>
      <c r="G2153" s="4">
        <v>2</v>
      </c>
      <c r="H2153" s="115">
        <v>2.4840000000000373</v>
      </c>
      <c r="I2153" s="115">
        <v>0.83299999999999841</v>
      </c>
      <c r="J2153" s="115"/>
      <c r="K2153" s="115">
        <v>3.3170000000000357</v>
      </c>
      <c r="L2153" s="12">
        <f t="shared" si="144"/>
        <v>0.54207814633563023</v>
      </c>
      <c r="M2153" s="4">
        <f t="shared" si="145"/>
        <v>0.26316246496221629</v>
      </c>
      <c r="N2153" s="4">
        <f t="shared" si="146"/>
        <v>0</v>
      </c>
      <c r="O2153" s="13">
        <f t="shared" si="147"/>
        <v>0.63518204865627126</v>
      </c>
    </row>
    <row r="2154" spans="2:15">
      <c r="B2154" s="12">
        <v>18</v>
      </c>
      <c r="C2154" s="4" t="s">
        <v>152</v>
      </c>
      <c r="D2154" s="4" t="s">
        <v>150</v>
      </c>
      <c r="E2154" s="4">
        <v>12</v>
      </c>
      <c r="F2154" s="4">
        <v>3</v>
      </c>
      <c r="G2154" s="4">
        <v>3</v>
      </c>
      <c r="H2154" s="115"/>
      <c r="I2154" s="115"/>
      <c r="J2154" s="115"/>
      <c r="K2154" s="115">
        <v>0</v>
      </c>
      <c r="L2154" s="12">
        <f t="shared" si="144"/>
        <v>0</v>
      </c>
      <c r="M2154" s="4">
        <f t="shared" si="145"/>
        <v>0</v>
      </c>
      <c r="N2154" s="4">
        <f t="shared" si="146"/>
        <v>0</v>
      </c>
      <c r="O2154" s="13">
        <f t="shared" si="147"/>
        <v>0</v>
      </c>
    </row>
    <row r="2155" spans="2:15">
      <c r="B2155" s="12">
        <v>18</v>
      </c>
      <c r="C2155" s="4" t="s">
        <v>152</v>
      </c>
      <c r="D2155" s="4" t="s">
        <v>150</v>
      </c>
      <c r="E2155" s="4">
        <v>12</v>
      </c>
      <c r="F2155" s="4">
        <v>3</v>
      </c>
      <c r="G2155" s="4">
        <v>4</v>
      </c>
      <c r="H2155" s="115"/>
      <c r="I2155" s="115"/>
      <c r="J2155" s="115"/>
      <c r="K2155" s="115">
        <v>0</v>
      </c>
      <c r="L2155" s="12">
        <f t="shared" si="144"/>
        <v>0</v>
      </c>
      <c r="M2155" s="4">
        <f t="shared" si="145"/>
        <v>0</v>
      </c>
      <c r="N2155" s="4">
        <f t="shared" si="146"/>
        <v>0</v>
      </c>
      <c r="O2155" s="13">
        <f t="shared" si="147"/>
        <v>0</v>
      </c>
    </row>
    <row r="2156" spans="2:15">
      <c r="B2156" s="12">
        <v>18</v>
      </c>
      <c r="C2156" s="4" t="s">
        <v>152</v>
      </c>
      <c r="D2156" s="4" t="s">
        <v>150</v>
      </c>
      <c r="E2156" s="4">
        <v>12</v>
      </c>
      <c r="F2156" s="4">
        <v>3</v>
      </c>
      <c r="G2156" s="4">
        <v>5</v>
      </c>
      <c r="H2156" s="115"/>
      <c r="I2156" s="115"/>
      <c r="J2156" s="115"/>
      <c r="K2156" s="115">
        <v>0</v>
      </c>
      <c r="L2156" s="12">
        <f t="shared" si="144"/>
        <v>0</v>
      </c>
      <c r="M2156" s="4">
        <f t="shared" si="145"/>
        <v>0</v>
      </c>
      <c r="N2156" s="4">
        <f t="shared" si="146"/>
        <v>0</v>
      </c>
      <c r="O2156" s="13">
        <f t="shared" si="147"/>
        <v>0</v>
      </c>
    </row>
    <row r="2157" spans="2:15">
      <c r="B2157" s="12">
        <v>18</v>
      </c>
      <c r="C2157" s="4" t="s">
        <v>152</v>
      </c>
      <c r="D2157" s="4" t="s">
        <v>150</v>
      </c>
      <c r="E2157" s="4">
        <v>12</v>
      </c>
      <c r="F2157" s="4">
        <v>3</v>
      </c>
      <c r="G2157" s="4">
        <v>6</v>
      </c>
      <c r="H2157" s="115"/>
      <c r="I2157" s="115"/>
      <c r="J2157" s="115"/>
      <c r="K2157" s="115">
        <v>0</v>
      </c>
      <c r="L2157" s="12">
        <f t="shared" si="144"/>
        <v>0</v>
      </c>
      <c r="M2157" s="4">
        <f t="shared" si="145"/>
        <v>0</v>
      </c>
      <c r="N2157" s="4">
        <f t="shared" si="146"/>
        <v>0</v>
      </c>
      <c r="O2157" s="13">
        <f t="shared" si="147"/>
        <v>0</v>
      </c>
    </row>
    <row r="2158" spans="2:15">
      <c r="B2158" s="12">
        <v>18</v>
      </c>
      <c r="C2158" s="4" t="s">
        <v>152</v>
      </c>
      <c r="D2158" s="4" t="s">
        <v>150</v>
      </c>
      <c r="E2158" s="4">
        <v>12</v>
      </c>
      <c r="F2158" s="4">
        <v>3</v>
      </c>
      <c r="G2158" s="4">
        <v>7</v>
      </c>
      <c r="H2158" s="115"/>
      <c r="I2158" s="115"/>
      <c r="J2158" s="115"/>
      <c r="K2158" s="115">
        <v>0</v>
      </c>
      <c r="L2158" s="12">
        <f t="shared" si="144"/>
        <v>0</v>
      </c>
      <c r="M2158" s="4">
        <f t="shared" si="145"/>
        <v>0</v>
      </c>
      <c r="N2158" s="4">
        <f t="shared" si="146"/>
        <v>0</v>
      </c>
      <c r="O2158" s="13">
        <f t="shared" si="147"/>
        <v>0</v>
      </c>
    </row>
    <row r="2159" spans="2:15">
      <c r="B2159" s="12">
        <v>18</v>
      </c>
      <c r="C2159" s="4" t="s">
        <v>152</v>
      </c>
      <c r="D2159" s="4" t="s">
        <v>150</v>
      </c>
      <c r="E2159" s="4">
        <v>12</v>
      </c>
      <c r="F2159" s="4">
        <v>3</v>
      </c>
      <c r="G2159" s="4">
        <v>8</v>
      </c>
      <c r="H2159" s="115"/>
      <c r="I2159" s="115"/>
      <c r="J2159" s="115"/>
      <c r="K2159" s="115">
        <v>0</v>
      </c>
      <c r="L2159" s="12">
        <f t="shared" si="144"/>
        <v>0</v>
      </c>
      <c r="M2159" s="4">
        <f t="shared" si="145"/>
        <v>0</v>
      </c>
      <c r="N2159" s="4">
        <f t="shared" si="146"/>
        <v>0</v>
      </c>
      <c r="O2159" s="13">
        <f t="shared" si="147"/>
        <v>0</v>
      </c>
    </row>
    <row r="2160" spans="2:15">
      <c r="B2160" s="12">
        <v>18</v>
      </c>
      <c r="C2160" s="4" t="s">
        <v>152</v>
      </c>
      <c r="D2160" s="4" t="s">
        <v>150</v>
      </c>
      <c r="E2160" s="4">
        <v>12</v>
      </c>
      <c r="F2160" s="4">
        <v>3</v>
      </c>
      <c r="G2160" s="4">
        <v>9</v>
      </c>
      <c r="H2160" s="115"/>
      <c r="I2160" s="115"/>
      <c r="J2160" s="115"/>
      <c r="K2160" s="115">
        <v>0</v>
      </c>
      <c r="L2160" s="12">
        <f t="shared" si="144"/>
        <v>0</v>
      </c>
      <c r="M2160" s="4">
        <f t="shared" si="145"/>
        <v>0</v>
      </c>
      <c r="N2160" s="4">
        <f t="shared" si="146"/>
        <v>0</v>
      </c>
      <c r="O2160" s="13">
        <f t="shared" si="147"/>
        <v>0</v>
      </c>
    </row>
    <row r="2161" spans="2:15" ht="13.8" thickBot="1">
      <c r="B2161" s="14">
        <v>18</v>
      </c>
      <c r="C2161" s="15" t="s">
        <v>152</v>
      </c>
      <c r="D2161" s="15" t="s">
        <v>150</v>
      </c>
      <c r="E2161" s="15">
        <v>12</v>
      </c>
      <c r="F2161" s="15">
        <v>3</v>
      </c>
      <c r="G2161" s="15">
        <v>10</v>
      </c>
      <c r="H2161" s="121"/>
      <c r="I2161" s="121"/>
      <c r="J2161" s="121"/>
      <c r="K2161" s="121">
        <v>0</v>
      </c>
      <c r="L2161" s="14">
        <f t="shared" si="144"/>
        <v>0</v>
      </c>
      <c r="M2161" s="15">
        <f t="shared" si="145"/>
        <v>0</v>
      </c>
      <c r="N2161" s="15">
        <f t="shared" si="146"/>
        <v>0</v>
      </c>
      <c r="O2161" s="16">
        <f t="shared" si="147"/>
        <v>0</v>
      </c>
    </row>
    <row r="2162" spans="2:15">
      <c r="B2162" s="9">
        <v>19</v>
      </c>
      <c r="C2162" s="10" t="s">
        <v>151</v>
      </c>
      <c r="D2162" s="10" t="s">
        <v>154</v>
      </c>
      <c r="E2162" s="93">
        <v>1</v>
      </c>
      <c r="F2162" s="93">
        <v>2</v>
      </c>
      <c r="G2162" s="10">
        <v>1</v>
      </c>
      <c r="H2162" s="120">
        <v>1.0649999999999977</v>
      </c>
      <c r="I2162" s="120">
        <v>0.11700000000001864</v>
      </c>
      <c r="J2162" s="120">
        <v>1.0660000000000025</v>
      </c>
      <c r="K2162" s="120">
        <v>2.2480000000000189</v>
      </c>
      <c r="L2162" s="9">
        <f t="shared" si="144"/>
        <v>0.31492005599241935</v>
      </c>
      <c r="M2162" s="10">
        <f t="shared" si="145"/>
        <v>4.8053173115616306E-2</v>
      </c>
      <c r="N2162" s="10">
        <f t="shared" si="146"/>
        <v>0.31513031718360229</v>
      </c>
      <c r="O2162" s="11">
        <f t="shared" si="147"/>
        <v>0.51161602056914024</v>
      </c>
    </row>
    <row r="2163" spans="2:15">
      <c r="B2163" s="12">
        <v>19</v>
      </c>
      <c r="C2163" s="4" t="s">
        <v>151</v>
      </c>
      <c r="D2163" s="4" t="s">
        <v>154</v>
      </c>
      <c r="E2163" s="4">
        <v>1</v>
      </c>
      <c r="F2163" s="4">
        <v>2</v>
      </c>
      <c r="G2163" s="4">
        <v>2</v>
      </c>
      <c r="H2163" s="115">
        <v>0.58400000000000318</v>
      </c>
      <c r="I2163" s="115">
        <v>0.59999999999996589</v>
      </c>
      <c r="J2163" s="115"/>
      <c r="K2163" s="115">
        <v>1.1839999999999691</v>
      </c>
      <c r="L2163" s="12">
        <f t="shared" si="144"/>
        <v>0.19975517725347558</v>
      </c>
      <c r="M2163" s="4">
        <f t="shared" si="145"/>
        <v>0.20411998265591552</v>
      </c>
      <c r="N2163" s="4">
        <f t="shared" si="146"/>
        <v>0</v>
      </c>
      <c r="O2163" s="13">
        <f t="shared" si="147"/>
        <v>0.33925263403269346</v>
      </c>
    </row>
    <row r="2164" spans="2:15">
      <c r="B2164" s="12">
        <v>19</v>
      </c>
      <c r="C2164" s="4" t="s">
        <v>151</v>
      </c>
      <c r="D2164" s="4" t="s">
        <v>154</v>
      </c>
      <c r="E2164" s="4">
        <v>1</v>
      </c>
      <c r="F2164" s="4">
        <v>2</v>
      </c>
      <c r="G2164" s="4">
        <v>3</v>
      </c>
      <c r="H2164" s="115"/>
      <c r="I2164" s="115"/>
      <c r="J2164" s="115"/>
      <c r="K2164" s="115">
        <v>0</v>
      </c>
      <c r="L2164" s="12">
        <f t="shared" si="144"/>
        <v>0</v>
      </c>
      <c r="M2164" s="4">
        <f t="shared" si="145"/>
        <v>0</v>
      </c>
      <c r="N2164" s="4">
        <f t="shared" si="146"/>
        <v>0</v>
      </c>
      <c r="O2164" s="13">
        <f t="shared" si="147"/>
        <v>0</v>
      </c>
    </row>
    <row r="2165" spans="2:15">
      <c r="B2165" s="12">
        <v>19</v>
      </c>
      <c r="C2165" s="4" t="s">
        <v>151</v>
      </c>
      <c r="D2165" s="4" t="s">
        <v>154</v>
      </c>
      <c r="E2165" s="4">
        <v>1</v>
      </c>
      <c r="F2165" s="4">
        <v>2</v>
      </c>
      <c r="G2165" s="4">
        <v>4</v>
      </c>
      <c r="H2165" s="115">
        <v>9.9999999999994316E-2</v>
      </c>
      <c r="I2165" s="115">
        <v>9.9999999999994316E-2</v>
      </c>
      <c r="J2165" s="115">
        <v>0.25</v>
      </c>
      <c r="K2165" s="115">
        <v>0.44999999999998863</v>
      </c>
      <c r="L2165" s="12">
        <f t="shared" si="144"/>
        <v>4.1392685158222794E-2</v>
      </c>
      <c r="M2165" s="4">
        <f t="shared" si="145"/>
        <v>4.1392685158222794E-2</v>
      </c>
      <c r="N2165" s="4">
        <f t="shared" si="146"/>
        <v>9.691001300805642E-2</v>
      </c>
      <c r="O2165" s="13">
        <f t="shared" si="147"/>
        <v>0.1613680022349715</v>
      </c>
    </row>
    <row r="2166" spans="2:15">
      <c r="B2166" s="12">
        <v>19</v>
      </c>
      <c r="C2166" s="4" t="s">
        <v>151</v>
      </c>
      <c r="D2166" s="4" t="s">
        <v>154</v>
      </c>
      <c r="E2166" s="4">
        <v>1</v>
      </c>
      <c r="F2166" s="4">
        <v>2</v>
      </c>
      <c r="G2166" s="4">
        <v>5</v>
      </c>
      <c r="H2166" s="115"/>
      <c r="I2166" s="115"/>
      <c r="J2166" s="115"/>
      <c r="K2166" s="115">
        <v>0</v>
      </c>
      <c r="L2166" s="12">
        <f t="shared" si="144"/>
        <v>0</v>
      </c>
      <c r="M2166" s="4">
        <f t="shared" si="145"/>
        <v>0</v>
      </c>
      <c r="N2166" s="4">
        <f t="shared" si="146"/>
        <v>0</v>
      </c>
      <c r="O2166" s="13">
        <f t="shared" si="147"/>
        <v>0</v>
      </c>
    </row>
    <row r="2167" spans="2:15">
      <c r="B2167" s="12">
        <v>19</v>
      </c>
      <c r="C2167" s="4" t="s">
        <v>151</v>
      </c>
      <c r="D2167" s="4" t="s">
        <v>154</v>
      </c>
      <c r="E2167" s="4">
        <v>1</v>
      </c>
      <c r="F2167" s="4">
        <v>2</v>
      </c>
      <c r="G2167" s="4">
        <v>6</v>
      </c>
      <c r="H2167" s="115"/>
      <c r="I2167" s="115"/>
      <c r="J2167" s="115"/>
      <c r="K2167" s="115">
        <v>0</v>
      </c>
      <c r="L2167" s="12">
        <f t="shared" si="144"/>
        <v>0</v>
      </c>
      <c r="M2167" s="4">
        <f t="shared" si="145"/>
        <v>0</v>
      </c>
      <c r="N2167" s="4">
        <f t="shared" si="146"/>
        <v>0</v>
      </c>
      <c r="O2167" s="13">
        <f t="shared" si="147"/>
        <v>0</v>
      </c>
    </row>
    <row r="2168" spans="2:15">
      <c r="B2168" s="12">
        <v>19</v>
      </c>
      <c r="C2168" s="4" t="s">
        <v>151</v>
      </c>
      <c r="D2168" s="4" t="s">
        <v>154</v>
      </c>
      <c r="E2168" s="4">
        <v>1</v>
      </c>
      <c r="F2168" s="4">
        <v>2</v>
      </c>
      <c r="G2168" s="4">
        <v>7</v>
      </c>
      <c r="H2168" s="115"/>
      <c r="I2168" s="115"/>
      <c r="J2168" s="115"/>
      <c r="K2168" s="115">
        <v>0</v>
      </c>
      <c r="L2168" s="12">
        <f t="shared" si="144"/>
        <v>0</v>
      </c>
      <c r="M2168" s="4">
        <f t="shared" si="145"/>
        <v>0</v>
      </c>
      <c r="N2168" s="4">
        <f t="shared" si="146"/>
        <v>0</v>
      </c>
      <c r="O2168" s="13">
        <f t="shared" si="147"/>
        <v>0</v>
      </c>
    </row>
    <row r="2169" spans="2:15">
      <c r="B2169" s="12">
        <v>19</v>
      </c>
      <c r="C2169" s="4" t="s">
        <v>151</v>
      </c>
      <c r="D2169" s="4" t="s">
        <v>154</v>
      </c>
      <c r="E2169" s="4">
        <v>1</v>
      </c>
      <c r="F2169" s="4">
        <v>2</v>
      </c>
      <c r="G2169" s="4">
        <v>8</v>
      </c>
      <c r="H2169" s="115"/>
      <c r="I2169" s="115"/>
      <c r="J2169" s="115"/>
      <c r="K2169" s="115">
        <v>0</v>
      </c>
      <c r="L2169" s="12">
        <f t="shared" si="144"/>
        <v>0</v>
      </c>
      <c r="M2169" s="4">
        <f t="shared" si="145"/>
        <v>0</v>
      </c>
      <c r="N2169" s="4">
        <f t="shared" si="146"/>
        <v>0</v>
      </c>
      <c r="O2169" s="13">
        <f t="shared" si="147"/>
        <v>0</v>
      </c>
    </row>
    <row r="2170" spans="2:15">
      <c r="B2170" s="12">
        <v>19</v>
      </c>
      <c r="C2170" s="4" t="s">
        <v>151</v>
      </c>
      <c r="D2170" s="4" t="s">
        <v>154</v>
      </c>
      <c r="E2170" s="4">
        <v>1</v>
      </c>
      <c r="F2170" s="4">
        <v>2</v>
      </c>
      <c r="G2170" s="4">
        <v>9</v>
      </c>
      <c r="H2170" s="115"/>
      <c r="I2170" s="115"/>
      <c r="J2170" s="115"/>
      <c r="K2170" s="115">
        <v>0</v>
      </c>
      <c r="L2170" s="12">
        <f t="shared" si="144"/>
        <v>0</v>
      </c>
      <c r="M2170" s="4">
        <f t="shared" si="145"/>
        <v>0</v>
      </c>
      <c r="N2170" s="4">
        <f t="shared" si="146"/>
        <v>0</v>
      </c>
      <c r="O2170" s="13">
        <f t="shared" si="147"/>
        <v>0</v>
      </c>
    </row>
    <row r="2171" spans="2:15" ht="13.8" thickBot="1">
      <c r="B2171" s="14">
        <v>19</v>
      </c>
      <c r="C2171" s="15" t="s">
        <v>151</v>
      </c>
      <c r="D2171" s="15" t="s">
        <v>154</v>
      </c>
      <c r="E2171" s="15">
        <v>1</v>
      </c>
      <c r="F2171" s="15">
        <v>2</v>
      </c>
      <c r="G2171" s="15">
        <v>10</v>
      </c>
      <c r="H2171" s="121"/>
      <c r="I2171" s="121"/>
      <c r="J2171" s="121"/>
      <c r="K2171" s="121">
        <v>0</v>
      </c>
      <c r="L2171" s="14">
        <f t="shared" si="144"/>
        <v>0</v>
      </c>
      <c r="M2171" s="15">
        <f t="shared" si="145"/>
        <v>0</v>
      </c>
      <c r="N2171" s="15">
        <f t="shared" si="146"/>
        <v>0</v>
      </c>
      <c r="O2171" s="16">
        <f t="shared" si="147"/>
        <v>0</v>
      </c>
    </row>
    <row r="2172" spans="2:15">
      <c r="B2172" s="9">
        <v>19</v>
      </c>
      <c r="C2172" s="10" t="s">
        <v>151</v>
      </c>
      <c r="D2172" s="10" t="s">
        <v>149</v>
      </c>
      <c r="E2172" s="93">
        <v>2</v>
      </c>
      <c r="F2172" s="93">
        <v>6</v>
      </c>
      <c r="G2172" s="10">
        <v>1</v>
      </c>
      <c r="H2172" s="120">
        <v>3.1679999999998358</v>
      </c>
      <c r="I2172" s="120">
        <v>0.9669999999999277</v>
      </c>
      <c r="J2172" s="120">
        <v>1.81899999999996</v>
      </c>
      <c r="K2172" s="120">
        <v>5.9539999999997235</v>
      </c>
      <c r="L2172" s="9">
        <f t="shared" si="144"/>
        <v>0.619927710291451</v>
      </c>
      <c r="M2172" s="10">
        <f t="shared" si="145"/>
        <v>0.29380435991932075</v>
      </c>
      <c r="N2172" s="10">
        <f t="shared" si="146"/>
        <v>0.45009507587159614</v>
      </c>
      <c r="O2172" s="11">
        <f t="shared" si="147"/>
        <v>0.84223468634722232</v>
      </c>
    </row>
    <row r="2173" spans="2:15">
      <c r="B2173" s="12">
        <v>19</v>
      </c>
      <c r="C2173" s="4" t="s">
        <v>151</v>
      </c>
      <c r="D2173" s="4" t="s">
        <v>149</v>
      </c>
      <c r="E2173" s="4">
        <v>2</v>
      </c>
      <c r="F2173" s="4">
        <v>6</v>
      </c>
      <c r="G2173" s="4">
        <v>2</v>
      </c>
      <c r="H2173" s="115">
        <v>0.30000000000001137</v>
      </c>
      <c r="I2173" s="115">
        <v>0.53399999999999181</v>
      </c>
      <c r="J2173" s="115">
        <v>0.75200000000000955</v>
      </c>
      <c r="K2173" s="115">
        <v>1.5860000000000127</v>
      </c>
      <c r="L2173" s="12">
        <f t="shared" si="144"/>
        <v>0.11394335230684056</v>
      </c>
      <c r="M2173" s="4">
        <f t="shared" si="145"/>
        <v>0.18582535961295985</v>
      </c>
      <c r="N2173" s="4">
        <f t="shared" si="146"/>
        <v>0.24353410183206428</v>
      </c>
      <c r="O2173" s="13">
        <f t="shared" si="147"/>
        <v>0.41262852054437738</v>
      </c>
    </row>
    <row r="2174" spans="2:15">
      <c r="B2174" s="12">
        <v>19</v>
      </c>
      <c r="C2174" s="4" t="s">
        <v>151</v>
      </c>
      <c r="D2174" s="4" t="s">
        <v>149</v>
      </c>
      <c r="E2174" s="4">
        <v>2</v>
      </c>
      <c r="F2174" s="4">
        <v>6</v>
      </c>
      <c r="G2174" s="4">
        <v>3</v>
      </c>
      <c r="H2174" s="115">
        <v>0.59899999999998954</v>
      </c>
      <c r="I2174" s="115">
        <v>0.64999999999992042</v>
      </c>
      <c r="J2174" s="115">
        <v>0.75000000000005684</v>
      </c>
      <c r="K2174" s="115">
        <v>1.9989999999999668</v>
      </c>
      <c r="L2174" s="12">
        <f t="shared" si="144"/>
        <v>0.20384846374623186</v>
      </c>
      <c r="M2174" s="4">
        <f t="shared" si="145"/>
        <v>0.21748394421388534</v>
      </c>
      <c r="N2174" s="4">
        <f t="shared" si="146"/>
        <v>0.24303804868630854</v>
      </c>
      <c r="O2174" s="13">
        <f t="shared" si="147"/>
        <v>0.47697646575952235</v>
      </c>
    </row>
    <row r="2175" spans="2:15">
      <c r="B2175" s="12">
        <v>19</v>
      </c>
      <c r="C2175" s="4" t="s">
        <v>151</v>
      </c>
      <c r="D2175" s="4" t="s">
        <v>149</v>
      </c>
      <c r="E2175" s="4">
        <v>2</v>
      </c>
      <c r="F2175" s="4">
        <v>6</v>
      </c>
      <c r="G2175" s="4">
        <v>4</v>
      </c>
      <c r="H2175" s="115"/>
      <c r="I2175" s="115"/>
      <c r="J2175" s="115"/>
      <c r="K2175" s="115">
        <v>0</v>
      </c>
      <c r="L2175" s="12">
        <f t="shared" si="144"/>
        <v>0</v>
      </c>
      <c r="M2175" s="4">
        <f t="shared" si="145"/>
        <v>0</v>
      </c>
      <c r="N2175" s="4">
        <f t="shared" si="146"/>
        <v>0</v>
      </c>
      <c r="O2175" s="13">
        <f t="shared" si="147"/>
        <v>0</v>
      </c>
    </row>
    <row r="2176" spans="2:15">
      <c r="B2176" s="12">
        <v>19</v>
      </c>
      <c r="C2176" s="4" t="s">
        <v>151</v>
      </c>
      <c r="D2176" s="4" t="s">
        <v>149</v>
      </c>
      <c r="E2176" s="4">
        <v>2</v>
      </c>
      <c r="F2176" s="4">
        <v>6</v>
      </c>
      <c r="G2176" s="4">
        <v>5</v>
      </c>
      <c r="H2176" s="115"/>
      <c r="I2176" s="115"/>
      <c r="J2176" s="115"/>
      <c r="K2176" s="115">
        <v>0</v>
      </c>
      <c r="L2176" s="12">
        <f t="shared" si="144"/>
        <v>0</v>
      </c>
      <c r="M2176" s="4">
        <f t="shared" si="145"/>
        <v>0</v>
      </c>
      <c r="N2176" s="4">
        <f t="shared" si="146"/>
        <v>0</v>
      </c>
      <c r="O2176" s="13">
        <f t="shared" si="147"/>
        <v>0</v>
      </c>
    </row>
    <row r="2177" spans="2:15">
      <c r="B2177" s="12">
        <v>19</v>
      </c>
      <c r="C2177" s="4" t="s">
        <v>151</v>
      </c>
      <c r="D2177" s="4" t="s">
        <v>149</v>
      </c>
      <c r="E2177" s="4">
        <v>2</v>
      </c>
      <c r="F2177" s="4">
        <v>6</v>
      </c>
      <c r="G2177" s="4">
        <v>6</v>
      </c>
      <c r="H2177" s="115"/>
      <c r="I2177" s="115"/>
      <c r="J2177" s="115"/>
      <c r="K2177" s="115">
        <v>0</v>
      </c>
      <c r="L2177" s="12">
        <f t="shared" si="144"/>
        <v>0</v>
      </c>
      <c r="M2177" s="4">
        <f t="shared" si="145"/>
        <v>0</v>
      </c>
      <c r="N2177" s="4">
        <f t="shared" si="146"/>
        <v>0</v>
      </c>
      <c r="O2177" s="13">
        <f t="shared" si="147"/>
        <v>0</v>
      </c>
    </row>
    <row r="2178" spans="2:15">
      <c r="B2178" s="12">
        <v>19</v>
      </c>
      <c r="C2178" s="4" t="s">
        <v>151</v>
      </c>
      <c r="D2178" s="4" t="s">
        <v>149</v>
      </c>
      <c r="E2178" s="4">
        <v>2</v>
      </c>
      <c r="F2178" s="4">
        <v>6</v>
      </c>
      <c r="G2178" s="4">
        <v>7</v>
      </c>
      <c r="H2178" s="115"/>
      <c r="I2178" s="115"/>
      <c r="J2178" s="115"/>
      <c r="K2178" s="115">
        <v>0</v>
      </c>
      <c r="L2178" s="12">
        <f t="shared" si="144"/>
        <v>0</v>
      </c>
      <c r="M2178" s="4">
        <f t="shared" si="145"/>
        <v>0</v>
      </c>
      <c r="N2178" s="4">
        <f t="shared" si="146"/>
        <v>0</v>
      </c>
      <c r="O2178" s="13">
        <f t="shared" si="147"/>
        <v>0</v>
      </c>
    </row>
    <row r="2179" spans="2:15">
      <c r="B2179" s="12">
        <v>19</v>
      </c>
      <c r="C2179" s="4" t="s">
        <v>151</v>
      </c>
      <c r="D2179" s="4" t="s">
        <v>149</v>
      </c>
      <c r="E2179" s="4">
        <v>2</v>
      </c>
      <c r="F2179" s="4">
        <v>6</v>
      </c>
      <c r="G2179" s="4">
        <v>8</v>
      </c>
      <c r="H2179" s="115"/>
      <c r="I2179" s="115"/>
      <c r="J2179" s="115"/>
      <c r="K2179" s="115">
        <v>0</v>
      </c>
      <c r="L2179" s="12">
        <f t="shared" si="144"/>
        <v>0</v>
      </c>
      <c r="M2179" s="4">
        <f t="shared" si="145"/>
        <v>0</v>
      </c>
      <c r="N2179" s="4">
        <f t="shared" si="146"/>
        <v>0</v>
      </c>
      <c r="O2179" s="13">
        <f t="shared" si="147"/>
        <v>0</v>
      </c>
    </row>
    <row r="2180" spans="2:15">
      <c r="B2180" s="12">
        <v>19</v>
      </c>
      <c r="C2180" s="4" t="s">
        <v>151</v>
      </c>
      <c r="D2180" s="4" t="s">
        <v>149</v>
      </c>
      <c r="E2180" s="4">
        <v>2</v>
      </c>
      <c r="F2180" s="4">
        <v>6</v>
      </c>
      <c r="G2180" s="4">
        <v>9</v>
      </c>
      <c r="H2180" s="115"/>
      <c r="I2180" s="115"/>
      <c r="J2180" s="115"/>
      <c r="K2180" s="115">
        <v>0</v>
      </c>
      <c r="L2180" s="12">
        <f t="shared" si="144"/>
        <v>0</v>
      </c>
      <c r="M2180" s="4">
        <f t="shared" si="145"/>
        <v>0</v>
      </c>
      <c r="N2180" s="4">
        <f t="shared" si="146"/>
        <v>0</v>
      </c>
      <c r="O2180" s="13">
        <f t="shared" si="147"/>
        <v>0</v>
      </c>
    </row>
    <row r="2181" spans="2:15" ht="13.8" thickBot="1">
      <c r="B2181" s="14">
        <v>19</v>
      </c>
      <c r="C2181" s="15" t="s">
        <v>151</v>
      </c>
      <c r="D2181" s="15" t="s">
        <v>149</v>
      </c>
      <c r="E2181" s="15">
        <v>2</v>
      </c>
      <c r="F2181" s="15">
        <v>6</v>
      </c>
      <c r="G2181" s="15">
        <v>10</v>
      </c>
      <c r="H2181" s="121"/>
      <c r="I2181" s="121"/>
      <c r="J2181" s="121"/>
      <c r="K2181" s="121">
        <v>0</v>
      </c>
      <c r="L2181" s="14">
        <f t="shared" si="144"/>
        <v>0</v>
      </c>
      <c r="M2181" s="15">
        <f t="shared" si="145"/>
        <v>0</v>
      </c>
      <c r="N2181" s="15">
        <f t="shared" si="146"/>
        <v>0</v>
      </c>
      <c r="O2181" s="16">
        <f t="shared" si="147"/>
        <v>0</v>
      </c>
    </row>
    <row r="2182" spans="2:15">
      <c r="B2182" s="9">
        <v>19</v>
      </c>
      <c r="C2182" s="10" t="s">
        <v>151</v>
      </c>
      <c r="D2182" s="10" t="s">
        <v>150</v>
      </c>
      <c r="E2182" s="93">
        <v>3</v>
      </c>
      <c r="F2182" s="93">
        <v>10</v>
      </c>
      <c r="G2182" s="10">
        <v>1</v>
      </c>
      <c r="H2182" s="120">
        <v>1.8670000000000755</v>
      </c>
      <c r="I2182" s="120">
        <v>0.33400000000006003</v>
      </c>
      <c r="J2182" s="120">
        <v>5.36200000000008</v>
      </c>
      <c r="K2182" s="120">
        <v>7.5630000000002156</v>
      </c>
      <c r="L2182" s="9">
        <f t="shared" si="144"/>
        <v>0.45742769294649593</v>
      </c>
      <c r="M2182" s="10">
        <f t="shared" si="145"/>
        <v>0.12515582958054972</v>
      </c>
      <c r="N2182" s="10">
        <f t="shared" si="146"/>
        <v>0.80359366477134997</v>
      </c>
      <c r="O2182" s="11">
        <f t="shared" si="147"/>
        <v>0.93262594402179311</v>
      </c>
    </row>
    <row r="2183" spans="2:15">
      <c r="B2183" s="12">
        <v>19</v>
      </c>
      <c r="C2183" s="4" t="s">
        <v>151</v>
      </c>
      <c r="D2183" s="4" t="s">
        <v>150</v>
      </c>
      <c r="E2183" s="4">
        <v>3</v>
      </c>
      <c r="F2183" s="4">
        <v>10</v>
      </c>
      <c r="G2183" s="4">
        <v>2</v>
      </c>
      <c r="H2183" s="115">
        <v>1.8499999999999091</v>
      </c>
      <c r="I2183" s="115">
        <v>0.40000000000009095</v>
      </c>
      <c r="J2183" s="115">
        <v>5.4659999999994398</v>
      </c>
      <c r="K2183" s="115">
        <v>7.7159999999994398</v>
      </c>
      <c r="L2183" s="12">
        <f t="shared" si="144"/>
        <v>0.45484486000849633</v>
      </c>
      <c r="M2183" s="4">
        <f t="shared" si="145"/>
        <v>0.14612803567826624</v>
      </c>
      <c r="N2183" s="4">
        <f t="shared" si="146"/>
        <v>0.81063570027549969</v>
      </c>
      <c r="O2183" s="13">
        <f t="shared" si="147"/>
        <v>0.94031722157419007</v>
      </c>
    </row>
    <row r="2184" spans="2:15">
      <c r="B2184" s="12">
        <v>19</v>
      </c>
      <c r="C2184" s="4" t="s">
        <v>151</v>
      </c>
      <c r="D2184" s="4" t="s">
        <v>150</v>
      </c>
      <c r="E2184" s="4">
        <v>3</v>
      </c>
      <c r="F2184" s="4">
        <v>10</v>
      </c>
      <c r="G2184" s="4">
        <v>3</v>
      </c>
      <c r="H2184" s="115">
        <v>1.6329999999999245</v>
      </c>
      <c r="I2184" s="115">
        <v>0.76699999999993906</v>
      </c>
      <c r="J2184" s="115">
        <v>2.6009999999999991</v>
      </c>
      <c r="K2184" s="115">
        <v>5.0009999999998627</v>
      </c>
      <c r="L2184" s="12">
        <f t="shared" si="144"/>
        <v>0.42045085910605573</v>
      </c>
      <c r="M2184" s="4">
        <f t="shared" si="145"/>
        <v>0.24723654950674911</v>
      </c>
      <c r="N2184" s="4">
        <f t="shared" si="146"/>
        <v>0.55642312137128525</v>
      </c>
      <c r="O2184" s="13">
        <f t="shared" si="147"/>
        <v>0.77822362676608658</v>
      </c>
    </row>
    <row r="2185" spans="2:15">
      <c r="B2185" s="12">
        <v>19</v>
      </c>
      <c r="C2185" s="4" t="s">
        <v>151</v>
      </c>
      <c r="D2185" s="4" t="s">
        <v>150</v>
      </c>
      <c r="E2185" s="4">
        <v>3</v>
      </c>
      <c r="F2185" s="4">
        <v>10</v>
      </c>
      <c r="G2185" s="4">
        <v>4</v>
      </c>
      <c r="H2185" s="115">
        <v>0.33400000000006003</v>
      </c>
      <c r="I2185" s="115">
        <v>0.10000000000002274</v>
      </c>
      <c r="J2185" s="115"/>
      <c r="K2185" s="115">
        <v>0.43400000000008276</v>
      </c>
      <c r="L2185" s="12">
        <f t="shared" si="144"/>
        <v>0.12515582958054972</v>
      </c>
      <c r="M2185" s="4">
        <f t="shared" si="145"/>
        <v>4.1392685158234015E-2</v>
      </c>
      <c r="N2185" s="4">
        <f t="shared" si="146"/>
        <v>0</v>
      </c>
      <c r="O2185" s="13">
        <f t="shared" si="147"/>
        <v>0.15654915133180639</v>
      </c>
    </row>
    <row r="2186" spans="2:15">
      <c r="B2186" s="12">
        <v>19</v>
      </c>
      <c r="C2186" s="4" t="s">
        <v>151</v>
      </c>
      <c r="D2186" s="4" t="s">
        <v>150</v>
      </c>
      <c r="E2186" s="4">
        <v>3</v>
      </c>
      <c r="F2186" s="4">
        <v>10</v>
      </c>
      <c r="G2186" s="4">
        <v>5</v>
      </c>
      <c r="H2186" s="115"/>
      <c r="I2186" s="115"/>
      <c r="J2186" s="115"/>
      <c r="K2186" s="115">
        <v>0</v>
      </c>
      <c r="L2186" s="12">
        <f t="shared" si="144"/>
        <v>0</v>
      </c>
      <c r="M2186" s="4">
        <f t="shared" si="145"/>
        <v>0</v>
      </c>
      <c r="N2186" s="4">
        <f t="shared" si="146"/>
        <v>0</v>
      </c>
      <c r="O2186" s="13">
        <f t="shared" si="147"/>
        <v>0</v>
      </c>
    </row>
    <row r="2187" spans="2:15">
      <c r="B2187" s="12">
        <v>19</v>
      </c>
      <c r="C2187" s="4" t="s">
        <v>151</v>
      </c>
      <c r="D2187" s="4" t="s">
        <v>150</v>
      </c>
      <c r="E2187" s="4">
        <v>3</v>
      </c>
      <c r="F2187" s="4">
        <v>10</v>
      </c>
      <c r="G2187" s="4">
        <v>6</v>
      </c>
      <c r="H2187" s="115"/>
      <c r="I2187" s="115"/>
      <c r="J2187" s="115"/>
      <c r="K2187" s="115">
        <v>0</v>
      </c>
      <c r="L2187" s="12">
        <f t="shared" si="144"/>
        <v>0</v>
      </c>
      <c r="M2187" s="4">
        <f t="shared" si="145"/>
        <v>0</v>
      </c>
      <c r="N2187" s="4">
        <f t="shared" si="146"/>
        <v>0</v>
      </c>
      <c r="O2187" s="13">
        <f t="shared" si="147"/>
        <v>0</v>
      </c>
    </row>
    <row r="2188" spans="2:15">
      <c r="B2188" s="12">
        <v>19</v>
      </c>
      <c r="C2188" s="4" t="s">
        <v>151</v>
      </c>
      <c r="D2188" s="4" t="s">
        <v>150</v>
      </c>
      <c r="E2188" s="4">
        <v>3</v>
      </c>
      <c r="F2188" s="4">
        <v>10</v>
      </c>
      <c r="G2188" s="4">
        <v>7</v>
      </c>
      <c r="H2188" s="115"/>
      <c r="I2188" s="115"/>
      <c r="J2188" s="115"/>
      <c r="K2188" s="115">
        <v>0</v>
      </c>
      <c r="L2188" s="12">
        <f t="shared" si="144"/>
        <v>0</v>
      </c>
      <c r="M2188" s="4">
        <f t="shared" si="145"/>
        <v>0</v>
      </c>
      <c r="N2188" s="4">
        <f t="shared" si="146"/>
        <v>0</v>
      </c>
      <c r="O2188" s="13">
        <f t="shared" si="147"/>
        <v>0</v>
      </c>
    </row>
    <row r="2189" spans="2:15">
      <c r="B2189" s="12">
        <v>19</v>
      </c>
      <c r="C2189" s="4" t="s">
        <v>151</v>
      </c>
      <c r="D2189" s="4" t="s">
        <v>150</v>
      </c>
      <c r="E2189" s="4">
        <v>3</v>
      </c>
      <c r="F2189" s="4">
        <v>10</v>
      </c>
      <c r="G2189" s="4">
        <v>8</v>
      </c>
      <c r="H2189" s="115"/>
      <c r="I2189" s="115"/>
      <c r="J2189" s="115"/>
      <c r="K2189" s="115">
        <v>0</v>
      </c>
      <c r="L2189" s="12">
        <f t="shared" si="144"/>
        <v>0</v>
      </c>
      <c r="M2189" s="4">
        <f t="shared" si="145"/>
        <v>0</v>
      </c>
      <c r="N2189" s="4">
        <f t="shared" si="146"/>
        <v>0</v>
      </c>
      <c r="O2189" s="13">
        <f t="shared" si="147"/>
        <v>0</v>
      </c>
    </row>
    <row r="2190" spans="2:15">
      <c r="B2190" s="12">
        <v>19</v>
      </c>
      <c r="C2190" s="4" t="s">
        <v>151</v>
      </c>
      <c r="D2190" s="4" t="s">
        <v>150</v>
      </c>
      <c r="E2190" s="4">
        <v>3</v>
      </c>
      <c r="F2190" s="4">
        <v>10</v>
      </c>
      <c r="G2190" s="4">
        <v>9</v>
      </c>
      <c r="H2190" s="115"/>
      <c r="I2190" s="115"/>
      <c r="J2190" s="115"/>
      <c r="K2190" s="115">
        <v>0</v>
      </c>
      <c r="L2190" s="12">
        <f t="shared" si="144"/>
        <v>0</v>
      </c>
      <c r="M2190" s="4">
        <f t="shared" si="145"/>
        <v>0</v>
      </c>
      <c r="N2190" s="4">
        <f t="shared" si="146"/>
        <v>0</v>
      </c>
      <c r="O2190" s="13">
        <f t="shared" si="147"/>
        <v>0</v>
      </c>
    </row>
    <row r="2191" spans="2:15" ht="13.8" thickBot="1">
      <c r="B2191" s="14">
        <v>19</v>
      </c>
      <c r="C2191" s="15" t="s">
        <v>151</v>
      </c>
      <c r="D2191" s="15" t="s">
        <v>150</v>
      </c>
      <c r="E2191" s="15">
        <v>3</v>
      </c>
      <c r="F2191" s="15">
        <v>10</v>
      </c>
      <c r="G2191" s="15">
        <v>10</v>
      </c>
      <c r="H2191" s="121"/>
      <c r="I2191" s="121"/>
      <c r="J2191" s="121"/>
      <c r="K2191" s="121">
        <v>0</v>
      </c>
      <c r="L2191" s="14">
        <f t="shared" si="144"/>
        <v>0</v>
      </c>
      <c r="M2191" s="15">
        <f t="shared" si="145"/>
        <v>0</v>
      </c>
      <c r="N2191" s="15">
        <f t="shared" si="146"/>
        <v>0</v>
      </c>
      <c r="O2191" s="16">
        <f t="shared" si="147"/>
        <v>0</v>
      </c>
    </row>
    <row r="2192" spans="2:15">
      <c r="B2192" s="9">
        <v>19</v>
      </c>
      <c r="C2192" s="10" t="s">
        <v>151</v>
      </c>
      <c r="D2192" s="10" t="s">
        <v>154</v>
      </c>
      <c r="E2192" s="93">
        <v>4</v>
      </c>
      <c r="F2192" s="93">
        <v>4</v>
      </c>
      <c r="G2192" s="10">
        <v>1</v>
      </c>
      <c r="H2192" s="120">
        <v>1.9320000000000732</v>
      </c>
      <c r="I2192" s="120">
        <v>0.48399999999998045</v>
      </c>
      <c r="J2192" s="120">
        <v>0.44999999999998863</v>
      </c>
      <c r="K2192" s="120">
        <v>2.8660000000000423</v>
      </c>
      <c r="L2192" s="9">
        <f t="shared" si="144"/>
        <v>0.4671639659691012</v>
      </c>
      <c r="M2192" s="10">
        <f t="shared" si="145"/>
        <v>0.17143390094300254</v>
      </c>
      <c r="N2192" s="10">
        <f t="shared" si="146"/>
        <v>0.1613680022349715</v>
      </c>
      <c r="O2192" s="11">
        <f t="shared" si="147"/>
        <v>0.58726184969253892</v>
      </c>
    </row>
    <row r="2193" spans="2:15">
      <c r="B2193" s="12">
        <v>19</v>
      </c>
      <c r="C2193" s="4" t="s">
        <v>151</v>
      </c>
      <c r="D2193" s="4" t="s">
        <v>154</v>
      </c>
      <c r="E2193" s="4">
        <v>4</v>
      </c>
      <c r="F2193" s="4">
        <v>4</v>
      </c>
      <c r="G2193" s="4">
        <v>2</v>
      </c>
      <c r="H2193" s="115">
        <v>1.2819999999999254</v>
      </c>
      <c r="I2193" s="115">
        <v>0.66599999999999682</v>
      </c>
      <c r="J2193" s="115">
        <v>9.9999999999965894E-2</v>
      </c>
      <c r="K2193" s="115">
        <v>2.0479999999998881</v>
      </c>
      <c r="L2193" s="12">
        <f t="shared" si="144"/>
        <v>0.35831564008218164</v>
      </c>
      <c r="M2193" s="4">
        <f t="shared" si="145"/>
        <v>0.22167499707076796</v>
      </c>
      <c r="N2193" s="4">
        <f t="shared" si="146"/>
        <v>4.1392685158211574E-2</v>
      </c>
      <c r="O2193" s="13">
        <f t="shared" si="147"/>
        <v>0.48401496266754696</v>
      </c>
    </row>
    <row r="2194" spans="2:15">
      <c r="B2194" s="12">
        <v>19</v>
      </c>
      <c r="C2194" s="4" t="s">
        <v>151</v>
      </c>
      <c r="D2194" s="4" t="s">
        <v>154</v>
      </c>
      <c r="E2194" s="4">
        <v>4</v>
      </c>
      <c r="F2194" s="4">
        <v>4</v>
      </c>
      <c r="G2194" s="4">
        <v>3</v>
      </c>
      <c r="H2194" s="115">
        <v>0.28300000000001546</v>
      </c>
      <c r="I2194" s="115">
        <v>0.56700000000000728</v>
      </c>
      <c r="J2194" s="115">
        <v>0.35099999999999909</v>
      </c>
      <c r="K2194" s="115">
        <v>1.2010000000000218</v>
      </c>
      <c r="L2194" s="12">
        <f t="shared" si="144"/>
        <v>0.10822665637493374</v>
      </c>
      <c r="M2194" s="4">
        <f t="shared" si="145"/>
        <v>0.19506899646859216</v>
      </c>
      <c r="N2194" s="4">
        <f t="shared" si="146"/>
        <v>0.1306553490220303</v>
      </c>
      <c r="O2194" s="13">
        <f t="shared" si="147"/>
        <v>0.34262004255335227</v>
      </c>
    </row>
    <row r="2195" spans="2:15">
      <c r="B2195" s="12">
        <v>19</v>
      </c>
      <c r="C2195" s="4" t="s">
        <v>151</v>
      </c>
      <c r="D2195" s="4" t="s">
        <v>154</v>
      </c>
      <c r="E2195" s="4">
        <v>4</v>
      </c>
      <c r="F2195" s="4">
        <v>4</v>
      </c>
      <c r="G2195" s="4">
        <v>4</v>
      </c>
      <c r="H2195" s="115">
        <v>2.8019999999998504</v>
      </c>
      <c r="I2195" s="115">
        <v>0.35000000000002274</v>
      </c>
      <c r="J2195" s="115"/>
      <c r="K2195" s="115">
        <v>3.1519999999998731</v>
      </c>
      <c r="L2195" s="12">
        <f t="shared" si="144"/>
        <v>0.58001211252940721</v>
      </c>
      <c r="M2195" s="4">
        <f t="shared" si="145"/>
        <v>0.13033376849501344</v>
      </c>
      <c r="N2195" s="4">
        <f t="shared" si="146"/>
        <v>0</v>
      </c>
      <c r="O2195" s="13">
        <f t="shared" si="147"/>
        <v>0.61825734484038819</v>
      </c>
    </row>
    <row r="2196" spans="2:15">
      <c r="B2196" s="12">
        <v>19</v>
      </c>
      <c r="C2196" s="4" t="s">
        <v>151</v>
      </c>
      <c r="D2196" s="4" t="s">
        <v>154</v>
      </c>
      <c r="E2196" s="4">
        <v>4</v>
      </c>
      <c r="F2196" s="4">
        <v>4</v>
      </c>
      <c r="G2196" s="4">
        <v>5</v>
      </c>
      <c r="H2196" s="115">
        <v>0.11599999999998545</v>
      </c>
      <c r="I2196" s="115">
        <v>0.14999999999997726</v>
      </c>
      <c r="J2196" s="115">
        <v>0.63399999999995771</v>
      </c>
      <c r="K2196" s="115">
        <v>0.89999999999992042</v>
      </c>
      <c r="L2196" s="12">
        <f t="shared" si="144"/>
        <v>4.7664194601554279E-2</v>
      </c>
      <c r="M2196" s="4">
        <f t="shared" si="145"/>
        <v>6.0697840353603094E-2</v>
      </c>
      <c r="N2196" s="4">
        <f t="shared" si="146"/>
        <v>0.21325205219638543</v>
      </c>
      <c r="O2196" s="13">
        <f t="shared" si="147"/>
        <v>0.27875360095281077</v>
      </c>
    </row>
    <row r="2197" spans="2:15">
      <c r="B2197" s="12">
        <v>19</v>
      </c>
      <c r="C2197" s="4" t="s">
        <v>151</v>
      </c>
      <c r="D2197" s="4" t="s">
        <v>154</v>
      </c>
      <c r="E2197" s="4">
        <v>4</v>
      </c>
      <c r="F2197" s="4">
        <v>4</v>
      </c>
      <c r="G2197" s="4">
        <v>6</v>
      </c>
      <c r="H2197" s="115"/>
      <c r="I2197" s="115"/>
      <c r="J2197" s="115"/>
      <c r="K2197" s="115">
        <v>0</v>
      </c>
      <c r="L2197" s="12">
        <f t="shared" si="144"/>
        <v>0</v>
      </c>
      <c r="M2197" s="4">
        <f t="shared" si="145"/>
        <v>0</v>
      </c>
      <c r="N2197" s="4">
        <f t="shared" si="146"/>
        <v>0</v>
      </c>
      <c r="O2197" s="13">
        <f t="shared" si="147"/>
        <v>0</v>
      </c>
    </row>
    <row r="2198" spans="2:15">
      <c r="B2198" s="12">
        <v>19</v>
      </c>
      <c r="C2198" s="4" t="s">
        <v>151</v>
      </c>
      <c r="D2198" s="4" t="s">
        <v>154</v>
      </c>
      <c r="E2198" s="4">
        <v>4</v>
      </c>
      <c r="F2198" s="4">
        <v>4</v>
      </c>
      <c r="G2198" s="4">
        <v>7</v>
      </c>
      <c r="H2198" s="115"/>
      <c r="I2198" s="115"/>
      <c r="J2198" s="115"/>
      <c r="K2198" s="115">
        <v>0</v>
      </c>
      <c r="L2198" s="12">
        <f t="shared" si="144"/>
        <v>0</v>
      </c>
      <c r="M2198" s="4">
        <f t="shared" si="145"/>
        <v>0</v>
      </c>
      <c r="N2198" s="4">
        <f t="shared" si="146"/>
        <v>0</v>
      </c>
      <c r="O2198" s="13">
        <f t="shared" si="147"/>
        <v>0</v>
      </c>
    </row>
    <row r="2199" spans="2:15">
      <c r="B2199" s="12">
        <v>19</v>
      </c>
      <c r="C2199" s="4" t="s">
        <v>151</v>
      </c>
      <c r="D2199" s="4" t="s">
        <v>154</v>
      </c>
      <c r="E2199" s="4">
        <v>4</v>
      </c>
      <c r="F2199" s="4">
        <v>4</v>
      </c>
      <c r="G2199" s="4">
        <v>8</v>
      </c>
      <c r="H2199" s="115"/>
      <c r="I2199" s="115"/>
      <c r="J2199" s="115"/>
      <c r="K2199" s="115">
        <v>0</v>
      </c>
      <c r="L2199" s="12">
        <f t="shared" si="144"/>
        <v>0</v>
      </c>
      <c r="M2199" s="4">
        <f t="shared" si="145"/>
        <v>0</v>
      </c>
      <c r="N2199" s="4">
        <f t="shared" si="146"/>
        <v>0</v>
      </c>
      <c r="O2199" s="13">
        <f t="shared" si="147"/>
        <v>0</v>
      </c>
    </row>
    <row r="2200" spans="2:15">
      <c r="B2200" s="12">
        <v>19</v>
      </c>
      <c r="C2200" s="4" t="s">
        <v>151</v>
      </c>
      <c r="D2200" s="4" t="s">
        <v>154</v>
      </c>
      <c r="E2200" s="4">
        <v>4</v>
      </c>
      <c r="F2200" s="4">
        <v>4</v>
      </c>
      <c r="G2200" s="4">
        <v>9</v>
      </c>
      <c r="H2200" s="115"/>
      <c r="I2200" s="115"/>
      <c r="J2200" s="115"/>
      <c r="K2200" s="115">
        <v>0</v>
      </c>
      <c r="L2200" s="12">
        <f t="shared" si="144"/>
        <v>0</v>
      </c>
      <c r="M2200" s="4">
        <f t="shared" si="145"/>
        <v>0</v>
      </c>
      <c r="N2200" s="4">
        <f t="shared" si="146"/>
        <v>0</v>
      </c>
      <c r="O2200" s="13">
        <f t="shared" si="147"/>
        <v>0</v>
      </c>
    </row>
    <row r="2201" spans="2:15" ht="13.8" thickBot="1">
      <c r="B2201" s="14">
        <v>19</v>
      </c>
      <c r="C2201" s="15" t="s">
        <v>151</v>
      </c>
      <c r="D2201" s="15" t="s">
        <v>154</v>
      </c>
      <c r="E2201" s="15">
        <v>4</v>
      </c>
      <c r="F2201" s="15">
        <v>4</v>
      </c>
      <c r="G2201" s="15">
        <v>10</v>
      </c>
      <c r="H2201" s="121"/>
      <c r="I2201" s="121"/>
      <c r="J2201" s="121"/>
      <c r="K2201" s="121">
        <v>0</v>
      </c>
      <c r="L2201" s="14">
        <f t="shared" si="144"/>
        <v>0</v>
      </c>
      <c r="M2201" s="15">
        <f t="shared" si="145"/>
        <v>0</v>
      </c>
      <c r="N2201" s="15">
        <f t="shared" si="146"/>
        <v>0</v>
      </c>
      <c r="O2201" s="16">
        <f t="shared" si="147"/>
        <v>0</v>
      </c>
    </row>
    <row r="2202" spans="2:15">
      <c r="B2202" s="9">
        <v>19</v>
      </c>
      <c r="C2202" s="10" t="s">
        <v>151</v>
      </c>
      <c r="D2202" s="10" t="s">
        <v>150</v>
      </c>
      <c r="E2202" s="93">
        <v>5</v>
      </c>
      <c r="F2202" s="93">
        <v>12</v>
      </c>
      <c r="G2202" s="10">
        <v>1</v>
      </c>
      <c r="H2202" s="120">
        <v>0.78399999999999181</v>
      </c>
      <c r="I2202" s="120">
        <v>2.3669999999999618</v>
      </c>
      <c r="J2202" s="120">
        <v>3.1009999999998854</v>
      </c>
      <c r="K2202" s="120">
        <v>6.251999999999839</v>
      </c>
      <c r="L2202" s="9">
        <f t="shared" si="144"/>
        <v>0.25139485004010226</v>
      </c>
      <c r="M2202" s="10">
        <f t="shared" si="145"/>
        <v>0.52724311638808363</v>
      </c>
      <c r="N2202" s="10">
        <f t="shared" si="146"/>
        <v>0.61288976928747263</v>
      </c>
      <c r="O2202" s="11">
        <f t="shared" si="147"/>
        <v>0.86045779542346146</v>
      </c>
    </row>
    <row r="2203" spans="2:15">
      <c r="B2203" s="12">
        <v>19</v>
      </c>
      <c r="C2203" s="4" t="s">
        <v>151</v>
      </c>
      <c r="D2203" s="4" t="s">
        <v>150</v>
      </c>
      <c r="E2203" s="4">
        <v>5</v>
      </c>
      <c r="F2203" s="4">
        <v>12</v>
      </c>
      <c r="G2203" s="4">
        <v>2</v>
      </c>
      <c r="H2203" s="115">
        <v>1.7639999999996689</v>
      </c>
      <c r="I2203" s="115">
        <v>0.79899999999997817</v>
      </c>
      <c r="J2203" s="115">
        <v>0.66700000000003001</v>
      </c>
      <c r="K2203" s="115">
        <v>3.2299999999996771</v>
      </c>
      <c r="L2203" s="12">
        <f t="shared" si="144"/>
        <v>0.44153803870210878</v>
      </c>
      <c r="M2203" s="4">
        <f t="shared" si="145"/>
        <v>0.2550311633455461</v>
      </c>
      <c r="N2203" s="4">
        <f t="shared" si="146"/>
        <v>0.22193559982801314</v>
      </c>
      <c r="O2203" s="13">
        <f t="shared" si="147"/>
        <v>0.6263403673750092</v>
      </c>
    </row>
    <row r="2204" spans="2:15">
      <c r="B2204" s="12">
        <v>19</v>
      </c>
      <c r="C2204" s="4" t="s">
        <v>151</v>
      </c>
      <c r="D2204" s="4" t="s">
        <v>150</v>
      </c>
      <c r="E2204" s="4">
        <v>5</v>
      </c>
      <c r="F2204" s="4">
        <v>12</v>
      </c>
      <c r="G2204" s="4">
        <v>3</v>
      </c>
      <c r="H2204" s="115">
        <v>0.38299999999992451</v>
      </c>
      <c r="I2204" s="115">
        <v>0.10000000000002274</v>
      </c>
      <c r="J2204" s="115">
        <v>0.10000000000002274</v>
      </c>
      <c r="K2204" s="115">
        <v>0.58299999999996999</v>
      </c>
      <c r="L2204" s="12">
        <f t="shared" si="144"/>
        <v>0.14082218010928688</v>
      </c>
      <c r="M2204" s="4">
        <f t="shared" si="145"/>
        <v>4.1392685158234015E-2</v>
      </c>
      <c r="N2204" s="4">
        <f t="shared" si="146"/>
        <v>4.1392685158234015E-2</v>
      </c>
      <c r="O2204" s="13">
        <f t="shared" si="147"/>
        <v>0.19948091486234767</v>
      </c>
    </row>
    <row r="2205" spans="2:15">
      <c r="B2205" s="12">
        <v>19</v>
      </c>
      <c r="C2205" s="4" t="s">
        <v>151</v>
      </c>
      <c r="D2205" s="4" t="s">
        <v>150</v>
      </c>
      <c r="E2205" s="4">
        <v>5</v>
      </c>
      <c r="F2205" s="4">
        <v>12</v>
      </c>
      <c r="G2205" s="4">
        <v>4</v>
      </c>
      <c r="H2205" s="115"/>
      <c r="I2205" s="115"/>
      <c r="J2205" s="115"/>
      <c r="K2205" s="115">
        <v>0</v>
      </c>
      <c r="L2205" s="12">
        <f t="shared" si="144"/>
        <v>0</v>
      </c>
      <c r="M2205" s="4">
        <f t="shared" si="145"/>
        <v>0</v>
      </c>
      <c r="N2205" s="4">
        <f t="shared" si="146"/>
        <v>0</v>
      </c>
      <c r="O2205" s="13">
        <f t="shared" si="147"/>
        <v>0</v>
      </c>
    </row>
    <row r="2206" spans="2:15">
      <c r="B2206" s="12">
        <v>19</v>
      </c>
      <c r="C2206" s="4" t="s">
        <v>151</v>
      </c>
      <c r="D2206" s="4" t="s">
        <v>150</v>
      </c>
      <c r="E2206" s="4">
        <v>5</v>
      </c>
      <c r="F2206" s="4">
        <v>12</v>
      </c>
      <c r="G2206" s="4">
        <v>5</v>
      </c>
      <c r="H2206" s="115"/>
      <c r="I2206" s="115"/>
      <c r="J2206" s="115"/>
      <c r="K2206" s="115">
        <v>0</v>
      </c>
      <c r="L2206" s="12">
        <f t="shared" si="144"/>
        <v>0</v>
      </c>
      <c r="M2206" s="4">
        <f t="shared" si="145"/>
        <v>0</v>
      </c>
      <c r="N2206" s="4">
        <f t="shared" si="146"/>
        <v>0</v>
      </c>
      <c r="O2206" s="13">
        <f t="shared" si="147"/>
        <v>0</v>
      </c>
    </row>
    <row r="2207" spans="2:15">
      <c r="B2207" s="12">
        <v>19</v>
      </c>
      <c r="C2207" s="4" t="s">
        <v>151</v>
      </c>
      <c r="D2207" s="4" t="s">
        <v>150</v>
      </c>
      <c r="E2207" s="4">
        <v>5</v>
      </c>
      <c r="F2207" s="4">
        <v>12</v>
      </c>
      <c r="G2207" s="4">
        <v>6</v>
      </c>
      <c r="H2207" s="115"/>
      <c r="I2207" s="115"/>
      <c r="J2207" s="115"/>
      <c r="K2207" s="115">
        <v>0</v>
      </c>
      <c r="L2207" s="12">
        <f t="shared" si="144"/>
        <v>0</v>
      </c>
      <c r="M2207" s="4">
        <f t="shared" si="145"/>
        <v>0</v>
      </c>
      <c r="N2207" s="4">
        <f t="shared" si="146"/>
        <v>0</v>
      </c>
      <c r="O2207" s="13">
        <f t="shared" si="147"/>
        <v>0</v>
      </c>
    </row>
    <row r="2208" spans="2:15">
      <c r="B2208" s="12">
        <v>19</v>
      </c>
      <c r="C2208" s="4" t="s">
        <v>151</v>
      </c>
      <c r="D2208" s="4" t="s">
        <v>150</v>
      </c>
      <c r="E2208" s="4">
        <v>5</v>
      </c>
      <c r="F2208" s="4">
        <v>12</v>
      </c>
      <c r="G2208" s="4">
        <v>7</v>
      </c>
      <c r="H2208" s="115"/>
      <c r="I2208" s="115"/>
      <c r="J2208" s="115"/>
      <c r="K2208" s="115">
        <v>0</v>
      </c>
      <c r="L2208" s="12">
        <f t="shared" si="144"/>
        <v>0</v>
      </c>
      <c r="M2208" s="4">
        <f t="shared" si="145"/>
        <v>0</v>
      </c>
      <c r="N2208" s="4">
        <f t="shared" si="146"/>
        <v>0</v>
      </c>
      <c r="O2208" s="13">
        <f t="shared" si="147"/>
        <v>0</v>
      </c>
    </row>
    <row r="2209" spans="2:15">
      <c r="B2209" s="12">
        <v>19</v>
      </c>
      <c r="C2209" s="4" t="s">
        <v>151</v>
      </c>
      <c r="D2209" s="4" t="s">
        <v>150</v>
      </c>
      <c r="E2209" s="4">
        <v>5</v>
      </c>
      <c r="F2209" s="4">
        <v>12</v>
      </c>
      <c r="G2209" s="4">
        <v>8</v>
      </c>
      <c r="H2209" s="115"/>
      <c r="I2209" s="115"/>
      <c r="J2209" s="115"/>
      <c r="K2209" s="115">
        <v>0</v>
      </c>
      <c r="L2209" s="12">
        <f t="shared" si="144"/>
        <v>0</v>
      </c>
      <c r="M2209" s="4">
        <f t="shared" si="145"/>
        <v>0</v>
      </c>
      <c r="N2209" s="4">
        <f t="shared" si="146"/>
        <v>0</v>
      </c>
      <c r="O2209" s="13">
        <f t="shared" si="147"/>
        <v>0</v>
      </c>
    </row>
    <row r="2210" spans="2:15">
      <c r="B2210" s="12">
        <v>19</v>
      </c>
      <c r="C2210" s="4" t="s">
        <v>151</v>
      </c>
      <c r="D2210" s="4" t="s">
        <v>150</v>
      </c>
      <c r="E2210" s="4">
        <v>5</v>
      </c>
      <c r="F2210" s="4">
        <v>12</v>
      </c>
      <c r="G2210" s="4">
        <v>9</v>
      </c>
      <c r="H2210" s="115"/>
      <c r="I2210" s="115"/>
      <c r="J2210" s="115"/>
      <c r="K2210" s="115">
        <v>0</v>
      </c>
      <c r="L2210" s="12">
        <f t="shared" si="144"/>
        <v>0</v>
      </c>
      <c r="M2210" s="4">
        <f t="shared" si="145"/>
        <v>0</v>
      </c>
      <c r="N2210" s="4">
        <f t="shared" si="146"/>
        <v>0</v>
      </c>
      <c r="O2210" s="13">
        <f t="shared" si="147"/>
        <v>0</v>
      </c>
    </row>
    <row r="2211" spans="2:15" ht="13.8" thickBot="1">
      <c r="B2211" s="14">
        <v>19</v>
      </c>
      <c r="C2211" s="15" t="s">
        <v>151</v>
      </c>
      <c r="D2211" s="15" t="s">
        <v>150</v>
      </c>
      <c r="E2211" s="15">
        <v>5</v>
      </c>
      <c r="F2211" s="15">
        <v>12</v>
      </c>
      <c r="G2211" s="15">
        <v>10</v>
      </c>
      <c r="H2211" s="121"/>
      <c r="I2211" s="121"/>
      <c r="J2211" s="121"/>
      <c r="K2211" s="121">
        <v>0</v>
      </c>
      <c r="L2211" s="14">
        <f t="shared" si="144"/>
        <v>0</v>
      </c>
      <c r="M2211" s="15">
        <f t="shared" si="145"/>
        <v>0</v>
      </c>
      <c r="N2211" s="15">
        <f t="shared" si="146"/>
        <v>0</v>
      </c>
      <c r="O2211" s="16">
        <f t="shared" si="147"/>
        <v>0</v>
      </c>
    </row>
    <row r="2212" spans="2:15">
      <c r="B2212" s="9">
        <v>19</v>
      </c>
      <c r="C2212" s="10" t="s">
        <v>151</v>
      </c>
      <c r="D2212" s="10" t="s">
        <v>149</v>
      </c>
      <c r="E2212" s="93">
        <v>6</v>
      </c>
      <c r="F2212" s="93">
        <v>8</v>
      </c>
      <c r="G2212" s="10">
        <v>1</v>
      </c>
      <c r="H2212" s="120">
        <v>0.20000000000004547</v>
      </c>
      <c r="I2212" s="120">
        <v>0.88399999999995771</v>
      </c>
      <c r="J2212" s="120">
        <v>0.11700000000001864</v>
      </c>
      <c r="K2212" s="120">
        <v>1.2010000000000218</v>
      </c>
      <c r="L2212" s="9">
        <f t="shared" si="144"/>
        <v>7.918124604764129E-2</v>
      </c>
      <c r="M2212" s="10">
        <f t="shared" si="145"/>
        <v>0.2750808984568488</v>
      </c>
      <c r="N2212" s="10">
        <f t="shared" si="146"/>
        <v>4.8053173115616306E-2</v>
      </c>
      <c r="O2212" s="11">
        <f t="shared" si="147"/>
        <v>0.34262004255335227</v>
      </c>
    </row>
    <row r="2213" spans="2:15">
      <c r="B2213" s="12">
        <v>19</v>
      </c>
      <c r="C2213" s="4" t="s">
        <v>151</v>
      </c>
      <c r="D2213" s="4" t="s">
        <v>149</v>
      </c>
      <c r="E2213" s="4">
        <v>6</v>
      </c>
      <c r="F2213" s="4">
        <v>8</v>
      </c>
      <c r="G2213" s="4">
        <v>2</v>
      </c>
      <c r="H2213" s="115">
        <v>1.9499999999999886</v>
      </c>
      <c r="I2213" s="115">
        <v>0.11600000000004229</v>
      </c>
      <c r="J2213" s="115">
        <v>2.0649999999999409</v>
      </c>
      <c r="K2213" s="115">
        <v>4.1309999999999718</v>
      </c>
      <c r="L2213" s="12">
        <f t="shared" si="144"/>
        <v>0.46982201597816131</v>
      </c>
      <c r="M2213" s="4">
        <f t="shared" si="145"/>
        <v>4.76641946015764E-2</v>
      </c>
      <c r="N2213" s="4">
        <f t="shared" si="146"/>
        <v>0.48643047885442547</v>
      </c>
      <c r="O2213" s="13">
        <f t="shared" si="147"/>
        <v>0.71020201465538235</v>
      </c>
    </row>
    <row r="2214" spans="2:15">
      <c r="B2214" s="12">
        <v>19</v>
      </c>
      <c r="C2214" s="4" t="s">
        <v>151</v>
      </c>
      <c r="D2214" s="4" t="s">
        <v>149</v>
      </c>
      <c r="E2214" s="4">
        <v>6</v>
      </c>
      <c r="F2214" s="4">
        <v>8</v>
      </c>
      <c r="G2214" s="4">
        <v>3</v>
      </c>
      <c r="H2214" s="115">
        <v>1.2499999999999432</v>
      </c>
      <c r="I2214" s="115">
        <v>1.9499999999999886</v>
      </c>
      <c r="J2214" s="115">
        <v>0.6169999999999618</v>
      </c>
      <c r="K2214" s="115">
        <v>3.8169999999998936</v>
      </c>
      <c r="L2214" s="12">
        <f t="shared" si="144"/>
        <v>0.35218251811135154</v>
      </c>
      <c r="M2214" s="4">
        <f t="shared" si="145"/>
        <v>0.46982201597816131</v>
      </c>
      <c r="N2214" s="4">
        <f t="shared" si="146"/>
        <v>0.20871001990639088</v>
      </c>
      <c r="O2214" s="13">
        <f t="shared" si="147"/>
        <v>0.68277664631442447</v>
      </c>
    </row>
    <row r="2215" spans="2:15">
      <c r="B2215" s="12">
        <v>19</v>
      </c>
      <c r="C2215" s="4" t="s">
        <v>151</v>
      </c>
      <c r="D2215" s="4" t="s">
        <v>149</v>
      </c>
      <c r="E2215" s="4">
        <v>6</v>
      </c>
      <c r="F2215" s="4">
        <v>8</v>
      </c>
      <c r="G2215" s="4">
        <v>4</v>
      </c>
      <c r="H2215" s="115"/>
      <c r="I2215" s="115"/>
      <c r="J2215" s="115"/>
      <c r="K2215" s="115">
        <v>0</v>
      </c>
      <c r="L2215" s="12">
        <f t="shared" ref="L2215:L2278" si="148">LOG10(H2215+1)</f>
        <v>0</v>
      </c>
      <c r="M2215" s="4">
        <f t="shared" ref="M2215:M2278" si="149">LOG10(I2215+1)</f>
        <v>0</v>
      </c>
      <c r="N2215" s="4">
        <f t="shared" ref="N2215:N2278" si="150">LOG10(J2215+1)</f>
        <v>0</v>
      </c>
      <c r="O2215" s="13">
        <f t="shared" ref="O2215:O2278" si="151">LOG10(K2215+1)</f>
        <v>0</v>
      </c>
    </row>
    <row r="2216" spans="2:15">
      <c r="B2216" s="12">
        <v>19</v>
      </c>
      <c r="C2216" s="4" t="s">
        <v>151</v>
      </c>
      <c r="D2216" s="4" t="s">
        <v>149</v>
      </c>
      <c r="E2216" s="4">
        <v>6</v>
      </c>
      <c r="F2216" s="4">
        <v>8</v>
      </c>
      <c r="G2216" s="4">
        <v>5</v>
      </c>
      <c r="H2216" s="115"/>
      <c r="I2216" s="115"/>
      <c r="J2216" s="115"/>
      <c r="K2216" s="115">
        <v>0</v>
      </c>
      <c r="L2216" s="12">
        <f t="shared" si="148"/>
        <v>0</v>
      </c>
      <c r="M2216" s="4">
        <f t="shared" si="149"/>
        <v>0</v>
      </c>
      <c r="N2216" s="4">
        <f t="shared" si="150"/>
        <v>0</v>
      </c>
      <c r="O2216" s="13">
        <f t="shared" si="151"/>
        <v>0</v>
      </c>
    </row>
    <row r="2217" spans="2:15">
      <c r="B2217" s="12">
        <v>19</v>
      </c>
      <c r="C2217" s="4" t="s">
        <v>151</v>
      </c>
      <c r="D2217" s="4" t="s">
        <v>149</v>
      </c>
      <c r="E2217" s="4">
        <v>6</v>
      </c>
      <c r="F2217" s="4">
        <v>8</v>
      </c>
      <c r="G2217" s="4">
        <v>6</v>
      </c>
      <c r="H2217" s="115"/>
      <c r="I2217" s="115"/>
      <c r="J2217" s="115"/>
      <c r="K2217" s="115">
        <v>0</v>
      </c>
      <c r="L2217" s="12">
        <f t="shared" si="148"/>
        <v>0</v>
      </c>
      <c r="M2217" s="4">
        <f t="shared" si="149"/>
        <v>0</v>
      </c>
      <c r="N2217" s="4">
        <f t="shared" si="150"/>
        <v>0</v>
      </c>
      <c r="O2217" s="13">
        <f t="shared" si="151"/>
        <v>0</v>
      </c>
    </row>
    <row r="2218" spans="2:15">
      <c r="B2218" s="12">
        <v>19</v>
      </c>
      <c r="C2218" s="4" t="s">
        <v>151</v>
      </c>
      <c r="D2218" s="4" t="s">
        <v>149</v>
      </c>
      <c r="E2218" s="4">
        <v>6</v>
      </c>
      <c r="F2218" s="4">
        <v>8</v>
      </c>
      <c r="G2218" s="4">
        <v>7</v>
      </c>
      <c r="H2218" s="115"/>
      <c r="I2218" s="115"/>
      <c r="J2218" s="115"/>
      <c r="K2218" s="115">
        <v>0</v>
      </c>
      <c r="L2218" s="12">
        <f t="shared" si="148"/>
        <v>0</v>
      </c>
      <c r="M2218" s="4">
        <f t="shared" si="149"/>
        <v>0</v>
      </c>
      <c r="N2218" s="4">
        <f t="shared" si="150"/>
        <v>0</v>
      </c>
      <c r="O2218" s="13">
        <f t="shared" si="151"/>
        <v>0</v>
      </c>
    </row>
    <row r="2219" spans="2:15">
      <c r="B2219" s="12">
        <v>19</v>
      </c>
      <c r="C2219" s="4" t="s">
        <v>151</v>
      </c>
      <c r="D2219" s="4" t="s">
        <v>149</v>
      </c>
      <c r="E2219" s="4">
        <v>6</v>
      </c>
      <c r="F2219" s="4">
        <v>8</v>
      </c>
      <c r="G2219" s="4">
        <v>8</v>
      </c>
      <c r="H2219" s="115"/>
      <c r="I2219" s="115"/>
      <c r="J2219" s="115"/>
      <c r="K2219" s="115">
        <v>0</v>
      </c>
      <c r="L2219" s="12">
        <f t="shared" si="148"/>
        <v>0</v>
      </c>
      <c r="M2219" s="4">
        <f t="shared" si="149"/>
        <v>0</v>
      </c>
      <c r="N2219" s="4">
        <f t="shared" si="150"/>
        <v>0</v>
      </c>
      <c r="O2219" s="13">
        <f t="shared" si="151"/>
        <v>0</v>
      </c>
    </row>
    <row r="2220" spans="2:15">
      <c r="B2220" s="12">
        <v>19</v>
      </c>
      <c r="C2220" s="4" t="s">
        <v>151</v>
      </c>
      <c r="D2220" s="4" t="s">
        <v>149</v>
      </c>
      <c r="E2220" s="4">
        <v>6</v>
      </c>
      <c r="F2220" s="4">
        <v>8</v>
      </c>
      <c r="G2220" s="4">
        <v>9</v>
      </c>
      <c r="H2220" s="115"/>
      <c r="I2220" s="115"/>
      <c r="J2220" s="115"/>
      <c r="K2220" s="115">
        <v>0</v>
      </c>
      <c r="L2220" s="12">
        <f t="shared" si="148"/>
        <v>0</v>
      </c>
      <c r="M2220" s="4">
        <f t="shared" si="149"/>
        <v>0</v>
      </c>
      <c r="N2220" s="4">
        <f t="shared" si="150"/>
        <v>0</v>
      </c>
      <c r="O2220" s="13">
        <f t="shared" si="151"/>
        <v>0</v>
      </c>
    </row>
    <row r="2221" spans="2:15" ht="13.8" thickBot="1">
      <c r="B2221" s="14">
        <v>19</v>
      </c>
      <c r="C2221" s="15" t="s">
        <v>151</v>
      </c>
      <c r="D2221" s="15" t="s">
        <v>149</v>
      </c>
      <c r="E2221" s="15">
        <v>6</v>
      </c>
      <c r="F2221" s="15">
        <v>8</v>
      </c>
      <c r="G2221" s="15">
        <v>10</v>
      </c>
      <c r="H2221" s="121"/>
      <c r="I2221" s="121"/>
      <c r="J2221" s="121"/>
      <c r="K2221" s="121">
        <v>0</v>
      </c>
      <c r="L2221" s="14">
        <f t="shared" si="148"/>
        <v>0</v>
      </c>
      <c r="M2221" s="15">
        <f t="shared" si="149"/>
        <v>0</v>
      </c>
      <c r="N2221" s="15">
        <f t="shared" si="150"/>
        <v>0</v>
      </c>
      <c r="O2221" s="16">
        <f t="shared" si="151"/>
        <v>0</v>
      </c>
    </row>
    <row r="2222" spans="2:15">
      <c r="B2222" s="9">
        <v>19</v>
      </c>
      <c r="C2222" s="10" t="s">
        <v>152</v>
      </c>
      <c r="D2222" s="10" t="s">
        <v>154</v>
      </c>
      <c r="E2222" s="93">
        <v>7</v>
      </c>
      <c r="F2222" s="93">
        <v>3</v>
      </c>
      <c r="G2222" s="10">
        <v>1</v>
      </c>
      <c r="H2222" s="120">
        <v>2.3979999999999393</v>
      </c>
      <c r="I2222" s="120">
        <v>1.0670000000000073</v>
      </c>
      <c r="J2222" s="120">
        <v>0.11699999999999022</v>
      </c>
      <c r="K2222" s="120">
        <v>3.5819999999999368</v>
      </c>
      <c r="L2222" s="9">
        <f t="shared" si="148"/>
        <v>0.53122337453301904</v>
      </c>
      <c r="M2222" s="10">
        <f t="shared" si="149"/>
        <v>0.31534047662728976</v>
      </c>
      <c r="N2222" s="10">
        <f t="shared" si="150"/>
        <v>4.8053173115605259E-2</v>
      </c>
      <c r="O2222" s="11">
        <f t="shared" si="151"/>
        <v>0.66105508485337272</v>
      </c>
    </row>
    <row r="2223" spans="2:15">
      <c r="B2223" s="12">
        <v>19</v>
      </c>
      <c r="C2223" s="4" t="s">
        <v>152</v>
      </c>
      <c r="D2223" s="4" t="s">
        <v>154</v>
      </c>
      <c r="E2223" s="4">
        <v>7</v>
      </c>
      <c r="F2223" s="4">
        <v>3</v>
      </c>
      <c r="G2223" s="4">
        <v>2</v>
      </c>
      <c r="H2223" s="115">
        <v>1.0169999999999959</v>
      </c>
      <c r="I2223" s="115">
        <v>3.0499999999999829</v>
      </c>
      <c r="J2223" s="115">
        <v>0.96599999999997976</v>
      </c>
      <c r="K2223" s="115">
        <v>5.0329999999999586</v>
      </c>
      <c r="L2223" s="12">
        <f t="shared" si="148"/>
        <v>0.30470589821276456</v>
      </c>
      <c r="M2223" s="4">
        <f t="shared" si="149"/>
        <v>0.60745502321466671</v>
      </c>
      <c r="N2223" s="4">
        <f t="shared" si="150"/>
        <v>0.29358351349611234</v>
      </c>
      <c r="O2223" s="13">
        <f t="shared" si="151"/>
        <v>0.78053332531640141</v>
      </c>
    </row>
    <row r="2224" spans="2:15">
      <c r="B2224" s="12">
        <v>19</v>
      </c>
      <c r="C2224" s="4" t="s">
        <v>152</v>
      </c>
      <c r="D2224" s="4" t="s">
        <v>154</v>
      </c>
      <c r="E2224" s="4">
        <v>7</v>
      </c>
      <c r="F2224" s="4">
        <v>3</v>
      </c>
      <c r="G2224" s="4">
        <v>3</v>
      </c>
      <c r="H2224" s="115"/>
      <c r="I2224" s="115">
        <v>0.33299999999999841</v>
      </c>
      <c r="J2224" s="115"/>
      <c r="K2224" s="115">
        <v>0.33299999999999841</v>
      </c>
      <c r="L2224" s="12">
        <f t="shared" si="148"/>
        <v>0</v>
      </c>
      <c r="M2224" s="4">
        <f t="shared" si="149"/>
        <v>0.12483014941385868</v>
      </c>
      <c r="N2224" s="4">
        <f t="shared" si="150"/>
        <v>0</v>
      </c>
      <c r="O2224" s="13">
        <f t="shared" si="151"/>
        <v>0.12483014941385868</v>
      </c>
    </row>
    <row r="2225" spans="2:15">
      <c r="B2225" s="12">
        <v>19</v>
      </c>
      <c r="C2225" s="4" t="s">
        <v>152</v>
      </c>
      <c r="D2225" s="4" t="s">
        <v>154</v>
      </c>
      <c r="E2225" s="4">
        <v>7</v>
      </c>
      <c r="F2225" s="4">
        <v>3</v>
      </c>
      <c r="G2225" s="4">
        <v>4</v>
      </c>
      <c r="H2225" s="115">
        <v>0.31699999999997885</v>
      </c>
      <c r="I2225" s="115">
        <v>0.18300000000002115</v>
      </c>
      <c r="J2225" s="115"/>
      <c r="K2225" s="115">
        <v>0.5</v>
      </c>
      <c r="L2225" s="12">
        <f t="shared" si="148"/>
        <v>0.11958577496177683</v>
      </c>
      <c r="M2225" s="4">
        <f t="shared" si="149"/>
        <v>7.2984744627938136E-2</v>
      </c>
      <c r="N2225" s="4">
        <f t="shared" si="150"/>
        <v>0</v>
      </c>
      <c r="O2225" s="13">
        <f t="shared" si="151"/>
        <v>0.17609125905568124</v>
      </c>
    </row>
    <row r="2226" spans="2:15">
      <c r="B2226" s="12">
        <v>19</v>
      </c>
      <c r="C2226" s="4" t="s">
        <v>152</v>
      </c>
      <c r="D2226" s="4" t="s">
        <v>154</v>
      </c>
      <c r="E2226" s="4">
        <v>7</v>
      </c>
      <c r="F2226" s="4">
        <v>3</v>
      </c>
      <c r="G2226" s="4">
        <v>5</v>
      </c>
      <c r="H2226" s="115"/>
      <c r="I2226" s="115"/>
      <c r="J2226" s="115"/>
      <c r="K2226" s="115">
        <v>0</v>
      </c>
      <c r="L2226" s="12">
        <f t="shared" si="148"/>
        <v>0</v>
      </c>
      <c r="M2226" s="4">
        <f t="shared" si="149"/>
        <v>0</v>
      </c>
      <c r="N2226" s="4">
        <f t="shared" si="150"/>
        <v>0</v>
      </c>
      <c r="O2226" s="13">
        <f t="shared" si="151"/>
        <v>0</v>
      </c>
    </row>
    <row r="2227" spans="2:15">
      <c r="B2227" s="12">
        <v>19</v>
      </c>
      <c r="C2227" s="4" t="s">
        <v>152</v>
      </c>
      <c r="D2227" s="4" t="s">
        <v>154</v>
      </c>
      <c r="E2227" s="4">
        <v>7</v>
      </c>
      <c r="F2227" s="4">
        <v>3</v>
      </c>
      <c r="G2227" s="4">
        <v>6</v>
      </c>
      <c r="H2227" s="115"/>
      <c r="I2227" s="115"/>
      <c r="J2227" s="115"/>
      <c r="K2227" s="115">
        <v>0</v>
      </c>
      <c r="L2227" s="12">
        <f t="shared" si="148"/>
        <v>0</v>
      </c>
      <c r="M2227" s="4">
        <f t="shared" si="149"/>
        <v>0</v>
      </c>
      <c r="N2227" s="4">
        <f t="shared" si="150"/>
        <v>0</v>
      </c>
      <c r="O2227" s="13">
        <f t="shared" si="151"/>
        <v>0</v>
      </c>
    </row>
    <row r="2228" spans="2:15">
      <c r="B2228" s="12">
        <v>19</v>
      </c>
      <c r="C2228" s="4" t="s">
        <v>152</v>
      </c>
      <c r="D2228" s="4" t="s">
        <v>154</v>
      </c>
      <c r="E2228" s="4">
        <v>7</v>
      </c>
      <c r="F2228" s="4">
        <v>3</v>
      </c>
      <c r="G2228" s="4">
        <v>7</v>
      </c>
      <c r="H2228" s="115"/>
      <c r="I2228" s="115"/>
      <c r="J2228" s="115"/>
      <c r="K2228" s="115">
        <v>0</v>
      </c>
      <c r="L2228" s="12">
        <f t="shared" si="148"/>
        <v>0</v>
      </c>
      <c r="M2228" s="4">
        <f t="shared" si="149"/>
        <v>0</v>
      </c>
      <c r="N2228" s="4">
        <f t="shared" si="150"/>
        <v>0</v>
      </c>
      <c r="O2228" s="13">
        <f t="shared" si="151"/>
        <v>0</v>
      </c>
    </row>
    <row r="2229" spans="2:15">
      <c r="B2229" s="12">
        <v>19</v>
      </c>
      <c r="C2229" s="4" t="s">
        <v>152</v>
      </c>
      <c r="D2229" s="4" t="s">
        <v>154</v>
      </c>
      <c r="E2229" s="4">
        <v>7</v>
      </c>
      <c r="F2229" s="4">
        <v>3</v>
      </c>
      <c r="G2229" s="4">
        <v>8</v>
      </c>
      <c r="H2229" s="115"/>
      <c r="I2229" s="115"/>
      <c r="J2229" s="115"/>
      <c r="K2229" s="115">
        <v>0</v>
      </c>
      <c r="L2229" s="12">
        <f t="shared" si="148"/>
        <v>0</v>
      </c>
      <c r="M2229" s="4">
        <f t="shared" si="149"/>
        <v>0</v>
      </c>
      <c r="N2229" s="4">
        <f t="shared" si="150"/>
        <v>0</v>
      </c>
      <c r="O2229" s="13">
        <f t="shared" si="151"/>
        <v>0</v>
      </c>
    </row>
    <row r="2230" spans="2:15">
      <c r="B2230" s="12">
        <v>19</v>
      </c>
      <c r="C2230" s="4" t="s">
        <v>152</v>
      </c>
      <c r="D2230" s="4" t="s">
        <v>154</v>
      </c>
      <c r="E2230" s="4">
        <v>7</v>
      </c>
      <c r="F2230" s="4">
        <v>3</v>
      </c>
      <c r="G2230" s="4">
        <v>9</v>
      </c>
      <c r="H2230" s="115"/>
      <c r="I2230" s="115"/>
      <c r="J2230" s="115"/>
      <c r="K2230" s="115">
        <v>0</v>
      </c>
      <c r="L2230" s="12">
        <f t="shared" si="148"/>
        <v>0</v>
      </c>
      <c r="M2230" s="4">
        <f t="shared" si="149"/>
        <v>0</v>
      </c>
      <c r="N2230" s="4">
        <f t="shared" si="150"/>
        <v>0</v>
      </c>
      <c r="O2230" s="13">
        <f t="shared" si="151"/>
        <v>0</v>
      </c>
    </row>
    <row r="2231" spans="2:15" ht="13.8" thickBot="1">
      <c r="B2231" s="14">
        <v>19</v>
      </c>
      <c r="C2231" s="15" t="s">
        <v>152</v>
      </c>
      <c r="D2231" s="15" t="s">
        <v>154</v>
      </c>
      <c r="E2231" s="15">
        <v>7</v>
      </c>
      <c r="F2231" s="15">
        <v>3</v>
      </c>
      <c r="G2231" s="15">
        <v>10</v>
      </c>
      <c r="H2231" s="121"/>
      <c r="I2231" s="121"/>
      <c r="J2231" s="121"/>
      <c r="K2231" s="121">
        <v>0</v>
      </c>
      <c r="L2231" s="14">
        <f t="shared" si="148"/>
        <v>0</v>
      </c>
      <c r="M2231" s="15">
        <f t="shared" si="149"/>
        <v>0</v>
      </c>
      <c r="N2231" s="15">
        <f t="shared" si="150"/>
        <v>0</v>
      </c>
      <c r="O2231" s="16">
        <f t="shared" si="151"/>
        <v>0</v>
      </c>
    </row>
    <row r="2232" spans="2:15">
      <c r="B2232" s="9">
        <v>19</v>
      </c>
      <c r="C2232" s="10" t="s">
        <v>152</v>
      </c>
      <c r="D2232" s="10" t="s">
        <v>149</v>
      </c>
      <c r="E2232" s="93">
        <v>8</v>
      </c>
      <c r="F2232" s="93">
        <v>5</v>
      </c>
      <c r="G2232" s="10">
        <v>1</v>
      </c>
      <c r="H2232" s="120">
        <v>2.533999999999935</v>
      </c>
      <c r="I2232" s="120">
        <v>0.10000000000002274</v>
      </c>
      <c r="J2232" s="120"/>
      <c r="K2232" s="120">
        <v>2.6339999999999577</v>
      </c>
      <c r="L2232" s="9">
        <f t="shared" si="148"/>
        <v>0.54826654517073725</v>
      </c>
      <c r="M2232" s="10">
        <f t="shared" si="149"/>
        <v>4.1392685158234015E-2</v>
      </c>
      <c r="N2232" s="10">
        <f t="shared" si="150"/>
        <v>0</v>
      </c>
      <c r="O2232" s="11">
        <f t="shared" si="151"/>
        <v>0.56038492297201048</v>
      </c>
    </row>
    <row r="2233" spans="2:15">
      <c r="B2233" s="12">
        <v>19</v>
      </c>
      <c r="C2233" s="4" t="s">
        <v>152</v>
      </c>
      <c r="D2233" s="4" t="s">
        <v>149</v>
      </c>
      <c r="E2233" s="4">
        <v>8</v>
      </c>
      <c r="F2233" s="4">
        <v>5</v>
      </c>
      <c r="G2233" s="4">
        <v>2</v>
      </c>
      <c r="H2233" s="115"/>
      <c r="I2233" s="115"/>
      <c r="J2233" s="115"/>
      <c r="K2233" s="115">
        <v>0</v>
      </c>
      <c r="L2233" s="12">
        <f t="shared" si="148"/>
        <v>0</v>
      </c>
      <c r="M2233" s="4">
        <f t="shared" si="149"/>
        <v>0</v>
      </c>
      <c r="N2233" s="4">
        <f t="shared" si="150"/>
        <v>0</v>
      </c>
      <c r="O2233" s="13">
        <f t="shared" si="151"/>
        <v>0</v>
      </c>
    </row>
    <row r="2234" spans="2:15">
      <c r="B2234" s="12">
        <v>19</v>
      </c>
      <c r="C2234" s="4" t="s">
        <v>152</v>
      </c>
      <c r="D2234" s="4" t="s">
        <v>149</v>
      </c>
      <c r="E2234" s="4">
        <v>8</v>
      </c>
      <c r="F2234" s="4">
        <v>5</v>
      </c>
      <c r="G2234" s="4">
        <v>3</v>
      </c>
      <c r="H2234" s="115"/>
      <c r="I2234" s="115"/>
      <c r="J2234" s="115"/>
      <c r="K2234" s="115">
        <v>0</v>
      </c>
      <c r="L2234" s="12">
        <f t="shared" si="148"/>
        <v>0</v>
      </c>
      <c r="M2234" s="4">
        <f t="shared" si="149"/>
        <v>0</v>
      </c>
      <c r="N2234" s="4">
        <f t="shared" si="150"/>
        <v>0</v>
      </c>
      <c r="O2234" s="13">
        <f t="shared" si="151"/>
        <v>0</v>
      </c>
    </row>
    <row r="2235" spans="2:15">
      <c r="B2235" s="12">
        <v>19</v>
      </c>
      <c r="C2235" s="4" t="s">
        <v>152</v>
      </c>
      <c r="D2235" s="4" t="s">
        <v>149</v>
      </c>
      <c r="E2235" s="4">
        <v>8</v>
      </c>
      <c r="F2235" s="4">
        <v>5</v>
      </c>
      <c r="G2235" s="4">
        <v>4</v>
      </c>
      <c r="H2235" s="115"/>
      <c r="I2235" s="115"/>
      <c r="J2235" s="115"/>
      <c r="K2235" s="115">
        <v>0</v>
      </c>
      <c r="L2235" s="12">
        <f t="shared" si="148"/>
        <v>0</v>
      </c>
      <c r="M2235" s="4">
        <f t="shared" si="149"/>
        <v>0</v>
      </c>
      <c r="N2235" s="4">
        <f t="shared" si="150"/>
        <v>0</v>
      </c>
      <c r="O2235" s="13">
        <f t="shared" si="151"/>
        <v>0</v>
      </c>
    </row>
    <row r="2236" spans="2:15">
      <c r="B2236" s="12">
        <v>19</v>
      </c>
      <c r="C2236" s="4" t="s">
        <v>152</v>
      </c>
      <c r="D2236" s="4" t="s">
        <v>149</v>
      </c>
      <c r="E2236" s="4">
        <v>8</v>
      </c>
      <c r="F2236" s="4">
        <v>5</v>
      </c>
      <c r="G2236" s="4">
        <v>5</v>
      </c>
      <c r="H2236" s="115"/>
      <c r="I2236" s="115"/>
      <c r="J2236" s="115"/>
      <c r="K2236" s="115">
        <v>0</v>
      </c>
      <c r="L2236" s="12">
        <f t="shared" si="148"/>
        <v>0</v>
      </c>
      <c r="M2236" s="4">
        <f t="shared" si="149"/>
        <v>0</v>
      </c>
      <c r="N2236" s="4">
        <f t="shared" si="150"/>
        <v>0</v>
      </c>
      <c r="O2236" s="13">
        <f t="shared" si="151"/>
        <v>0</v>
      </c>
    </row>
    <row r="2237" spans="2:15">
      <c r="B2237" s="12">
        <v>19</v>
      </c>
      <c r="C2237" s="4" t="s">
        <v>152</v>
      </c>
      <c r="D2237" s="4" t="s">
        <v>149</v>
      </c>
      <c r="E2237" s="4">
        <v>8</v>
      </c>
      <c r="F2237" s="4">
        <v>5</v>
      </c>
      <c r="G2237" s="4">
        <v>6</v>
      </c>
      <c r="H2237" s="115"/>
      <c r="I2237" s="115"/>
      <c r="J2237" s="115"/>
      <c r="K2237" s="115">
        <v>0</v>
      </c>
      <c r="L2237" s="12">
        <f t="shared" si="148"/>
        <v>0</v>
      </c>
      <c r="M2237" s="4">
        <f t="shared" si="149"/>
        <v>0</v>
      </c>
      <c r="N2237" s="4">
        <f t="shared" si="150"/>
        <v>0</v>
      </c>
      <c r="O2237" s="13">
        <f t="shared" si="151"/>
        <v>0</v>
      </c>
    </row>
    <row r="2238" spans="2:15">
      <c r="B2238" s="12">
        <v>19</v>
      </c>
      <c r="C2238" s="4" t="s">
        <v>152</v>
      </c>
      <c r="D2238" s="4" t="s">
        <v>149</v>
      </c>
      <c r="E2238" s="4">
        <v>8</v>
      </c>
      <c r="F2238" s="4">
        <v>5</v>
      </c>
      <c r="G2238" s="4">
        <v>7</v>
      </c>
      <c r="H2238" s="115"/>
      <c r="I2238" s="115"/>
      <c r="J2238" s="115"/>
      <c r="K2238" s="115">
        <v>0</v>
      </c>
      <c r="L2238" s="12">
        <f t="shared" si="148"/>
        <v>0</v>
      </c>
      <c r="M2238" s="4">
        <f t="shared" si="149"/>
        <v>0</v>
      </c>
      <c r="N2238" s="4">
        <f t="shared" si="150"/>
        <v>0</v>
      </c>
      <c r="O2238" s="13">
        <f t="shared" si="151"/>
        <v>0</v>
      </c>
    </row>
    <row r="2239" spans="2:15">
      <c r="B2239" s="12">
        <v>19</v>
      </c>
      <c r="C2239" s="4" t="s">
        <v>152</v>
      </c>
      <c r="D2239" s="4" t="s">
        <v>149</v>
      </c>
      <c r="E2239" s="4">
        <v>8</v>
      </c>
      <c r="F2239" s="4">
        <v>5</v>
      </c>
      <c r="G2239" s="4">
        <v>8</v>
      </c>
      <c r="H2239" s="115"/>
      <c r="I2239" s="115"/>
      <c r="J2239" s="115"/>
      <c r="K2239" s="115">
        <v>0</v>
      </c>
      <c r="L2239" s="12">
        <f t="shared" si="148"/>
        <v>0</v>
      </c>
      <c r="M2239" s="4">
        <f t="shared" si="149"/>
        <v>0</v>
      </c>
      <c r="N2239" s="4">
        <f t="shared" si="150"/>
        <v>0</v>
      </c>
      <c r="O2239" s="13">
        <f t="shared" si="151"/>
        <v>0</v>
      </c>
    </row>
    <row r="2240" spans="2:15">
      <c r="B2240" s="12">
        <v>19</v>
      </c>
      <c r="C2240" s="4" t="s">
        <v>152</v>
      </c>
      <c r="D2240" s="4" t="s">
        <v>149</v>
      </c>
      <c r="E2240" s="4">
        <v>8</v>
      </c>
      <c r="F2240" s="4">
        <v>5</v>
      </c>
      <c r="G2240" s="4">
        <v>9</v>
      </c>
      <c r="H2240" s="115"/>
      <c r="I2240" s="115"/>
      <c r="J2240" s="115"/>
      <c r="K2240" s="115">
        <v>0</v>
      </c>
      <c r="L2240" s="12">
        <f t="shared" si="148"/>
        <v>0</v>
      </c>
      <c r="M2240" s="4">
        <f t="shared" si="149"/>
        <v>0</v>
      </c>
      <c r="N2240" s="4">
        <f t="shared" si="150"/>
        <v>0</v>
      </c>
      <c r="O2240" s="13">
        <f t="shared" si="151"/>
        <v>0</v>
      </c>
    </row>
    <row r="2241" spans="2:15" ht="13.8" thickBot="1">
      <c r="B2241" s="14">
        <v>19</v>
      </c>
      <c r="C2241" s="15" t="s">
        <v>152</v>
      </c>
      <c r="D2241" s="15" t="s">
        <v>149</v>
      </c>
      <c r="E2241" s="15">
        <v>8</v>
      </c>
      <c r="F2241" s="15">
        <v>5</v>
      </c>
      <c r="G2241" s="15">
        <v>10</v>
      </c>
      <c r="H2241" s="121"/>
      <c r="I2241" s="121"/>
      <c r="J2241" s="121"/>
      <c r="K2241" s="121">
        <v>0</v>
      </c>
      <c r="L2241" s="14">
        <f t="shared" si="148"/>
        <v>0</v>
      </c>
      <c r="M2241" s="15">
        <f t="shared" si="149"/>
        <v>0</v>
      </c>
      <c r="N2241" s="15">
        <f t="shared" si="150"/>
        <v>0</v>
      </c>
      <c r="O2241" s="16">
        <f t="shared" si="151"/>
        <v>0</v>
      </c>
    </row>
    <row r="2242" spans="2:15">
      <c r="B2242" s="9">
        <v>19</v>
      </c>
      <c r="C2242" s="10" t="s">
        <v>152</v>
      </c>
      <c r="D2242" s="10" t="s">
        <v>149</v>
      </c>
      <c r="E2242" s="93">
        <v>9</v>
      </c>
      <c r="F2242" s="93">
        <v>7</v>
      </c>
      <c r="G2242" s="10">
        <v>1</v>
      </c>
      <c r="H2242" s="120">
        <v>1.6329999999999245</v>
      </c>
      <c r="I2242" s="120">
        <v>1.0830000000000268</v>
      </c>
      <c r="J2242" s="120">
        <v>0.50099999999991951</v>
      </c>
      <c r="K2242" s="120">
        <v>3.2169999999998709</v>
      </c>
      <c r="L2242" s="9">
        <f t="shared" si="148"/>
        <v>0.42045085910605573</v>
      </c>
      <c r="M2242" s="10">
        <f t="shared" si="149"/>
        <v>0.31868926994775149</v>
      </c>
      <c r="N2242" s="10">
        <f t="shared" si="150"/>
        <v>0.17638069224324709</v>
      </c>
      <c r="O2242" s="11">
        <f t="shared" si="151"/>
        <v>0.6250036010148502</v>
      </c>
    </row>
    <row r="2243" spans="2:15">
      <c r="B2243" s="12">
        <v>19</v>
      </c>
      <c r="C2243" s="4" t="s">
        <v>152</v>
      </c>
      <c r="D2243" s="4" t="s">
        <v>149</v>
      </c>
      <c r="E2243" s="4">
        <v>9</v>
      </c>
      <c r="F2243" s="4">
        <v>7</v>
      </c>
      <c r="G2243" s="4">
        <v>2</v>
      </c>
      <c r="H2243" s="115">
        <v>0.86700000000001864</v>
      </c>
      <c r="I2243" s="115">
        <v>0.48300000000000409</v>
      </c>
      <c r="J2243" s="115">
        <v>0.25</v>
      </c>
      <c r="K2243" s="115">
        <v>1.6000000000000227</v>
      </c>
      <c r="L2243" s="12">
        <f t="shared" si="148"/>
        <v>0.27114431794908267</v>
      </c>
      <c r="M2243" s="4">
        <f t="shared" si="149"/>
        <v>0.17114115102838323</v>
      </c>
      <c r="N2243" s="4">
        <f t="shared" si="150"/>
        <v>9.691001300805642E-2</v>
      </c>
      <c r="O2243" s="13">
        <f t="shared" si="151"/>
        <v>0.41497334797082175</v>
      </c>
    </row>
    <row r="2244" spans="2:15">
      <c r="B2244" s="12">
        <v>19</v>
      </c>
      <c r="C2244" s="4" t="s">
        <v>152</v>
      </c>
      <c r="D2244" s="4" t="s">
        <v>149</v>
      </c>
      <c r="E2244" s="4">
        <v>9</v>
      </c>
      <c r="F2244" s="4">
        <v>7</v>
      </c>
      <c r="G2244" s="4">
        <v>3</v>
      </c>
      <c r="H2244" s="115">
        <v>0.70000000000004547</v>
      </c>
      <c r="I2244" s="115"/>
      <c r="J2244" s="115"/>
      <c r="K2244" s="115">
        <v>0.70000000000004547</v>
      </c>
      <c r="L2244" s="12">
        <f t="shared" si="148"/>
        <v>0.23044892137828554</v>
      </c>
      <c r="M2244" s="4">
        <f t="shared" si="149"/>
        <v>0</v>
      </c>
      <c r="N2244" s="4">
        <f t="shared" si="150"/>
        <v>0</v>
      </c>
      <c r="O2244" s="13">
        <f t="shared" si="151"/>
        <v>0.23044892137828554</v>
      </c>
    </row>
    <row r="2245" spans="2:15">
      <c r="B2245" s="12">
        <v>19</v>
      </c>
      <c r="C2245" s="4" t="s">
        <v>152</v>
      </c>
      <c r="D2245" s="4" t="s">
        <v>149</v>
      </c>
      <c r="E2245" s="4">
        <v>9</v>
      </c>
      <c r="F2245" s="4">
        <v>7</v>
      </c>
      <c r="G2245" s="4">
        <v>4</v>
      </c>
      <c r="H2245" s="115"/>
      <c r="I2245" s="115"/>
      <c r="J2245" s="115"/>
      <c r="K2245" s="115">
        <v>0</v>
      </c>
      <c r="L2245" s="12">
        <f t="shared" si="148"/>
        <v>0</v>
      </c>
      <c r="M2245" s="4">
        <f t="shared" si="149"/>
        <v>0</v>
      </c>
      <c r="N2245" s="4">
        <f t="shared" si="150"/>
        <v>0</v>
      </c>
      <c r="O2245" s="13">
        <f t="shared" si="151"/>
        <v>0</v>
      </c>
    </row>
    <row r="2246" spans="2:15">
      <c r="B2246" s="12">
        <v>19</v>
      </c>
      <c r="C2246" s="4" t="s">
        <v>152</v>
      </c>
      <c r="D2246" s="4" t="s">
        <v>149</v>
      </c>
      <c r="E2246" s="4">
        <v>9</v>
      </c>
      <c r="F2246" s="4">
        <v>7</v>
      </c>
      <c r="G2246" s="4">
        <v>5</v>
      </c>
      <c r="H2246" s="115"/>
      <c r="I2246" s="115"/>
      <c r="J2246" s="115"/>
      <c r="K2246" s="115">
        <v>0</v>
      </c>
      <c r="L2246" s="12">
        <f t="shared" si="148"/>
        <v>0</v>
      </c>
      <c r="M2246" s="4">
        <f t="shared" si="149"/>
        <v>0</v>
      </c>
      <c r="N2246" s="4">
        <f t="shared" si="150"/>
        <v>0</v>
      </c>
      <c r="O2246" s="13">
        <f t="shared" si="151"/>
        <v>0</v>
      </c>
    </row>
    <row r="2247" spans="2:15">
      <c r="B2247" s="12">
        <v>19</v>
      </c>
      <c r="C2247" s="4" t="s">
        <v>152</v>
      </c>
      <c r="D2247" s="4" t="s">
        <v>149</v>
      </c>
      <c r="E2247" s="4">
        <v>9</v>
      </c>
      <c r="F2247" s="4">
        <v>7</v>
      </c>
      <c r="G2247" s="4">
        <v>6</v>
      </c>
      <c r="H2247" s="115"/>
      <c r="I2247" s="115"/>
      <c r="J2247" s="115"/>
      <c r="K2247" s="115">
        <v>0</v>
      </c>
      <c r="L2247" s="12">
        <f t="shared" si="148"/>
        <v>0</v>
      </c>
      <c r="M2247" s="4">
        <f t="shared" si="149"/>
        <v>0</v>
      </c>
      <c r="N2247" s="4">
        <f t="shared" si="150"/>
        <v>0</v>
      </c>
      <c r="O2247" s="13">
        <f t="shared" si="151"/>
        <v>0</v>
      </c>
    </row>
    <row r="2248" spans="2:15">
      <c r="B2248" s="12">
        <v>19</v>
      </c>
      <c r="C2248" s="4" t="s">
        <v>152</v>
      </c>
      <c r="D2248" s="4" t="s">
        <v>149</v>
      </c>
      <c r="E2248" s="4">
        <v>9</v>
      </c>
      <c r="F2248" s="4">
        <v>7</v>
      </c>
      <c r="G2248" s="4">
        <v>7</v>
      </c>
      <c r="H2248" s="115"/>
      <c r="I2248" s="115"/>
      <c r="J2248" s="115"/>
      <c r="K2248" s="115">
        <v>0</v>
      </c>
      <c r="L2248" s="12">
        <f t="shared" si="148"/>
        <v>0</v>
      </c>
      <c r="M2248" s="4">
        <f t="shared" si="149"/>
        <v>0</v>
      </c>
      <c r="N2248" s="4">
        <f t="shared" si="150"/>
        <v>0</v>
      </c>
      <c r="O2248" s="13">
        <f t="shared" si="151"/>
        <v>0</v>
      </c>
    </row>
    <row r="2249" spans="2:15">
      <c r="B2249" s="12">
        <v>19</v>
      </c>
      <c r="C2249" s="4" t="s">
        <v>152</v>
      </c>
      <c r="D2249" s="4" t="s">
        <v>149</v>
      </c>
      <c r="E2249" s="4">
        <v>9</v>
      </c>
      <c r="F2249" s="4">
        <v>7</v>
      </c>
      <c r="G2249" s="4">
        <v>8</v>
      </c>
      <c r="H2249" s="115"/>
      <c r="I2249" s="115"/>
      <c r="J2249" s="115"/>
      <c r="K2249" s="115">
        <v>0</v>
      </c>
      <c r="L2249" s="12">
        <f t="shared" si="148"/>
        <v>0</v>
      </c>
      <c r="M2249" s="4">
        <f t="shared" si="149"/>
        <v>0</v>
      </c>
      <c r="N2249" s="4">
        <f t="shared" si="150"/>
        <v>0</v>
      </c>
      <c r="O2249" s="13">
        <f t="shared" si="151"/>
        <v>0</v>
      </c>
    </row>
    <row r="2250" spans="2:15">
      <c r="B2250" s="12">
        <v>19</v>
      </c>
      <c r="C2250" s="4" t="s">
        <v>152</v>
      </c>
      <c r="D2250" s="4" t="s">
        <v>149</v>
      </c>
      <c r="E2250" s="4">
        <v>9</v>
      </c>
      <c r="F2250" s="4">
        <v>7</v>
      </c>
      <c r="G2250" s="4">
        <v>9</v>
      </c>
      <c r="H2250" s="115"/>
      <c r="I2250" s="115"/>
      <c r="J2250" s="115"/>
      <c r="K2250" s="115">
        <v>0</v>
      </c>
      <c r="L2250" s="12">
        <f t="shared" si="148"/>
        <v>0</v>
      </c>
      <c r="M2250" s="4">
        <f t="shared" si="149"/>
        <v>0</v>
      </c>
      <c r="N2250" s="4">
        <f t="shared" si="150"/>
        <v>0</v>
      </c>
      <c r="O2250" s="13">
        <f t="shared" si="151"/>
        <v>0</v>
      </c>
    </row>
    <row r="2251" spans="2:15" ht="13.8" thickBot="1">
      <c r="B2251" s="14">
        <v>19</v>
      </c>
      <c r="C2251" s="15" t="s">
        <v>152</v>
      </c>
      <c r="D2251" s="15" t="s">
        <v>149</v>
      </c>
      <c r="E2251" s="15">
        <v>9</v>
      </c>
      <c r="F2251" s="15">
        <v>7</v>
      </c>
      <c r="G2251" s="15">
        <v>10</v>
      </c>
      <c r="H2251" s="121"/>
      <c r="I2251" s="121"/>
      <c r="J2251" s="121"/>
      <c r="K2251" s="121">
        <v>0</v>
      </c>
      <c r="L2251" s="14">
        <f t="shared" si="148"/>
        <v>0</v>
      </c>
      <c r="M2251" s="15">
        <f t="shared" si="149"/>
        <v>0</v>
      </c>
      <c r="N2251" s="15">
        <f t="shared" si="150"/>
        <v>0</v>
      </c>
      <c r="O2251" s="16">
        <f t="shared" si="151"/>
        <v>0</v>
      </c>
    </row>
    <row r="2252" spans="2:15">
      <c r="B2252" s="9">
        <v>19</v>
      </c>
      <c r="C2252" s="10" t="s">
        <v>152</v>
      </c>
      <c r="D2252" s="10" t="s">
        <v>150</v>
      </c>
      <c r="E2252" s="93">
        <v>10</v>
      </c>
      <c r="F2252" s="93">
        <v>9</v>
      </c>
      <c r="G2252" s="10">
        <v>1</v>
      </c>
      <c r="H2252" s="120"/>
      <c r="I2252" s="120"/>
      <c r="J2252" s="120">
        <v>2.0330000000000155</v>
      </c>
      <c r="K2252" s="120">
        <v>2.0330000000000155</v>
      </c>
      <c r="L2252" s="9">
        <f t="shared" si="148"/>
        <v>0</v>
      </c>
      <c r="M2252" s="10">
        <f t="shared" si="149"/>
        <v>0</v>
      </c>
      <c r="N2252" s="10">
        <f t="shared" si="150"/>
        <v>0.48187241031066569</v>
      </c>
      <c r="O2252" s="11">
        <f t="shared" si="151"/>
        <v>0.48187241031066569</v>
      </c>
    </row>
    <row r="2253" spans="2:15">
      <c r="B2253" s="12">
        <v>19</v>
      </c>
      <c r="C2253" s="4" t="s">
        <v>152</v>
      </c>
      <c r="D2253" s="4" t="s">
        <v>150</v>
      </c>
      <c r="E2253" s="4">
        <v>10</v>
      </c>
      <c r="F2253" s="4">
        <v>9</v>
      </c>
      <c r="G2253" s="4">
        <v>2</v>
      </c>
      <c r="H2253" s="115"/>
      <c r="I2253" s="115">
        <v>0.53399999999999181</v>
      </c>
      <c r="J2253" s="115">
        <v>0.60099999999999909</v>
      </c>
      <c r="K2253" s="115">
        <v>1.1349999999999909</v>
      </c>
      <c r="L2253" s="12">
        <f t="shared" si="148"/>
        <v>0</v>
      </c>
      <c r="M2253" s="4">
        <f t="shared" si="149"/>
        <v>0.18582535961295985</v>
      </c>
      <c r="N2253" s="4">
        <f t="shared" si="150"/>
        <v>0.20439133191929948</v>
      </c>
      <c r="O2253" s="13">
        <f t="shared" si="151"/>
        <v>0.32939787936104081</v>
      </c>
    </row>
    <row r="2254" spans="2:15">
      <c r="B2254" s="12">
        <v>19</v>
      </c>
      <c r="C2254" s="4" t="s">
        <v>152</v>
      </c>
      <c r="D2254" s="4" t="s">
        <v>150</v>
      </c>
      <c r="E2254" s="4">
        <v>10</v>
      </c>
      <c r="F2254" s="4">
        <v>9</v>
      </c>
      <c r="G2254" s="4">
        <v>3</v>
      </c>
      <c r="H2254" s="115"/>
      <c r="I2254" s="115"/>
      <c r="J2254" s="115"/>
      <c r="K2254" s="115">
        <v>0</v>
      </c>
      <c r="L2254" s="12">
        <f t="shared" si="148"/>
        <v>0</v>
      </c>
      <c r="M2254" s="4">
        <f t="shared" si="149"/>
        <v>0</v>
      </c>
      <c r="N2254" s="4">
        <f t="shared" si="150"/>
        <v>0</v>
      </c>
      <c r="O2254" s="13">
        <f t="shared" si="151"/>
        <v>0</v>
      </c>
    </row>
    <row r="2255" spans="2:15">
      <c r="B2255" s="12">
        <v>19</v>
      </c>
      <c r="C2255" s="4" t="s">
        <v>152</v>
      </c>
      <c r="D2255" s="4" t="s">
        <v>150</v>
      </c>
      <c r="E2255" s="4">
        <v>10</v>
      </c>
      <c r="F2255" s="4">
        <v>9</v>
      </c>
      <c r="G2255" s="4">
        <v>4</v>
      </c>
      <c r="H2255" s="115"/>
      <c r="I2255" s="115"/>
      <c r="J2255" s="115"/>
      <c r="K2255" s="115">
        <v>0</v>
      </c>
      <c r="L2255" s="12">
        <f t="shared" si="148"/>
        <v>0</v>
      </c>
      <c r="M2255" s="4">
        <f t="shared" si="149"/>
        <v>0</v>
      </c>
      <c r="N2255" s="4">
        <f t="shared" si="150"/>
        <v>0</v>
      </c>
      <c r="O2255" s="13">
        <f t="shared" si="151"/>
        <v>0</v>
      </c>
    </row>
    <row r="2256" spans="2:15">
      <c r="B2256" s="12">
        <v>19</v>
      </c>
      <c r="C2256" s="4" t="s">
        <v>152</v>
      </c>
      <c r="D2256" s="4" t="s">
        <v>150</v>
      </c>
      <c r="E2256" s="4">
        <v>10</v>
      </c>
      <c r="F2256" s="4">
        <v>9</v>
      </c>
      <c r="G2256" s="4">
        <v>5</v>
      </c>
      <c r="H2256" s="115"/>
      <c r="I2256" s="115"/>
      <c r="J2256" s="115"/>
      <c r="K2256" s="115">
        <v>0</v>
      </c>
      <c r="L2256" s="12">
        <f t="shared" si="148"/>
        <v>0</v>
      </c>
      <c r="M2256" s="4">
        <f t="shared" si="149"/>
        <v>0</v>
      </c>
      <c r="N2256" s="4">
        <f t="shared" si="150"/>
        <v>0</v>
      </c>
      <c r="O2256" s="13">
        <f t="shared" si="151"/>
        <v>0</v>
      </c>
    </row>
    <row r="2257" spans="2:15">
      <c r="B2257" s="12">
        <v>19</v>
      </c>
      <c r="C2257" s="4" t="s">
        <v>152</v>
      </c>
      <c r="D2257" s="4" t="s">
        <v>150</v>
      </c>
      <c r="E2257" s="4">
        <v>10</v>
      </c>
      <c r="F2257" s="4">
        <v>9</v>
      </c>
      <c r="G2257" s="4">
        <v>6</v>
      </c>
      <c r="H2257" s="115"/>
      <c r="I2257" s="115"/>
      <c r="J2257" s="115"/>
      <c r="K2257" s="115">
        <v>0</v>
      </c>
      <c r="L2257" s="12">
        <f t="shared" si="148"/>
        <v>0</v>
      </c>
      <c r="M2257" s="4">
        <f t="shared" si="149"/>
        <v>0</v>
      </c>
      <c r="N2257" s="4">
        <f t="shared" si="150"/>
        <v>0</v>
      </c>
      <c r="O2257" s="13">
        <f t="shared" si="151"/>
        <v>0</v>
      </c>
    </row>
    <row r="2258" spans="2:15">
      <c r="B2258" s="12">
        <v>19</v>
      </c>
      <c r="C2258" s="4" t="s">
        <v>152</v>
      </c>
      <c r="D2258" s="4" t="s">
        <v>150</v>
      </c>
      <c r="E2258" s="4">
        <v>10</v>
      </c>
      <c r="F2258" s="4">
        <v>9</v>
      </c>
      <c r="G2258" s="4">
        <v>7</v>
      </c>
      <c r="H2258" s="115"/>
      <c r="I2258" s="115"/>
      <c r="J2258" s="115"/>
      <c r="K2258" s="115">
        <v>0</v>
      </c>
      <c r="L2258" s="12">
        <f t="shared" si="148"/>
        <v>0</v>
      </c>
      <c r="M2258" s="4">
        <f t="shared" si="149"/>
        <v>0</v>
      </c>
      <c r="N2258" s="4">
        <f t="shared" si="150"/>
        <v>0</v>
      </c>
      <c r="O2258" s="13">
        <f t="shared" si="151"/>
        <v>0</v>
      </c>
    </row>
    <row r="2259" spans="2:15">
      <c r="B2259" s="12">
        <v>19</v>
      </c>
      <c r="C2259" s="4" t="s">
        <v>152</v>
      </c>
      <c r="D2259" s="4" t="s">
        <v>150</v>
      </c>
      <c r="E2259" s="4">
        <v>10</v>
      </c>
      <c r="F2259" s="4">
        <v>9</v>
      </c>
      <c r="G2259" s="4">
        <v>8</v>
      </c>
      <c r="H2259" s="115"/>
      <c r="I2259" s="115"/>
      <c r="J2259" s="115"/>
      <c r="K2259" s="115">
        <v>0</v>
      </c>
      <c r="L2259" s="12">
        <f t="shared" si="148"/>
        <v>0</v>
      </c>
      <c r="M2259" s="4">
        <f t="shared" si="149"/>
        <v>0</v>
      </c>
      <c r="N2259" s="4">
        <f t="shared" si="150"/>
        <v>0</v>
      </c>
      <c r="O2259" s="13">
        <f t="shared" si="151"/>
        <v>0</v>
      </c>
    </row>
    <row r="2260" spans="2:15">
      <c r="B2260" s="12">
        <v>19</v>
      </c>
      <c r="C2260" s="4" t="s">
        <v>152</v>
      </c>
      <c r="D2260" s="4" t="s">
        <v>150</v>
      </c>
      <c r="E2260" s="4">
        <v>10</v>
      </c>
      <c r="F2260" s="4">
        <v>9</v>
      </c>
      <c r="G2260" s="4">
        <v>9</v>
      </c>
      <c r="H2260" s="115"/>
      <c r="I2260" s="115"/>
      <c r="J2260" s="115"/>
      <c r="K2260" s="115">
        <v>0</v>
      </c>
      <c r="L2260" s="12">
        <f t="shared" si="148"/>
        <v>0</v>
      </c>
      <c r="M2260" s="4">
        <f t="shared" si="149"/>
        <v>0</v>
      </c>
      <c r="N2260" s="4">
        <f t="shared" si="150"/>
        <v>0</v>
      </c>
      <c r="O2260" s="13">
        <f t="shared" si="151"/>
        <v>0</v>
      </c>
    </row>
    <row r="2261" spans="2:15" ht="13.8" thickBot="1">
      <c r="B2261" s="14">
        <v>19</v>
      </c>
      <c r="C2261" s="15" t="s">
        <v>152</v>
      </c>
      <c r="D2261" s="15" t="s">
        <v>150</v>
      </c>
      <c r="E2261" s="15">
        <v>10</v>
      </c>
      <c r="F2261" s="15">
        <v>9</v>
      </c>
      <c r="G2261" s="15">
        <v>10</v>
      </c>
      <c r="H2261" s="121"/>
      <c r="I2261" s="121"/>
      <c r="J2261" s="121"/>
      <c r="K2261" s="121">
        <v>0</v>
      </c>
      <c r="L2261" s="14">
        <f t="shared" si="148"/>
        <v>0</v>
      </c>
      <c r="M2261" s="15">
        <f t="shared" si="149"/>
        <v>0</v>
      </c>
      <c r="N2261" s="15">
        <f t="shared" si="150"/>
        <v>0</v>
      </c>
      <c r="O2261" s="16">
        <f t="shared" si="151"/>
        <v>0</v>
      </c>
    </row>
    <row r="2262" spans="2:15">
      <c r="B2262" s="9">
        <v>19</v>
      </c>
      <c r="C2262" s="10" t="s">
        <v>152</v>
      </c>
      <c r="D2262" s="10" t="s">
        <v>150</v>
      </c>
      <c r="E2262" s="93">
        <v>11</v>
      </c>
      <c r="F2262" s="93">
        <v>11</v>
      </c>
      <c r="G2262" s="10">
        <v>1</v>
      </c>
      <c r="H2262" s="120">
        <v>0.55000000000006821</v>
      </c>
      <c r="I2262" s="120">
        <v>0.36700000000007549</v>
      </c>
      <c r="J2262" s="120">
        <v>3.0989999999999327</v>
      </c>
      <c r="K2262" s="120">
        <v>4.0160000000000764</v>
      </c>
      <c r="L2262" s="9">
        <f t="shared" si="148"/>
        <v>0.19033169817031059</v>
      </c>
      <c r="M2262" s="10">
        <f t="shared" si="149"/>
        <v>0.13576851456784625</v>
      </c>
      <c r="N2262" s="10">
        <f t="shared" si="150"/>
        <v>0.61267791831649465</v>
      </c>
      <c r="O2262" s="11">
        <f t="shared" si="151"/>
        <v>0.70035752782266669</v>
      </c>
    </row>
    <row r="2263" spans="2:15">
      <c r="B2263" s="12">
        <v>19</v>
      </c>
      <c r="C2263" s="4" t="s">
        <v>152</v>
      </c>
      <c r="D2263" s="4" t="s">
        <v>150</v>
      </c>
      <c r="E2263" s="4">
        <v>11</v>
      </c>
      <c r="F2263" s="4">
        <v>11</v>
      </c>
      <c r="G2263" s="4">
        <v>2</v>
      </c>
      <c r="H2263" s="115">
        <v>0.65099999999995362</v>
      </c>
      <c r="I2263" s="115"/>
      <c r="J2263" s="115"/>
      <c r="K2263" s="115">
        <v>0.65099999999995362</v>
      </c>
      <c r="L2263" s="12">
        <f t="shared" si="148"/>
        <v>0.21774707326278142</v>
      </c>
      <c r="M2263" s="4">
        <f t="shared" si="149"/>
        <v>0</v>
      </c>
      <c r="N2263" s="4">
        <f t="shared" si="150"/>
        <v>0</v>
      </c>
      <c r="O2263" s="13">
        <f t="shared" si="151"/>
        <v>0.21774707326278142</v>
      </c>
    </row>
    <row r="2264" spans="2:15">
      <c r="B2264" s="12">
        <v>19</v>
      </c>
      <c r="C2264" s="4" t="s">
        <v>152</v>
      </c>
      <c r="D2264" s="4" t="s">
        <v>150</v>
      </c>
      <c r="E2264" s="4">
        <v>11</v>
      </c>
      <c r="F2264" s="4">
        <v>11</v>
      </c>
      <c r="G2264" s="4">
        <v>3</v>
      </c>
      <c r="H2264" s="115"/>
      <c r="I2264" s="115">
        <v>0.31600000000003092</v>
      </c>
      <c r="J2264" s="115"/>
      <c r="K2264" s="115">
        <v>0.31600000000003092</v>
      </c>
      <c r="L2264" s="12">
        <f t="shared" si="148"/>
        <v>0</v>
      </c>
      <c r="M2264" s="4">
        <f t="shared" si="149"/>
        <v>0.11925588927794689</v>
      </c>
      <c r="N2264" s="4">
        <f t="shared" si="150"/>
        <v>0</v>
      </c>
      <c r="O2264" s="13">
        <f t="shared" si="151"/>
        <v>0.11925588927794689</v>
      </c>
    </row>
    <row r="2265" spans="2:15">
      <c r="B2265" s="12">
        <v>19</v>
      </c>
      <c r="C2265" s="4" t="s">
        <v>152</v>
      </c>
      <c r="D2265" s="4" t="s">
        <v>150</v>
      </c>
      <c r="E2265" s="4">
        <v>11</v>
      </c>
      <c r="F2265" s="4">
        <v>11</v>
      </c>
      <c r="G2265" s="4">
        <v>4</v>
      </c>
      <c r="H2265" s="115"/>
      <c r="I2265" s="115"/>
      <c r="J2265" s="115"/>
      <c r="K2265" s="115">
        <v>0</v>
      </c>
      <c r="L2265" s="12">
        <f t="shared" si="148"/>
        <v>0</v>
      </c>
      <c r="M2265" s="4">
        <f t="shared" si="149"/>
        <v>0</v>
      </c>
      <c r="N2265" s="4">
        <f t="shared" si="150"/>
        <v>0</v>
      </c>
      <c r="O2265" s="13">
        <f t="shared" si="151"/>
        <v>0</v>
      </c>
    </row>
    <row r="2266" spans="2:15">
      <c r="B2266" s="12">
        <v>19</v>
      </c>
      <c r="C2266" s="4" t="s">
        <v>152</v>
      </c>
      <c r="D2266" s="4" t="s">
        <v>150</v>
      </c>
      <c r="E2266" s="4">
        <v>11</v>
      </c>
      <c r="F2266" s="4">
        <v>11</v>
      </c>
      <c r="G2266" s="4">
        <v>5</v>
      </c>
      <c r="H2266" s="115"/>
      <c r="I2266" s="115"/>
      <c r="J2266" s="115"/>
      <c r="K2266" s="115">
        <v>0</v>
      </c>
      <c r="L2266" s="12">
        <f t="shared" si="148"/>
        <v>0</v>
      </c>
      <c r="M2266" s="4">
        <f t="shared" si="149"/>
        <v>0</v>
      </c>
      <c r="N2266" s="4">
        <f t="shared" si="150"/>
        <v>0</v>
      </c>
      <c r="O2266" s="13">
        <f t="shared" si="151"/>
        <v>0</v>
      </c>
    </row>
    <row r="2267" spans="2:15">
      <c r="B2267" s="12">
        <v>19</v>
      </c>
      <c r="C2267" s="4" t="s">
        <v>152</v>
      </c>
      <c r="D2267" s="4" t="s">
        <v>150</v>
      </c>
      <c r="E2267" s="4">
        <v>11</v>
      </c>
      <c r="F2267" s="4">
        <v>11</v>
      </c>
      <c r="G2267" s="4">
        <v>6</v>
      </c>
      <c r="H2267" s="115"/>
      <c r="I2267" s="115"/>
      <c r="J2267" s="115"/>
      <c r="K2267" s="115">
        <v>0</v>
      </c>
      <c r="L2267" s="12">
        <f t="shared" si="148"/>
        <v>0</v>
      </c>
      <c r="M2267" s="4">
        <f t="shared" si="149"/>
        <v>0</v>
      </c>
      <c r="N2267" s="4">
        <f t="shared" si="150"/>
        <v>0</v>
      </c>
      <c r="O2267" s="13">
        <f t="shared" si="151"/>
        <v>0</v>
      </c>
    </row>
    <row r="2268" spans="2:15">
      <c r="B2268" s="12">
        <v>19</v>
      </c>
      <c r="C2268" s="4" t="s">
        <v>152</v>
      </c>
      <c r="D2268" s="4" t="s">
        <v>150</v>
      </c>
      <c r="E2268" s="4">
        <v>11</v>
      </c>
      <c r="F2268" s="4">
        <v>11</v>
      </c>
      <c r="G2268" s="4">
        <v>7</v>
      </c>
      <c r="H2268" s="115"/>
      <c r="I2268" s="115"/>
      <c r="J2268" s="115"/>
      <c r="K2268" s="115">
        <v>0</v>
      </c>
      <c r="L2268" s="12">
        <f t="shared" si="148"/>
        <v>0</v>
      </c>
      <c r="M2268" s="4">
        <f t="shared" si="149"/>
        <v>0</v>
      </c>
      <c r="N2268" s="4">
        <f t="shared" si="150"/>
        <v>0</v>
      </c>
      <c r="O2268" s="13">
        <f t="shared" si="151"/>
        <v>0</v>
      </c>
    </row>
    <row r="2269" spans="2:15">
      <c r="B2269" s="12">
        <v>19</v>
      </c>
      <c r="C2269" s="4" t="s">
        <v>152</v>
      </c>
      <c r="D2269" s="4" t="s">
        <v>150</v>
      </c>
      <c r="E2269" s="4">
        <v>11</v>
      </c>
      <c r="F2269" s="4">
        <v>11</v>
      </c>
      <c r="G2269" s="4">
        <v>8</v>
      </c>
      <c r="H2269" s="115"/>
      <c r="I2269" s="115"/>
      <c r="J2269" s="115"/>
      <c r="K2269" s="115">
        <v>0</v>
      </c>
      <c r="L2269" s="12">
        <f t="shared" si="148"/>
        <v>0</v>
      </c>
      <c r="M2269" s="4">
        <f t="shared" si="149"/>
        <v>0</v>
      </c>
      <c r="N2269" s="4">
        <f t="shared" si="150"/>
        <v>0</v>
      </c>
      <c r="O2269" s="13">
        <f t="shared" si="151"/>
        <v>0</v>
      </c>
    </row>
    <row r="2270" spans="2:15">
      <c r="B2270" s="12">
        <v>19</v>
      </c>
      <c r="C2270" s="4" t="s">
        <v>152</v>
      </c>
      <c r="D2270" s="4" t="s">
        <v>150</v>
      </c>
      <c r="E2270" s="4">
        <v>11</v>
      </c>
      <c r="F2270" s="4">
        <v>11</v>
      </c>
      <c r="G2270" s="4">
        <v>9</v>
      </c>
      <c r="H2270" s="115"/>
      <c r="I2270" s="115"/>
      <c r="J2270" s="115"/>
      <c r="K2270" s="115">
        <v>0</v>
      </c>
      <c r="L2270" s="12">
        <f t="shared" si="148"/>
        <v>0</v>
      </c>
      <c r="M2270" s="4">
        <f t="shared" si="149"/>
        <v>0</v>
      </c>
      <c r="N2270" s="4">
        <f t="shared" si="150"/>
        <v>0</v>
      </c>
      <c r="O2270" s="13">
        <f t="shared" si="151"/>
        <v>0</v>
      </c>
    </row>
    <row r="2271" spans="2:15" ht="13.8" thickBot="1">
      <c r="B2271" s="14">
        <v>19</v>
      </c>
      <c r="C2271" s="15" t="s">
        <v>152</v>
      </c>
      <c r="D2271" s="15" t="s">
        <v>150</v>
      </c>
      <c r="E2271" s="15">
        <v>11</v>
      </c>
      <c r="F2271" s="15">
        <v>11</v>
      </c>
      <c r="G2271" s="15">
        <v>10</v>
      </c>
      <c r="H2271" s="121"/>
      <c r="I2271" s="121"/>
      <c r="J2271" s="121"/>
      <c r="K2271" s="121">
        <v>0</v>
      </c>
      <c r="L2271" s="14">
        <f t="shared" si="148"/>
        <v>0</v>
      </c>
      <c r="M2271" s="15">
        <f t="shared" si="149"/>
        <v>0</v>
      </c>
      <c r="N2271" s="15">
        <f t="shared" si="150"/>
        <v>0</v>
      </c>
      <c r="O2271" s="16">
        <f t="shared" si="151"/>
        <v>0</v>
      </c>
    </row>
    <row r="2272" spans="2:15">
      <c r="B2272" s="9">
        <v>19</v>
      </c>
      <c r="C2272" s="10" t="s">
        <v>152</v>
      </c>
      <c r="D2272" s="10" t="s">
        <v>154</v>
      </c>
      <c r="E2272" s="93">
        <v>12</v>
      </c>
      <c r="F2272" s="93">
        <v>1</v>
      </c>
      <c r="G2272" s="10">
        <v>1</v>
      </c>
      <c r="H2272" s="120">
        <v>2.5149999999999864</v>
      </c>
      <c r="I2272" s="120">
        <v>9.9999999999994316E-2</v>
      </c>
      <c r="J2272" s="120">
        <v>0.74900000000000944</v>
      </c>
      <c r="K2272" s="120">
        <v>3.3639999999999901</v>
      </c>
      <c r="L2272" s="9">
        <f t="shared" si="148"/>
        <v>0.54592532935584104</v>
      </c>
      <c r="M2272" s="10">
        <f t="shared" si="149"/>
        <v>4.1392685158222794E-2</v>
      </c>
      <c r="N2272" s="10">
        <f t="shared" si="150"/>
        <v>0.24278980947867887</v>
      </c>
      <c r="O2272" s="11">
        <f t="shared" si="151"/>
        <v>0.63988474191630329</v>
      </c>
    </row>
    <row r="2273" spans="2:15">
      <c r="B2273" s="12">
        <v>19</v>
      </c>
      <c r="C2273" s="4" t="s">
        <v>152</v>
      </c>
      <c r="D2273" s="4" t="s">
        <v>154</v>
      </c>
      <c r="E2273" s="4">
        <v>12</v>
      </c>
      <c r="F2273" s="4">
        <v>1</v>
      </c>
      <c r="G2273" s="4">
        <v>2</v>
      </c>
      <c r="H2273" s="115"/>
      <c r="I2273" s="115"/>
      <c r="J2273" s="115"/>
      <c r="K2273" s="115">
        <v>0</v>
      </c>
      <c r="L2273" s="12">
        <f t="shared" si="148"/>
        <v>0</v>
      </c>
      <c r="M2273" s="4">
        <f t="shared" si="149"/>
        <v>0</v>
      </c>
      <c r="N2273" s="4">
        <f t="shared" si="150"/>
        <v>0</v>
      </c>
      <c r="O2273" s="13">
        <f t="shared" si="151"/>
        <v>0</v>
      </c>
    </row>
    <row r="2274" spans="2:15">
      <c r="B2274" s="12">
        <v>19</v>
      </c>
      <c r="C2274" s="4" t="s">
        <v>152</v>
      </c>
      <c r="D2274" s="4" t="s">
        <v>154</v>
      </c>
      <c r="E2274" s="4">
        <v>12</v>
      </c>
      <c r="F2274" s="4">
        <v>1</v>
      </c>
      <c r="G2274" s="4">
        <v>3</v>
      </c>
      <c r="H2274" s="115"/>
      <c r="I2274" s="115"/>
      <c r="J2274" s="115"/>
      <c r="K2274" s="115">
        <v>0</v>
      </c>
      <c r="L2274" s="12">
        <f t="shared" si="148"/>
        <v>0</v>
      </c>
      <c r="M2274" s="4">
        <f t="shared" si="149"/>
        <v>0</v>
      </c>
      <c r="N2274" s="4">
        <f t="shared" si="150"/>
        <v>0</v>
      </c>
      <c r="O2274" s="13">
        <f t="shared" si="151"/>
        <v>0</v>
      </c>
    </row>
    <row r="2275" spans="2:15">
      <c r="B2275" s="12">
        <v>19</v>
      </c>
      <c r="C2275" s="4" t="s">
        <v>152</v>
      </c>
      <c r="D2275" s="4" t="s">
        <v>154</v>
      </c>
      <c r="E2275" s="4">
        <v>12</v>
      </c>
      <c r="F2275" s="4">
        <v>1</v>
      </c>
      <c r="G2275" s="4">
        <v>4</v>
      </c>
      <c r="H2275" s="115"/>
      <c r="I2275" s="115"/>
      <c r="J2275" s="115"/>
      <c r="K2275" s="115">
        <v>0</v>
      </c>
      <c r="L2275" s="12">
        <f t="shared" si="148"/>
        <v>0</v>
      </c>
      <c r="M2275" s="4">
        <f t="shared" si="149"/>
        <v>0</v>
      </c>
      <c r="N2275" s="4">
        <f t="shared" si="150"/>
        <v>0</v>
      </c>
      <c r="O2275" s="13">
        <f t="shared" si="151"/>
        <v>0</v>
      </c>
    </row>
    <row r="2276" spans="2:15">
      <c r="B2276" s="12">
        <v>19</v>
      </c>
      <c r="C2276" s="4" t="s">
        <v>152</v>
      </c>
      <c r="D2276" s="4" t="s">
        <v>154</v>
      </c>
      <c r="E2276" s="4">
        <v>12</v>
      </c>
      <c r="F2276" s="4">
        <v>1</v>
      </c>
      <c r="G2276" s="4">
        <v>5</v>
      </c>
      <c r="H2276" s="115"/>
      <c r="I2276" s="115"/>
      <c r="J2276" s="115"/>
      <c r="K2276" s="115">
        <v>0</v>
      </c>
      <c r="L2276" s="12">
        <f t="shared" si="148"/>
        <v>0</v>
      </c>
      <c r="M2276" s="4">
        <f t="shared" si="149"/>
        <v>0</v>
      </c>
      <c r="N2276" s="4">
        <f t="shared" si="150"/>
        <v>0</v>
      </c>
      <c r="O2276" s="13">
        <f t="shared" si="151"/>
        <v>0</v>
      </c>
    </row>
    <row r="2277" spans="2:15">
      <c r="B2277" s="12">
        <v>19</v>
      </c>
      <c r="C2277" s="4" t="s">
        <v>152</v>
      </c>
      <c r="D2277" s="4" t="s">
        <v>154</v>
      </c>
      <c r="E2277" s="4">
        <v>12</v>
      </c>
      <c r="F2277" s="4">
        <v>1</v>
      </c>
      <c r="G2277" s="4">
        <v>6</v>
      </c>
      <c r="H2277" s="115"/>
      <c r="I2277" s="115"/>
      <c r="J2277" s="115"/>
      <c r="K2277" s="115">
        <v>0</v>
      </c>
      <c r="L2277" s="12">
        <f t="shared" si="148"/>
        <v>0</v>
      </c>
      <c r="M2277" s="4">
        <f t="shared" si="149"/>
        <v>0</v>
      </c>
      <c r="N2277" s="4">
        <f t="shared" si="150"/>
        <v>0</v>
      </c>
      <c r="O2277" s="13">
        <f t="shared" si="151"/>
        <v>0</v>
      </c>
    </row>
    <row r="2278" spans="2:15">
      <c r="B2278" s="12">
        <v>19</v>
      </c>
      <c r="C2278" s="4" t="s">
        <v>152</v>
      </c>
      <c r="D2278" s="4" t="s">
        <v>154</v>
      </c>
      <c r="E2278" s="4">
        <v>12</v>
      </c>
      <c r="F2278" s="4">
        <v>1</v>
      </c>
      <c r="G2278" s="4">
        <v>7</v>
      </c>
      <c r="H2278" s="115"/>
      <c r="I2278" s="115"/>
      <c r="J2278" s="115"/>
      <c r="K2278" s="115">
        <v>0</v>
      </c>
      <c r="L2278" s="12">
        <f t="shared" si="148"/>
        <v>0</v>
      </c>
      <c r="M2278" s="4">
        <f t="shared" si="149"/>
        <v>0</v>
      </c>
      <c r="N2278" s="4">
        <f t="shared" si="150"/>
        <v>0</v>
      </c>
      <c r="O2278" s="13">
        <f t="shared" si="151"/>
        <v>0</v>
      </c>
    </row>
    <row r="2279" spans="2:15">
      <c r="B2279" s="12">
        <v>19</v>
      </c>
      <c r="C2279" s="4" t="s">
        <v>152</v>
      </c>
      <c r="D2279" s="4" t="s">
        <v>154</v>
      </c>
      <c r="E2279" s="4">
        <v>12</v>
      </c>
      <c r="F2279" s="4">
        <v>1</v>
      </c>
      <c r="G2279" s="4">
        <v>8</v>
      </c>
      <c r="H2279" s="115"/>
      <c r="I2279" s="115"/>
      <c r="J2279" s="115"/>
      <c r="K2279" s="115">
        <v>0</v>
      </c>
      <c r="L2279" s="12">
        <f t="shared" ref="L2279:L2342" si="152">LOG10(H2279+1)</f>
        <v>0</v>
      </c>
      <c r="M2279" s="4">
        <f t="shared" ref="M2279:M2342" si="153">LOG10(I2279+1)</f>
        <v>0</v>
      </c>
      <c r="N2279" s="4">
        <f t="shared" ref="N2279:N2342" si="154">LOG10(J2279+1)</f>
        <v>0</v>
      </c>
      <c r="O2279" s="13">
        <f t="shared" ref="O2279:O2342" si="155">LOG10(K2279+1)</f>
        <v>0</v>
      </c>
    </row>
    <row r="2280" spans="2:15">
      <c r="B2280" s="12">
        <v>19</v>
      </c>
      <c r="C2280" s="4" t="s">
        <v>152</v>
      </c>
      <c r="D2280" s="4" t="s">
        <v>154</v>
      </c>
      <c r="E2280" s="4">
        <v>12</v>
      </c>
      <c r="F2280" s="4">
        <v>1</v>
      </c>
      <c r="G2280" s="4">
        <v>9</v>
      </c>
      <c r="H2280" s="115"/>
      <c r="I2280" s="115"/>
      <c r="J2280" s="115"/>
      <c r="K2280" s="115">
        <v>0</v>
      </c>
      <c r="L2280" s="12">
        <f t="shared" si="152"/>
        <v>0</v>
      </c>
      <c r="M2280" s="4">
        <f t="shared" si="153"/>
        <v>0</v>
      </c>
      <c r="N2280" s="4">
        <f t="shared" si="154"/>
        <v>0</v>
      </c>
      <c r="O2280" s="13">
        <f t="shared" si="155"/>
        <v>0</v>
      </c>
    </row>
    <row r="2281" spans="2:15" ht="13.8" thickBot="1">
      <c r="B2281" s="14">
        <v>19</v>
      </c>
      <c r="C2281" s="15" t="s">
        <v>152</v>
      </c>
      <c r="D2281" s="15" t="s">
        <v>154</v>
      </c>
      <c r="E2281" s="15">
        <v>12</v>
      </c>
      <c r="F2281" s="15">
        <v>1</v>
      </c>
      <c r="G2281" s="15">
        <v>10</v>
      </c>
      <c r="H2281" s="121"/>
      <c r="I2281" s="121"/>
      <c r="J2281" s="121"/>
      <c r="K2281" s="121">
        <v>0</v>
      </c>
      <c r="L2281" s="14">
        <f t="shared" si="152"/>
        <v>0</v>
      </c>
      <c r="M2281" s="15">
        <f t="shared" si="153"/>
        <v>0</v>
      </c>
      <c r="N2281" s="15">
        <f t="shared" si="154"/>
        <v>0</v>
      </c>
      <c r="O2281" s="16">
        <f t="shared" si="155"/>
        <v>0</v>
      </c>
    </row>
    <row r="2282" spans="2:15">
      <c r="B2282" s="9">
        <v>20</v>
      </c>
      <c r="C2282" s="10" t="s">
        <v>151</v>
      </c>
      <c r="D2282" s="10" t="s">
        <v>149</v>
      </c>
      <c r="E2282" s="93">
        <v>1</v>
      </c>
      <c r="F2282" s="93">
        <v>12</v>
      </c>
      <c r="G2282" s="10">
        <v>1</v>
      </c>
      <c r="H2282" s="120">
        <v>0.16599999999993997</v>
      </c>
      <c r="I2282" s="120">
        <v>1.3490000000000464</v>
      </c>
      <c r="J2282" s="120">
        <v>0.14999999999997726</v>
      </c>
      <c r="K2282" s="120">
        <v>1.6649999999999636</v>
      </c>
      <c r="L2282" s="9">
        <f t="shared" si="152"/>
        <v>6.669855042297293E-2</v>
      </c>
      <c r="M2282" s="10">
        <f t="shared" si="153"/>
        <v>0.37088301677761443</v>
      </c>
      <c r="N2282" s="10">
        <f t="shared" si="154"/>
        <v>6.0697840353603094E-2</v>
      </c>
      <c r="O2282" s="11">
        <f t="shared" si="155"/>
        <v>0.42569721336258515</v>
      </c>
    </row>
    <row r="2283" spans="2:15">
      <c r="B2283" s="12">
        <v>20</v>
      </c>
      <c r="C2283" s="4" t="s">
        <v>151</v>
      </c>
      <c r="D2283" s="4" t="s">
        <v>149</v>
      </c>
      <c r="E2283" s="4">
        <v>1</v>
      </c>
      <c r="F2283" s="4">
        <v>12</v>
      </c>
      <c r="G2283" s="4">
        <v>2</v>
      </c>
      <c r="H2283" s="115"/>
      <c r="I2283" s="115"/>
      <c r="J2283" s="115"/>
      <c r="K2283" s="115">
        <v>0</v>
      </c>
      <c r="L2283" s="12">
        <f t="shared" si="152"/>
        <v>0</v>
      </c>
      <c r="M2283" s="4">
        <f t="shared" si="153"/>
        <v>0</v>
      </c>
      <c r="N2283" s="4">
        <f t="shared" si="154"/>
        <v>0</v>
      </c>
      <c r="O2283" s="13">
        <f t="shared" si="155"/>
        <v>0</v>
      </c>
    </row>
    <row r="2284" spans="2:15">
      <c r="B2284" s="12">
        <v>20</v>
      </c>
      <c r="C2284" s="4" t="s">
        <v>151</v>
      </c>
      <c r="D2284" s="4" t="s">
        <v>149</v>
      </c>
      <c r="E2284" s="4">
        <v>1</v>
      </c>
      <c r="F2284" s="4">
        <v>12</v>
      </c>
      <c r="G2284" s="4">
        <v>3</v>
      </c>
      <c r="H2284" s="115"/>
      <c r="I2284" s="115"/>
      <c r="J2284" s="115"/>
      <c r="K2284" s="115">
        <v>0</v>
      </c>
      <c r="L2284" s="12">
        <f t="shared" si="152"/>
        <v>0</v>
      </c>
      <c r="M2284" s="4">
        <f t="shared" si="153"/>
        <v>0</v>
      </c>
      <c r="N2284" s="4">
        <f t="shared" si="154"/>
        <v>0</v>
      </c>
      <c r="O2284" s="13">
        <f t="shared" si="155"/>
        <v>0</v>
      </c>
    </row>
    <row r="2285" spans="2:15">
      <c r="B2285" s="12">
        <v>20</v>
      </c>
      <c r="C2285" s="4" t="s">
        <v>151</v>
      </c>
      <c r="D2285" s="4" t="s">
        <v>149</v>
      </c>
      <c r="E2285" s="4">
        <v>1</v>
      </c>
      <c r="F2285" s="4">
        <v>12</v>
      </c>
      <c r="G2285" s="4">
        <v>4</v>
      </c>
      <c r="H2285" s="115"/>
      <c r="I2285" s="115"/>
      <c r="J2285" s="115"/>
      <c r="K2285" s="115">
        <v>0</v>
      </c>
      <c r="L2285" s="12">
        <f t="shared" si="152"/>
        <v>0</v>
      </c>
      <c r="M2285" s="4">
        <f t="shared" si="153"/>
        <v>0</v>
      </c>
      <c r="N2285" s="4">
        <f t="shared" si="154"/>
        <v>0</v>
      </c>
      <c r="O2285" s="13">
        <f t="shared" si="155"/>
        <v>0</v>
      </c>
    </row>
    <row r="2286" spans="2:15">
      <c r="B2286" s="12">
        <v>20</v>
      </c>
      <c r="C2286" s="4" t="s">
        <v>151</v>
      </c>
      <c r="D2286" s="4" t="s">
        <v>149</v>
      </c>
      <c r="E2286" s="4">
        <v>1</v>
      </c>
      <c r="F2286" s="4">
        <v>12</v>
      </c>
      <c r="G2286" s="4">
        <v>5</v>
      </c>
      <c r="H2286" s="115"/>
      <c r="I2286" s="115"/>
      <c r="J2286" s="115"/>
      <c r="K2286" s="115">
        <v>0</v>
      </c>
      <c r="L2286" s="12">
        <f t="shared" si="152"/>
        <v>0</v>
      </c>
      <c r="M2286" s="4">
        <f t="shared" si="153"/>
        <v>0</v>
      </c>
      <c r="N2286" s="4">
        <f t="shared" si="154"/>
        <v>0</v>
      </c>
      <c r="O2286" s="13">
        <f t="shared" si="155"/>
        <v>0</v>
      </c>
    </row>
    <row r="2287" spans="2:15">
      <c r="B2287" s="12">
        <v>20</v>
      </c>
      <c r="C2287" s="4" t="s">
        <v>151</v>
      </c>
      <c r="D2287" s="4" t="s">
        <v>149</v>
      </c>
      <c r="E2287" s="4">
        <v>1</v>
      </c>
      <c r="F2287" s="4">
        <v>12</v>
      </c>
      <c r="G2287" s="4">
        <v>6</v>
      </c>
      <c r="H2287" s="115"/>
      <c r="I2287" s="115"/>
      <c r="J2287" s="115"/>
      <c r="K2287" s="115">
        <v>0</v>
      </c>
      <c r="L2287" s="12">
        <f t="shared" si="152"/>
        <v>0</v>
      </c>
      <c r="M2287" s="4">
        <f t="shared" si="153"/>
        <v>0</v>
      </c>
      <c r="N2287" s="4">
        <f t="shared" si="154"/>
        <v>0</v>
      </c>
      <c r="O2287" s="13">
        <f t="shared" si="155"/>
        <v>0</v>
      </c>
    </row>
    <row r="2288" spans="2:15">
      <c r="B2288" s="12">
        <v>20</v>
      </c>
      <c r="C2288" s="4" t="s">
        <v>151</v>
      </c>
      <c r="D2288" s="4" t="s">
        <v>149</v>
      </c>
      <c r="E2288" s="4">
        <v>1</v>
      </c>
      <c r="F2288" s="4">
        <v>12</v>
      </c>
      <c r="G2288" s="4">
        <v>7</v>
      </c>
      <c r="H2288" s="115"/>
      <c r="I2288" s="115"/>
      <c r="J2288" s="115"/>
      <c r="K2288" s="115">
        <v>0</v>
      </c>
      <c r="L2288" s="12">
        <f t="shared" si="152"/>
        <v>0</v>
      </c>
      <c r="M2288" s="4">
        <f t="shared" si="153"/>
        <v>0</v>
      </c>
      <c r="N2288" s="4">
        <f t="shared" si="154"/>
        <v>0</v>
      </c>
      <c r="O2288" s="13">
        <f t="shared" si="155"/>
        <v>0</v>
      </c>
    </row>
    <row r="2289" spans="2:15">
      <c r="B2289" s="12">
        <v>20</v>
      </c>
      <c r="C2289" s="4" t="s">
        <v>151</v>
      </c>
      <c r="D2289" s="4" t="s">
        <v>149</v>
      </c>
      <c r="E2289" s="4">
        <v>1</v>
      </c>
      <c r="F2289" s="4">
        <v>12</v>
      </c>
      <c r="G2289" s="4">
        <v>8</v>
      </c>
      <c r="H2289" s="115"/>
      <c r="I2289" s="115"/>
      <c r="J2289" s="115"/>
      <c r="K2289" s="115">
        <v>0</v>
      </c>
      <c r="L2289" s="12">
        <f t="shared" si="152"/>
        <v>0</v>
      </c>
      <c r="M2289" s="4">
        <f t="shared" si="153"/>
        <v>0</v>
      </c>
      <c r="N2289" s="4">
        <f t="shared" si="154"/>
        <v>0</v>
      </c>
      <c r="O2289" s="13">
        <f t="shared" si="155"/>
        <v>0</v>
      </c>
    </row>
    <row r="2290" spans="2:15">
      <c r="B2290" s="12">
        <v>20</v>
      </c>
      <c r="C2290" s="4" t="s">
        <v>151</v>
      </c>
      <c r="D2290" s="4" t="s">
        <v>149</v>
      </c>
      <c r="E2290" s="4">
        <v>1</v>
      </c>
      <c r="F2290" s="4">
        <v>12</v>
      </c>
      <c r="G2290" s="4">
        <v>9</v>
      </c>
      <c r="H2290" s="115"/>
      <c r="I2290" s="115"/>
      <c r="J2290" s="115"/>
      <c r="K2290" s="115">
        <v>0</v>
      </c>
      <c r="L2290" s="12">
        <f t="shared" si="152"/>
        <v>0</v>
      </c>
      <c r="M2290" s="4">
        <f t="shared" si="153"/>
        <v>0</v>
      </c>
      <c r="N2290" s="4">
        <f t="shared" si="154"/>
        <v>0</v>
      </c>
      <c r="O2290" s="13">
        <f t="shared" si="155"/>
        <v>0</v>
      </c>
    </row>
    <row r="2291" spans="2:15" ht="13.8" thickBot="1">
      <c r="B2291" s="14">
        <v>20</v>
      </c>
      <c r="C2291" s="15" t="s">
        <v>151</v>
      </c>
      <c r="D2291" s="15" t="s">
        <v>149</v>
      </c>
      <c r="E2291" s="15">
        <v>1</v>
      </c>
      <c r="F2291" s="15">
        <v>12</v>
      </c>
      <c r="G2291" s="15">
        <v>10</v>
      </c>
      <c r="H2291" s="121"/>
      <c r="I2291" s="121"/>
      <c r="J2291" s="121"/>
      <c r="K2291" s="121">
        <v>0</v>
      </c>
      <c r="L2291" s="14">
        <f t="shared" si="152"/>
        <v>0</v>
      </c>
      <c r="M2291" s="15">
        <f t="shared" si="153"/>
        <v>0</v>
      </c>
      <c r="N2291" s="15">
        <f t="shared" si="154"/>
        <v>0</v>
      </c>
      <c r="O2291" s="16">
        <f t="shared" si="155"/>
        <v>0</v>
      </c>
    </row>
    <row r="2292" spans="2:15">
      <c r="B2292" s="9">
        <v>20</v>
      </c>
      <c r="C2292" s="10" t="s">
        <v>151</v>
      </c>
      <c r="D2292" s="10" t="s">
        <v>154</v>
      </c>
      <c r="E2292" s="93">
        <v>2</v>
      </c>
      <c r="F2292" s="93">
        <v>2</v>
      </c>
      <c r="G2292" s="10">
        <v>1</v>
      </c>
      <c r="H2292" s="120">
        <v>2.4489999999999839</v>
      </c>
      <c r="I2292" s="120">
        <v>0.10000000000002274</v>
      </c>
      <c r="J2292" s="120"/>
      <c r="K2292" s="120">
        <v>2.5490000000000066</v>
      </c>
      <c r="L2292" s="9">
        <f t="shared" si="152"/>
        <v>0.53769319436738872</v>
      </c>
      <c r="M2292" s="10">
        <f t="shared" si="153"/>
        <v>4.1392685158234015E-2</v>
      </c>
      <c r="N2292" s="10">
        <f t="shared" si="154"/>
        <v>0</v>
      </c>
      <c r="O2292" s="11">
        <f t="shared" si="155"/>
        <v>0.55010599934759363</v>
      </c>
    </row>
    <row r="2293" spans="2:15">
      <c r="B2293" s="12">
        <v>20</v>
      </c>
      <c r="C2293" s="4" t="s">
        <v>151</v>
      </c>
      <c r="D2293" s="4" t="s">
        <v>154</v>
      </c>
      <c r="E2293" s="4">
        <v>2</v>
      </c>
      <c r="F2293" s="4">
        <v>2</v>
      </c>
      <c r="G2293" s="4">
        <v>2</v>
      </c>
      <c r="H2293" s="115">
        <v>1.7829999999999586</v>
      </c>
      <c r="I2293" s="115">
        <v>0.21600000000000819</v>
      </c>
      <c r="J2293" s="115">
        <v>0.3170000000000357</v>
      </c>
      <c r="K2293" s="115">
        <v>2.3160000000000025</v>
      </c>
      <c r="L2293" s="12">
        <f t="shared" si="152"/>
        <v>0.44451320633403651</v>
      </c>
      <c r="M2293" s="4">
        <f t="shared" si="153"/>
        <v>8.4933574936719061E-2</v>
      </c>
      <c r="N2293" s="4">
        <f t="shared" si="154"/>
        <v>0.11958577496179558</v>
      </c>
      <c r="O2293" s="13">
        <f t="shared" si="155"/>
        <v>0.52061452187823631</v>
      </c>
    </row>
    <row r="2294" spans="2:15">
      <c r="B2294" s="12">
        <v>20</v>
      </c>
      <c r="C2294" s="4" t="s">
        <v>151</v>
      </c>
      <c r="D2294" s="4" t="s">
        <v>154</v>
      </c>
      <c r="E2294" s="4">
        <v>2</v>
      </c>
      <c r="F2294" s="4">
        <v>2</v>
      </c>
      <c r="G2294" s="4">
        <v>3</v>
      </c>
      <c r="H2294" s="115">
        <v>1.1330000000000382</v>
      </c>
      <c r="I2294" s="115"/>
      <c r="J2294" s="115"/>
      <c r="K2294" s="115">
        <v>1.1330000000000382</v>
      </c>
      <c r="L2294" s="12">
        <f t="shared" si="152"/>
        <v>0.32899085544943651</v>
      </c>
      <c r="M2294" s="4">
        <f t="shared" si="153"/>
        <v>0</v>
      </c>
      <c r="N2294" s="4">
        <f t="shared" si="154"/>
        <v>0</v>
      </c>
      <c r="O2294" s="13">
        <f t="shared" si="155"/>
        <v>0.32899085544943651</v>
      </c>
    </row>
    <row r="2295" spans="2:15">
      <c r="B2295" s="12">
        <v>20</v>
      </c>
      <c r="C2295" s="4" t="s">
        <v>151</v>
      </c>
      <c r="D2295" s="4" t="s">
        <v>154</v>
      </c>
      <c r="E2295" s="4">
        <v>2</v>
      </c>
      <c r="F2295" s="4">
        <v>2</v>
      </c>
      <c r="G2295" s="4">
        <v>4</v>
      </c>
      <c r="H2295" s="115"/>
      <c r="I2295" s="115"/>
      <c r="J2295" s="115"/>
      <c r="K2295" s="115">
        <v>0</v>
      </c>
      <c r="L2295" s="12">
        <f t="shared" si="152"/>
        <v>0</v>
      </c>
      <c r="M2295" s="4">
        <f t="shared" si="153"/>
        <v>0</v>
      </c>
      <c r="N2295" s="4">
        <f t="shared" si="154"/>
        <v>0</v>
      </c>
      <c r="O2295" s="13">
        <f t="shared" si="155"/>
        <v>0</v>
      </c>
    </row>
    <row r="2296" spans="2:15">
      <c r="B2296" s="12">
        <v>20</v>
      </c>
      <c r="C2296" s="4" t="s">
        <v>151</v>
      </c>
      <c r="D2296" s="4" t="s">
        <v>154</v>
      </c>
      <c r="E2296" s="4">
        <v>2</v>
      </c>
      <c r="F2296" s="4">
        <v>2</v>
      </c>
      <c r="G2296" s="4">
        <v>5</v>
      </c>
      <c r="H2296" s="115"/>
      <c r="I2296" s="115"/>
      <c r="J2296" s="115"/>
      <c r="K2296" s="115">
        <v>0</v>
      </c>
      <c r="L2296" s="12">
        <f t="shared" si="152"/>
        <v>0</v>
      </c>
      <c r="M2296" s="4">
        <f t="shared" si="153"/>
        <v>0</v>
      </c>
      <c r="N2296" s="4">
        <f t="shared" si="154"/>
        <v>0</v>
      </c>
      <c r="O2296" s="13">
        <f t="shared" si="155"/>
        <v>0</v>
      </c>
    </row>
    <row r="2297" spans="2:15">
      <c r="B2297" s="12">
        <v>20</v>
      </c>
      <c r="C2297" s="4" t="s">
        <v>151</v>
      </c>
      <c r="D2297" s="4" t="s">
        <v>154</v>
      </c>
      <c r="E2297" s="4">
        <v>2</v>
      </c>
      <c r="F2297" s="4">
        <v>2</v>
      </c>
      <c r="G2297" s="4">
        <v>6</v>
      </c>
      <c r="H2297" s="115"/>
      <c r="I2297" s="115"/>
      <c r="J2297" s="115"/>
      <c r="K2297" s="115">
        <v>0</v>
      </c>
      <c r="L2297" s="12">
        <f t="shared" si="152"/>
        <v>0</v>
      </c>
      <c r="M2297" s="4">
        <f t="shared" si="153"/>
        <v>0</v>
      </c>
      <c r="N2297" s="4">
        <f t="shared" si="154"/>
        <v>0</v>
      </c>
      <c r="O2297" s="13">
        <f t="shared" si="155"/>
        <v>0</v>
      </c>
    </row>
    <row r="2298" spans="2:15">
      <c r="B2298" s="12">
        <v>20</v>
      </c>
      <c r="C2298" s="4" t="s">
        <v>151</v>
      </c>
      <c r="D2298" s="4" t="s">
        <v>154</v>
      </c>
      <c r="E2298" s="4">
        <v>2</v>
      </c>
      <c r="F2298" s="4">
        <v>2</v>
      </c>
      <c r="G2298" s="4">
        <v>7</v>
      </c>
      <c r="H2298" s="115"/>
      <c r="I2298" s="115"/>
      <c r="J2298" s="115"/>
      <c r="K2298" s="115">
        <v>0</v>
      </c>
      <c r="L2298" s="12">
        <f t="shared" si="152"/>
        <v>0</v>
      </c>
      <c r="M2298" s="4">
        <f t="shared" si="153"/>
        <v>0</v>
      </c>
      <c r="N2298" s="4">
        <f t="shared" si="154"/>
        <v>0</v>
      </c>
      <c r="O2298" s="13">
        <f t="shared" si="155"/>
        <v>0</v>
      </c>
    </row>
    <row r="2299" spans="2:15">
      <c r="B2299" s="12">
        <v>20</v>
      </c>
      <c r="C2299" s="4" t="s">
        <v>151</v>
      </c>
      <c r="D2299" s="4" t="s">
        <v>154</v>
      </c>
      <c r="E2299" s="4">
        <v>2</v>
      </c>
      <c r="F2299" s="4">
        <v>2</v>
      </c>
      <c r="G2299" s="4">
        <v>8</v>
      </c>
      <c r="H2299" s="115"/>
      <c r="I2299" s="115"/>
      <c r="J2299" s="115"/>
      <c r="K2299" s="115">
        <v>0</v>
      </c>
      <c r="L2299" s="12">
        <f t="shared" si="152"/>
        <v>0</v>
      </c>
      <c r="M2299" s="4">
        <f t="shared" si="153"/>
        <v>0</v>
      </c>
      <c r="N2299" s="4">
        <f t="shared" si="154"/>
        <v>0</v>
      </c>
      <c r="O2299" s="13">
        <f t="shared" si="155"/>
        <v>0</v>
      </c>
    </row>
    <row r="2300" spans="2:15">
      <c r="B2300" s="12">
        <v>20</v>
      </c>
      <c r="C2300" s="4" t="s">
        <v>151</v>
      </c>
      <c r="D2300" s="4" t="s">
        <v>154</v>
      </c>
      <c r="E2300" s="4">
        <v>2</v>
      </c>
      <c r="F2300" s="4">
        <v>2</v>
      </c>
      <c r="G2300" s="4">
        <v>9</v>
      </c>
      <c r="H2300" s="115"/>
      <c r="I2300" s="115"/>
      <c r="J2300" s="115"/>
      <c r="K2300" s="115">
        <v>0</v>
      </c>
      <c r="L2300" s="12">
        <f t="shared" si="152"/>
        <v>0</v>
      </c>
      <c r="M2300" s="4">
        <f t="shared" si="153"/>
        <v>0</v>
      </c>
      <c r="N2300" s="4">
        <f t="shared" si="154"/>
        <v>0</v>
      </c>
      <c r="O2300" s="13">
        <f t="shared" si="155"/>
        <v>0</v>
      </c>
    </row>
    <row r="2301" spans="2:15" ht="13.8" thickBot="1">
      <c r="B2301" s="14">
        <v>20</v>
      </c>
      <c r="C2301" s="15" t="s">
        <v>151</v>
      </c>
      <c r="D2301" s="15" t="s">
        <v>154</v>
      </c>
      <c r="E2301" s="15">
        <v>2</v>
      </c>
      <c r="F2301" s="15">
        <v>2</v>
      </c>
      <c r="G2301" s="15">
        <v>10</v>
      </c>
      <c r="H2301" s="121"/>
      <c r="I2301" s="121"/>
      <c r="J2301" s="121"/>
      <c r="K2301" s="121">
        <v>0</v>
      </c>
      <c r="L2301" s="14">
        <f t="shared" si="152"/>
        <v>0</v>
      </c>
      <c r="M2301" s="15">
        <f t="shared" si="153"/>
        <v>0</v>
      </c>
      <c r="N2301" s="15">
        <f t="shared" si="154"/>
        <v>0</v>
      </c>
      <c r="O2301" s="16">
        <f t="shared" si="155"/>
        <v>0</v>
      </c>
    </row>
    <row r="2302" spans="2:15">
      <c r="B2302" s="9">
        <v>20</v>
      </c>
      <c r="C2302" s="10" t="s">
        <v>151</v>
      </c>
      <c r="D2302" s="10" t="s">
        <v>149</v>
      </c>
      <c r="E2302" s="93">
        <v>3</v>
      </c>
      <c r="F2302" s="93">
        <v>10</v>
      </c>
      <c r="G2302" s="10">
        <v>1</v>
      </c>
      <c r="H2302" s="120">
        <v>0.18299999999999272</v>
      </c>
      <c r="I2302" s="120">
        <v>0.91700000000003001</v>
      </c>
      <c r="J2302" s="120">
        <v>1.2669999999998254</v>
      </c>
      <c r="K2302" s="120">
        <v>2.3669999999998481</v>
      </c>
      <c r="L2302" s="9">
        <f t="shared" si="152"/>
        <v>7.29847446279277E-2</v>
      </c>
      <c r="M2302" s="10">
        <f t="shared" si="153"/>
        <v>0.28262211287806938</v>
      </c>
      <c r="N2302" s="10">
        <f t="shared" si="154"/>
        <v>0.35545152012648396</v>
      </c>
      <c r="O2302" s="11">
        <f t="shared" si="155"/>
        <v>0.52724311638806898</v>
      </c>
    </row>
    <row r="2303" spans="2:15">
      <c r="B2303" s="12">
        <v>20</v>
      </c>
      <c r="C2303" s="4" t="s">
        <v>151</v>
      </c>
      <c r="D2303" s="4" t="s">
        <v>149</v>
      </c>
      <c r="E2303" s="4">
        <v>3</v>
      </c>
      <c r="F2303" s="4">
        <v>10</v>
      </c>
      <c r="G2303" s="4">
        <v>2</v>
      </c>
      <c r="H2303" s="115">
        <v>0.56600000000003092</v>
      </c>
      <c r="I2303" s="115">
        <v>0.15000000000009095</v>
      </c>
      <c r="J2303" s="115">
        <v>0.41599999999993997</v>
      </c>
      <c r="K2303" s="115">
        <v>1.1320000000000618</v>
      </c>
      <c r="L2303" s="12">
        <f t="shared" si="152"/>
        <v>0.19479175772193316</v>
      </c>
      <c r="M2303" s="4">
        <f t="shared" si="153"/>
        <v>6.0697840353646032E-2</v>
      </c>
      <c r="N2303" s="4">
        <f t="shared" si="154"/>
        <v>0.1510632533537318</v>
      </c>
      <c r="O2303" s="13">
        <f t="shared" si="155"/>
        <v>0.32878720035454723</v>
      </c>
    </row>
    <row r="2304" spans="2:15">
      <c r="B2304" s="12">
        <v>20</v>
      </c>
      <c r="C2304" s="4" t="s">
        <v>151</v>
      </c>
      <c r="D2304" s="4" t="s">
        <v>149</v>
      </c>
      <c r="E2304" s="4">
        <v>3</v>
      </c>
      <c r="F2304" s="4">
        <v>10</v>
      </c>
      <c r="G2304" s="4">
        <v>3</v>
      </c>
      <c r="H2304" s="115"/>
      <c r="I2304" s="115"/>
      <c r="J2304" s="115"/>
      <c r="K2304" s="115">
        <v>0</v>
      </c>
      <c r="L2304" s="12">
        <f t="shared" si="152"/>
        <v>0</v>
      </c>
      <c r="M2304" s="4">
        <f t="shared" si="153"/>
        <v>0</v>
      </c>
      <c r="N2304" s="4">
        <f t="shared" si="154"/>
        <v>0</v>
      </c>
      <c r="O2304" s="13">
        <f t="shared" si="155"/>
        <v>0</v>
      </c>
    </row>
    <row r="2305" spans="2:15">
      <c r="B2305" s="12">
        <v>20</v>
      </c>
      <c r="C2305" s="4" t="s">
        <v>151</v>
      </c>
      <c r="D2305" s="4" t="s">
        <v>149</v>
      </c>
      <c r="E2305" s="4">
        <v>3</v>
      </c>
      <c r="F2305" s="4">
        <v>10</v>
      </c>
      <c r="G2305" s="4">
        <v>4</v>
      </c>
      <c r="H2305" s="115"/>
      <c r="I2305" s="115"/>
      <c r="J2305" s="115"/>
      <c r="K2305" s="115">
        <v>0</v>
      </c>
      <c r="L2305" s="12">
        <f t="shared" si="152"/>
        <v>0</v>
      </c>
      <c r="M2305" s="4">
        <f t="shared" si="153"/>
        <v>0</v>
      </c>
      <c r="N2305" s="4">
        <f t="shared" si="154"/>
        <v>0</v>
      </c>
      <c r="O2305" s="13">
        <f t="shared" si="155"/>
        <v>0</v>
      </c>
    </row>
    <row r="2306" spans="2:15">
      <c r="B2306" s="12">
        <v>20</v>
      </c>
      <c r="C2306" s="4" t="s">
        <v>151</v>
      </c>
      <c r="D2306" s="4" t="s">
        <v>149</v>
      </c>
      <c r="E2306" s="4">
        <v>3</v>
      </c>
      <c r="F2306" s="4">
        <v>10</v>
      </c>
      <c r="G2306" s="4">
        <v>5</v>
      </c>
      <c r="H2306" s="115"/>
      <c r="I2306" s="115"/>
      <c r="J2306" s="115"/>
      <c r="K2306" s="115">
        <v>0</v>
      </c>
      <c r="L2306" s="12">
        <f t="shared" si="152"/>
        <v>0</v>
      </c>
      <c r="M2306" s="4">
        <f t="shared" si="153"/>
        <v>0</v>
      </c>
      <c r="N2306" s="4">
        <f t="shared" si="154"/>
        <v>0</v>
      </c>
      <c r="O2306" s="13">
        <f t="shared" si="155"/>
        <v>0</v>
      </c>
    </row>
    <row r="2307" spans="2:15">
      <c r="B2307" s="12">
        <v>20</v>
      </c>
      <c r="C2307" s="4" t="s">
        <v>151</v>
      </c>
      <c r="D2307" s="4" t="s">
        <v>149</v>
      </c>
      <c r="E2307" s="4">
        <v>3</v>
      </c>
      <c r="F2307" s="4">
        <v>10</v>
      </c>
      <c r="G2307" s="4">
        <v>6</v>
      </c>
      <c r="H2307" s="115"/>
      <c r="I2307" s="115"/>
      <c r="J2307" s="115"/>
      <c r="K2307" s="115">
        <v>0</v>
      </c>
      <c r="L2307" s="12">
        <f t="shared" si="152"/>
        <v>0</v>
      </c>
      <c r="M2307" s="4">
        <f t="shared" si="153"/>
        <v>0</v>
      </c>
      <c r="N2307" s="4">
        <f t="shared" si="154"/>
        <v>0</v>
      </c>
      <c r="O2307" s="13">
        <f t="shared" si="155"/>
        <v>0</v>
      </c>
    </row>
    <row r="2308" spans="2:15">
      <c r="B2308" s="12">
        <v>20</v>
      </c>
      <c r="C2308" s="4" t="s">
        <v>151</v>
      </c>
      <c r="D2308" s="4" t="s">
        <v>149</v>
      </c>
      <c r="E2308" s="4">
        <v>3</v>
      </c>
      <c r="F2308" s="4">
        <v>10</v>
      </c>
      <c r="G2308" s="4">
        <v>7</v>
      </c>
      <c r="H2308" s="115"/>
      <c r="I2308" s="115"/>
      <c r="J2308" s="115"/>
      <c r="K2308" s="115">
        <v>0</v>
      </c>
      <c r="L2308" s="12">
        <f t="shared" si="152"/>
        <v>0</v>
      </c>
      <c r="M2308" s="4">
        <f t="shared" si="153"/>
        <v>0</v>
      </c>
      <c r="N2308" s="4">
        <f t="shared" si="154"/>
        <v>0</v>
      </c>
      <c r="O2308" s="13">
        <f t="shared" si="155"/>
        <v>0</v>
      </c>
    </row>
    <row r="2309" spans="2:15">
      <c r="B2309" s="12">
        <v>20</v>
      </c>
      <c r="C2309" s="4" t="s">
        <v>151</v>
      </c>
      <c r="D2309" s="4" t="s">
        <v>149</v>
      </c>
      <c r="E2309" s="4">
        <v>3</v>
      </c>
      <c r="F2309" s="4">
        <v>10</v>
      </c>
      <c r="G2309" s="4">
        <v>8</v>
      </c>
      <c r="H2309" s="115"/>
      <c r="I2309" s="115"/>
      <c r="J2309" s="115"/>
      <c r="K2309" s="115">
        <v>0</v>
      </c>
      <c r="L2309" s="12">
        <f t="shared" si="152"/>
        <v>0</v>
      </c>
      <c r="M2309" s="4">
        <f t="shared" si="153"/>
        <v>0</v>
      </c>
      <c r="N2309" s="4">
        <f t="shared" si="154"/>
        <v>0</v>
      </c>
      <c r="O2309" s="13">
        <f t="shared" si="155"/>
        <v>0</v>
      </c>
    </row>
    <row r="2310" spans="2:15">
      <c r="B2310" s="12">
        <v>20</v>
      </c>
      <c r="C2310" s="4" t="s">
        <v>151</v>
      </c>
      <c r="D2310" s="4" t="s">
        <v>149</v>
      </c>
      <c r="E2310" s="4">
        <v>3</v>
      </c>
      <c r="F2310" s="4">
        <v>10</v>
      </c>
      <c r="G2310" s="4">
        <v>9</v>
      </c>
      <c r="H2310" s="115"/>
      <c r="I2310" s="115"/>
      <c r="J2310" s="115"/>
      <c r="K2310" s="115">
        <v>0</v>
      </c>
      <c r="L2310" s="12">
        <f t="shared" si="152"/>
        <v>0</v>
      </c>
      <c r="M2310" s="4">
        <f t="shared" si="153"/>
        <v>0</v>
      </c>
      <c r="N2310" s="4">
        <f t="shared" si="154"/>
        <v>0</v>
      </c>
      <c r="O2310" s="13">
        <f t="shared" si="155"/>
        <v>0</v>
      </c>
    </row>
    <row r="2311" spans="2:15" ht="13.8" thickBot="1">
      <c r="B2311" s="14">
        <v>20</v>
      </c>
      <c r="C2311" s="15" t="s">
        <v>151</v>
      </c>
      <c r="D2311" s="15" t="s">
        <v>149</v>
      </c>
      <c r="E2311" s="15">
        <v>3</v>
      </c>
      <c r="F2311" s="15">
        <v>10</v>
      </c>
      <c r="G2311" s="15">
        <v>10</v>
      </c>
      <c r="H2311" s="121"/>
      <c r="I2311" s="121"/>
      <c r="J2311" s="121"/>
      <c r="K2311" s="121">
        <v>0</v>
      </c>
      <c r="L2311" s="14">
        <f t="shared" si="152"/>
        <v>0</v>
      </c>
      <c r="M2311" s="15">
        <f t="shared" si="153"/>
        <v>0</v>
      </c>
      <c r="N2311" s="15">
        <f t="shared" si="154"/>
        <v>0</v>
      </c>
      <c r="O2311" s="16">
        <f t="shared" si="155"/>
        <v>0</v>
      </c>
    </row>
    <row r="2312" spans="2:15">
      <c r="B2312" s="9">
        <v>20</v>
      </c>
      <c r="C2312" s="10" t="s">
        <v>151</v>
      </c>
      <c r="D2312" s="10" t="s">
        <v>150</v>
      </c>
      <c r="E2312" s="93">
        <v>4</v>
      </c>
      <c r="F2312" s="93">
        <v>6</v>
      </c>
      <c r="G2312" s="10">
        <v>1</v>
      </c>
      <c r="H2312" s="120">
        <v>2.5989999999999895</v>
      </c>
      <c r="I2312" s="120"/>
      <c r="J2312" s="120">
        <v>0.46600000000000819</v>
      </c>
      <c r="K2312" s="120">
        <v>3.0649999999999977</v>
      </c>
      <c r="L2312" s="9">
        <f t="shared" si="152"/>
        <v>0.55618184665290993</v>
      </c>
      <c r="M2312" s="10">
        <f t="shared" si="153"/>
        <v>0</v>
      </c>
      <c r="N2312" s="10">
        <f t="shared" si="154"/>
        <v>0.16613397030511157</v>
      </c>
      <c r="O2312" s="11">
        <f t="shared" si="155"/>
        <v>0.60906054993008674</v>
      </c>
    </row>
    <row r="2313" spans="2:15">
      <c r="B2313" s="12">
        <v>20</v>
      </c>
      <c r="C2313" s="4" t="s">
        <v>151</v>
      </c>
      <c r="D2313" s="4" t="s">
        <v>150</v>
      </c>
      <c r="E2313" s="4">
        <v>4</v>
      </c>
      <c r="F2313" s="4">
        <v>6</v>
      </c>
      <c r="G2313" s="4">
        <v>2</v>
      </c>
      <c r="H2313" s="115">
        <v>1.1659999999999968</v>
      </c>
      <c r="I2313" s="115">
        <v>0.20000000000004547</v>
      </c>
      <c r="J2313" s="115">
        <v>0.23300000000000409</v>
      </c>
      <c r="K2313" s="115">
        <v>1.5990000000000464</v>
      </c>
      <c r="L2313" s="12">
        <f t="shared" si="152"/>
        <v>0.33565845228930091</v>
      </c>
      <c r="M2313" s="4">
        <f t="shared" si="153"/>
        <v>7.918124604764129E-2</v>
      </c>
      <c r="N2313" s="4">
        <f t="shared" si="154"/>
        <v>9.0963076595733078E-2</v>
      </c>
      <c r="O2313" s="13">
        <f t="shared" si="155"/>
        <v>0.41480627950102034</v>
      </c>
    </row>
    <row r="2314" spans="2:15">
      <c r="B2314" s="12">
        <v>20</v>
      </c>
      <c r="C2314" s="4" t="s">
        <v>151</v>
      </c>
      <c r="D2314" s="4" t="s">
        <v>150</v>
      </c>
      <c r="E2314" s="4">
        <v>4</v>
      </c>
      <c r="F2314" s="4">
        <v>6</v>
      </c>
      <c r="G2314" s="4">
        <v>3</v>
      </c>
      <c r="H2314" s="115">
        <v>0.16599999999999682</v>
      </c>
      <c r="I2314" s="115"/>
      <c r="J2314" s="115"/>
      <c r="K2314" s="115">
        <v>0.16599999999999682</v>
      </c>
      <c r="L2314" s="12">
        <f t="shared" si="152"/>
        <v>6.6698550422994093E-2</v>
      </c>
      <c r="M2314" s="4">
        <f t="shared" si="153"/>
        <v>0</v>
      </c>
      <c r="N2314" s="4">
        <f t="shared" si="154"/>
        <v>0</v>
      </c>
      <c r="O2314" s="13">
        <f t="shared" si="155"/>
        <v>6.6698550422994093E-2</v>
      </c>
    </row>
    <row r="2315" spans="2:15">
      <c r="B2315" s="12">
        <v>20</v>
      </c>
      <c r="C2315" s="4" t="s">
        <v>151</v>
      </c>
      <c r="D2315" s="4" t="s">
        <v>150</v>
      </c>
      <c r="E2315" s="4">
        <v>4</v>
      </c>
      <c r="F2315" s="4">
        <v>6</v>
      </c>
      <c r="G2315" s="4">
        <v>4</v>
      </c>
      <c r="H2315" s="115"/>
      <c r="I2315" s="115"/>
      <c r="J2315" s="115"/>
      <c r="K2315" s="115">
        <v>0</v>
      </c>
      <c r="L2315" s="12">
        <f t="shared" si="152"/>
        <v>0</v>
      </c>
      <c r="M2315" s="4">
        <f t="shared" si="153"/>
        <v>0</v>
      </c>
      <c r="N2315" s="4">
        <f t="shared" si="154"/>
        <v>0</v>
      </c>
      <c r="O2315" s="13">
        <f t="shared" si="155"/>
        <v>0</v>
      </c>
    </row>
    <row r="2316" spans="2:15">
      <c r="B2316" s="12">
        <v>20</v>
      </c>
      <c r="C2316" s="4" t="s">
        <v>151</v>
      </c>
      <c r="D2316" s="4" t="s">
        <v>150</v>
      </c>
      <c r="E2316" s="4">
        <v>4</v>
      </c>
      <c r="F2316" s="4">
        <v>6</v>
      </c>
      <c r="G2316" s="4">
        <v>5</v>
      </c>
      <c r="H2316" s="115"/>
      <c r="I2316" s="115"/>
      <c r="J2316" s="115"/>
      <c r="K2316" s="115">
        <v>0</v>
      </c>
      <c r="L2316" s="12">
        <f t="shared" si="152"/>
        <v>0</v>
      </c>
      <c r="M2316" s="4">
        <f t="shared" si="153"/>
        <v>0</v>
      </c>
      <c r="N2316" s="4">
        <f t="shared" si="154"/>
        <v>0</v>
      </c>
      <c r="O2316" s="13">
        <f t="shared" si="155"/>
        <v>0</v>
      </c>
    </row>
    <row r="2317" spans="2:15">
      <c r="B2317" s="12">
        <v>20</v>
      </c>
      <c r="C2317" s="4" t="s">
        <v>151</v>
      </c>
      <c r="D2317" s="4" t="s">
        <v>150</v>
      </c>
      <c r="E2317" s="4">
        <v>4</v>
      </c>
      <c r="F2317" s="4">
        <v>6</v>
      </c>
      <c r="G2317" s="4">
        <v>6</v>
      </c>
      <c r="H2317" s="115"/>
      <c r="I2317" s="115"/>
      <c r="J2317" s="115"/>
      <c r="K2317" s="115">
        <v>0</v>
      </c>
      <c r="L2317" s="12">
        <f t="shared" si="152"/>
        <v>0</v>
      </c>
      <c r="M2317" s="4">
        <f t="shared" si="153"/>
        <v>0</v>
      </c>
      <c r="N2317" s="4">
        <f t="shared" si="154"/>
        <v>0</v>
      </c>
      <c r="O2317" s="13">
        <f t="shared" si="155"/>
        <v>0</v>
      </c>
    </row>
    <row r="2318" spans="2:15">
      <c r="B2318" s="12">
        <v>20</v>
      </c>
      <c r="C2318" s="4" t="s">
        <v>151</v>
      </c>
      <c r="D2318" s="4" t="s">
        <v>150</v>
      </c>
      <c r="E2318" s="4">
        <v>4</v>
      </c>
      <c r="F2318" s="4">
        <v>6</v>
      </c>
      <c r="G2318" s="4">
        <v>7</v>
      </c>
      <c r="H2318" s="115"/>
      <c r="I2318" s="115"/>
      <c r="J2318" s="115"/>
      <c r="K2318" s="115">
        <v>0</v>
      </c>
      <c r="L2318" s="12">
        <f t="shared" si="152"/>
        <v>0</v>
      </c>
      <c r="M2318" s="4">
        <f t="shared" si="153"/>
        <v>0</v>
      </c>
      <c r="N2318" s="4">
        <f t="shared" si="154"/>
        <v>0</v>
      </c>
      <c r="O2318" s="13">
        <f t="shared" si="155"/>
        <v>0</v>
      </c>
    </row>
    <row r="2319" spans="2:15">
      <c r="B2319" s="12">
        <v>20</v>
      </c>
      <c r="C2319" s="4" t="s">
        <v>151</v>
      </c>
      <c r="D2319" s="4" t="s">
        <v>150</v>
      </c>
      <c r="E2319" s="4">
        <v>4</v>
      </c>
      <c r="F2319" s="4">
        <v>6</v>
      </c>
      <c r="G2319" s="4">
        <v>8</v>
      </c>
      <c r="H2319" s="115"/>
      <c r="I2319" s="115"/>
      <c r="J2319" s="115"/>
      <c r="K2319" s="115">
        <v>0</v>
      </c>
      <c r="L2319" s="12">
        <f t="shared" si="152"/>
        <v>0</v>
      </c>
      <c r="M2319" s="4">
        <f t="shared" si="153"/>
        <v>0</v>
      </c>
      <c r="N2319" s="4">
        <f t="shared" si="154"/>
        <v>0</v>
      </c>
      <c r="O2319" s="13">
        <f t="shared" si="155"/>
        <v>0</v>
      </c>
    </row>
    <row r="2320" spans="2:15">
      <c r="B2320" s="12">
        <v>20</v>
      </c>
      <c r="C2320" s="4" t="s">
        <v>151</v>
      </c>
      <c r="D2320" s="4" t="s">
        <v>150</v>
      </c>
      <c r="E2320" s="4">
        <v>4</v>
      </c>
      <c r="F2320" s="4">
        <v>6</v>
      </c>
      <c r="G2320" s="4">
        <v>9</v>
      </c>
      <c r="H2320" s="115"/>
      <c r="I2320" s="115"/>
      <c r="J2320" s="115"/>
      <c r="K2320" s="115">
        <v>0</v>
      </c>
      <c r="L2320" s="12">
        <f t="shared" si="152"/>
        <v>0</v>
      </c>
      <c r="M2320" s="4">
        <f t="shared" si="153"/>
        <v>0</v>
      </c>
      <c r="N2320" s="4">
        <f t="shared" si="154"/>
        <v>0</v>
      </c>
      <c r="O2320" s="13">
        <f t="shared" si="155"/>
        <v>0</v>
      </c>
    </row>
    <row r="2321" spans="2:15" ht="13.8" thickBot="1">
      <c r="B2321" s="14">
        <v>20</v>
      </c>
      <c r="C2321" s="15" t="s">
        <v>151</v>
      </c>
      <c r="D2321" s="15" t="s">
        <v>150</v>
      </c>
      <c r="E2321" s="15">
        <v>4</v>
      </c>
      <c r="F2321" s="15">
        <v>6</v>
      </c>
      <c r="G2321" s="15">
        <v>10</v>
      </c>
      <c r="H2321" s="121"/>
      <c r="I2321" s="121"/>
      <c r="J2321" s="121"/>
      <c r="K2321" s="121">
        <v>0</v>
      </c>
      <c r="L2321" s="14">
        <f t="shared" si="152"/>
        <v>0</v>
      </c>
      <c r="M2321" s="15">
        <f t="shared" si="153"/>
        <v>0</v>
      </c>
      <c r="N2321" s="15">
        <f t="shared" si="154"/>
        <v>0</v>
      </c>
      <c r="O2321" s="16">
        <f t="shared" si="155"/>
        <v>0</v>
      </c>
    </row>
    <row r="2322" spans="2:15">
      <c r="B2322" s="9">
        <v>20</v>
      </c>
      <c r="C2322" s="10" t="s">
        <v>151</v>
      </c>
      <c r="D2322" s="10" t="s">
        <v>154</v>
      </c>
      <c r="E2322" s="93">
        <v>5</v>
      </c>
      <c r="F2322" s="93">
        <v>4</v>
      </c>
      <c r="G2322" s="10">
        <v>1</v>
      </c>
      <c r="H2322" s="120">
        <v>0.73300000000000409</v>
      </c>
      <c r="I2322" s="120">
        <v>1.5340000000000487</v>
      </c>
      <c r="J2322" s="120">
        <v>0.71599999999997976</v>
      </c>
      <c r="K2322" s="120">
        <v>2.9830000000000325</v>
      </c>
      <c r="L2322" s="9">
        <f t="shared" si="152"/>
        <v>0.23879856271391803</v>
      </c>
      <c r="M2322" s="10">
        <f t="shared" si="153"/>
        <v>0.40380661054743089</v>
      </c>
      <c r="N2322" s="10">
        <f t="shared" si="154"/>
        <v>0.23451728351268153</v>
      </c>
      <c r="O2322" s="11">
        <f t="shared" si="155"/>
        <v>0.6002103064093316</v>
      </c>
    </row>
    <row r="2323" spans="2:15">
      <c r="B2323" s="12">
        <v>20</v>
      </c>
      <c r="C2323" s="4" t="s">
        <v>151</v>
      </c>
      <c r="D2323" s="4" t="s">
        <v>154</v>
      </c>
      <c r="E2323" s="4">
        <v>5</v>
      </c>
      <c r="F2323" s="4">
        <v>4</v>
      </c>
      <c r="G2323" s="4">
        <v>2</v>
      </c>
      <c r="H2323" s="115"/>
      <c r="I2323" s="115"/>
      <c r="J2323" s="115"/>
      <c r="K2323" s="115">
        <v>0</v>
      </c>
      <c r="L2323" s="12">
        <f t="shared" si="152"/>
        <v>0</v>
      </c>
      <c r="M2323" s="4">
        <f t="shared" si="153"/>
        <v>0</v>
      </c>
      <c r="N2323" s="4">
        <f t="shared" si="154"/>
        <v>0</v>
      </c>
      <c r="O2323" s="13">
        <f t="shared" si="155"/>
        <v>0</v>
      </c>
    </row>
    <row r="2324" spans="2:15">
      <c r="B2324" s="12">
        <v>20</v>
      </c>
      <c r="C2324" s="4" t="s">
        <v>151</v>
      </c>
      <c r="D2324" s="4" t="s">
        <v>154</v>
      </c>
      <c r="E2324" s="4">
        <v>5</v>
      </c>
      <c r="F2324" s="4">
        <v>4</v>
      </c>
      <c r="G2324" s="4">
        <v>3</v>
      </c>
      <c r="H2324" s="115"/>
      <c r="I2324" s="115"/>
      <c r="J2324" s="115"/>
      <c r="K2324" s="115">
        <v>0</v>
      </c>
      <c r="L2324" s="12">
        <f t="shared" si="152"/>
        <v>0</v>
      </c>
      <c r="M2324" s="4">
        <f t="shared" si="153"/>
        <v>0</v>
      </c>
      <c r="N2324" s="4">
        <f t="shared" si="154"/>
        <v>0</v>
      </c>
      <c r="O2324" s="13">
        <f t="shared" si="155"/>
        <v>0</v>
      </c>
    </row>
    <row r="2325" spans="2:15">
      <c r="B2325" s="12">
        <v>20</v>
      </c>
      <c r="C2325" s="4" t="s">
        <v>151</v>
      </c>
      <c r="D2325" s="4" t="s">
        <v>154</v>
      </c>
      <c r="E2325" s="4">
        <v>5</v>
      </c>
      <c r="F2325" s="4">
        <v>4</v>
      </c>
      <c r="G2325" s="4">
        <v>4</v>
      </c>
      <c r="H2325" s="115"/>
      <c r="I2325" s="115"/>
      <c r="J2325" s="115"/>
      <c r="K2325" s="115">
        <v>0</v>
      </c>
      <c r="L2325" s="12">
        <f t="shared" si="152"/>
        <v>0</v>
      </c>
      <c r="M2325" s="4">
        <f t="shared" si="153"/>
        <v>0</v>
      </c>
      <c r="N2325" s="4">
        <f t="shared" si="154"/>
        <v>0</v>
      </c>
      <c r="O2325" s="13">
        <f t="shared" si="155"/>
        <v>0</v>
      </c>
    </row>
    <row r="2326" spans="2:15">
      <c r="B2326" s="12">
        <v>20</v>
      </c>
      <c r="C2326" s="4" t="s">
        <v>151</v>
      </c>
      <c r="D2326" s="4" t="s">
        <v>154</v>
      </c>
      <c r="E2326" s="4">
        <v>5</v>
      </c>
      <c r="F2326" s="4">
        <v>4</v>
      </c>
      <c r="G2326" s="4">
        <v>5</v>
      </c>
      <c r="H2326" s="115"/>
      <c r="I2326" s="115"/>
      <c r="J2326" s="115"/>
      <c r="K2326" s="115">
        <v>0</v>
      </c>
      <c r="L2326" s="12">
        <f t="shared" si="152"/>
        <v>0</v>
      </c>
      <c r="M2326" s="4">
        <f t="shared" si="153"/>
        <v>0</v>
      </c>
      <c r="N2326" s="4">
        <f t="shared" si="154"/>
        <v>0</v>
      </c>
      <c r="O2326" s="13">
        <f t="shared" si="155"/>
        <v>0</v>
      </c>
    </row>
    <row r="2327" spans="2:15">
      <c r="B2327" s="12">
        <v>20</v>
      </c>
      <c r="C2327" s="4" t="s">
        <v>151</v>
      </c>
      <c r="D2327" s="4" t="s">
        <v>154</v>
      </c>
      <c r="E2327" s="4">
        <v>5</v>
      </c>
      <c r="F2327" s="4">
        <v>4</v>
      </c>
      <c r="G2327" s="4">
        <v>6</v>
      </c>
      <c r="H2327" s="115"/>
      <c r="I2327" s="115"/>
      <c r="J2327" s="115"/>
      <c r="K2327" s="115">
        <v>0</v>
      </c>
      <c r="L2327" s="12">
        <f t="shared" si="152"/>
        <v>0</v>
      </c>
      <c r="M2327" s="4">
        <f t="shared" si="153"/>
        <v>0</v>
      </c>
      <c r="N2327" s="4">
        <f t="shared" si="154"/>
        <v>0</v>
      </c>
      <c r="O2327" s="13">
        <f t="shared" si="155"/>
        <v>0</v>
      </c>
    </row>
    <row r="2328" spans="2:15">
      <c r="B2328" s="12">
        <v>20</v>
      </c>
      <c r="C2328" s="4" t="s">
        <v>151</v>
      </c>
      <c r="D2328" s="4" t="s">
        <v>154</v>
      </c>
      <c r="E2328" s="4">
        <v>5</v>
      </c>
      <c r="F2328" s="4">
        <v>4</v>
      </c>
      <c r="G2328" s="4">
        <v>7</v>
      </c>
      <c r="H2328" s="115"/>
      <c r="I2328" s="115"/>
      <c r="J2328" s="115"/>
      <c r="K2328" s="115">
        <v>0</v>
      </c>
      <c r="L2328" s="12">
        <f t="shared" si="152"/>
        <v>0</v>
      </c>
      <c r="M2328" s="4">
        <f t="shared" si="153"/>
        <v>0</v>
      </c>
      <c r="N2328" s="4">
        <f t="shared" si="154"/>
        <v>0</v>
      </c>
      <c r="O2328" s="13">
        <f t="shared" si="155"/>
        <v>0</v>
      </c>
    </row>
    <row r="2329" spans="2:15">
      <c r="B2329" s="12">
        <v>20</v>
      </c>
      <c r="C2329" s="4" t="s">
        <v>151</v>
      </c>
      <c r="D2329" s="4" t="s">
        <v>154</v>
      </c>
      <c r="E2329" s="4">
        <v>5</v>
      </c>
      <c r="F2329" s="4">
        <v>4</v>
      </c>
      <c r="G2329" s="4">
        <v>8</v>
      </c>
      <c r="H2329" s="115"/>
      <c r="I2329" s="115"/>
      <c r="J2329" s="115"/>
      <c r="K2329" s="115">
        <v>0</v>
      </c>
      <c r="L2329" s="12">
        <f t="shared" si="152"/>
        <v>0</v>
      </c>
      <c r="M2329" s="4">
        <f t="shared" si="153"/>
        <v>0</v>
      </c>
      <c r="N2329" s="4">
        <f t="shared" si="154"/>
        <v>0</v>
      </c>
      <c r="O2329" s="13">
        <f t="shared" si="155"/>
        <v>0</v>
      </c>
    </row>
    <row r="2330" spans="2:15">
      <c r="B2330" s="12">
        <v>20</v>
      </c>
      <c r="C2330" s="4" t="s">
        <v>151</v>
      </c>
      <c r="D2330" s="4" t="s">
        <v>154</v>
      </c>
      <c r="E2330" s="4">
        <v>5</v>
      </c>
      <c r="F2330" s="4">
        <v>4</v>
      </c>
      <c r="G2330" s="4">
        <v>9</v>
      </c>
      <c r="H2330" s="115"/>
      <c r="I2330" s="115"/>
      <c r="J2330" s="115"/>
      <c r="K2330" s="115">
        <v>0</v>
      </c>
      <c r="L2330" s="12">
        <f t="shared" si="152"/>
        <v>0</v>
      </c>
      <c r="M2330" s="4">
        <f t="shared" si="153"/>
        <v>0</v>
      </c>
      <c r="N2330" s="4">
        <f t="shared" si="154"/>
        <v>0</v>
      </c>
      <c r="O2330" s="13">
        <f t="shared" si="155"/>
        <v>0</v>
      </c>
    </row>
    <row r="2331" spans="2:15" ht="13.8" thickBot="1">
      <c r="B2331" s="14">
        <v>20</v>
      </c>
      <c r="C2331" s="15" t="s">
        <v>151</v>
      </c>
      <c r="D2331" s="15" t="s">
        <v>154</v>
      </c>
      <c r="E2331" s="15">
        <v>5</v>
      </c>
      <c r="F2331" s="15">
        <v>4</v>
      </c>
      <c r="G2331" s="15">
        <v>10</v>
      </c>
      <c r="H2331" s="121"/>
      <c r="I2331" s="121"/>
      <c r="J2331" s="121"/>
      <c r="K2331" s="121">
        <v>0</v>
      </c>
      <c r="L2331" s="14">
        <f t="shared" si="152"/>
        <v>0</v>
      </c>
      <c r="M2331" s="15">
        <f t="shared" si="153"/>
        <v>0</v>
      </c>
      <c r="N2331" s="15">
        <f t="shared" si="154"/>
        <v>0</v>
      </c>
      <c r="O2331" s="16">
        <f t="shared" si="155"/>
        <v>0</v>
      </c>
    </row>
    <row r="2332" spans="2:15">
      <c r="B2332" s="9">
        <v>20</v>
      </c>
      <c r="C2332" s="10" t="s">
        <v>151</v>
      </c>
      <c r="D2332" s="10" t="s">
        <v>150</v>
      </c>
      <c r="E2332" s="93">
        <v>6</v>
      </c>
      <c r="F2332" s="93">
        <v>8</v>
      </c>
      <c r="G2332" s="10">
        <v>1</v>
      </c>
      <c r="H2332" s="120">
        <v>1.7150000000000318</v>
      </c>
      <c r="I2332" s="120">
        <v>0.16700000000003001</v>
      </c>
      <c r="J2332" s="120">
        <v>0.46699999999998454</v>
      </c>
      <c r="K2332" s="120">
        <v>2.3490000000000464</v>
      </c>
      <c r="L2332" s="9">
        <f t="shared" si="152"/>
        <v>0.43376983392487084</v>
      </c>
      <c r="M2332" s="10">
        <f t="shared" si="153"/>
        <v>6.707085604538135E-2</v>
      </c>
      <c r="N2332" s="10">
        <f t="shared" si="154"/>
        <v>0.1664301138432781</v>
      </c>
      <c r="O2332" s="11">
        <f t="shared" si="155"/>
        <v>0.52491514753987289</v>
      </c>
    </row>
    <row r="2333" spans="2:15">
      <c r="B2333" s="12">
        <v>20</v>
      </c>
      <c r="C2333" s="4" t="s">
        <v>151</v>
      </c>
      <c r="D2333" s="4" t="s">
        <v>150</v>
      </c>
      <c r="E2333" s="4">
        <v>6</v>
      </c>
      <c r="F2333" s="4">
        <v>8</v>
      </c>
      <c r="G2333" s="4">
        <v>2</v>
      </c>
      <c r="H2333" s="115">
        <v>1.4479999999998654</v>
      </c>
      <c r="I2333" s="115">
        <v>0.34999999999996589</v>
      </c>
      <c r="J2333" s="115">
        <v>0.41700000000003001</v>
      </c>
      <c r="K2333" s="115">
        <v>2.2149999999998613</v>
      </c>
      <c r="L2333" s="12">
        <f t="shared" si="152"/>
        <v>0.38881141347349968</v>
      </c>
      <c r="M2333" s="4">
        <f t="shared" si="153"/>
        <v>0.13033376849499514</v>
      </c>
      <c r="N2333" s="4">
        <f t="shared" si="154"/>
        <v>0.1513698502474696</v>
      </c>
      <c r="O2333" s="13">
        <f t="shared" si="155"/>
        <v>0.50718097726022215</v>
      </c>
    </row>
    <row r="2334" spans="2:15">
      <c r="B2334" s="12">
        <v>20</v>
      </c>
      <c r="C2334" s="4" t="s">
        <v>151</v>
      </c>
      <c r="D2334" s="4" t="s">
        <v>150</v>
      </c>
      <c r="E2334" s="4">
        <v>6</v>
      </c>
      <c r="F2334" s="4">
        <v>8</v>
      </c>
      <c r="G2334" s="4">
        <v>3</v>
      </c>
      <c r="H2334" s="115"/>
      <c r="I2334" s="115"/>
      <c r="J2334" s="115"/>
      <c r="K2334" s="115">
        <v>0</v>
      </c>
      <c r="L2334" s="12">
        <f t="shared" si="152"/>
        <v>0</v>
      </c>
      <c r="M2334" s="4">
        <f t="shared" si="153"/>
        <v>0</v>
      </c>
      <c r="N2334" s="4">
        <f t="shared" si="154"/>
        <v>0</v>
      </c>
      <c r="O2334" s="13">
        <f t="shared" si="155"/>
        <v>0</v>
      </c>
    </row>
    <row r="2335" spans="2:15">
      <c r="B2335" s="12">
        <v>20</v>
      </c>
      <c r="C2335" s="4" t="s">
        <v>151</v>
      </c>
      <c r="D2335" s="4" t="s">
        <v>150</v>
      </c>
      <c r="E2335" s="4">
        <v>6</v>
      </c>
      <c r="F2335" s="4">
        <v>8</v>
      </c>
      <c r="G2335" s="4">
        <v>4</v>
      </c>
      <c r="H2335" s="115"/>
      <c r="I2335" s="115"/>
      <c r="J2335" s="115"/>
      <c r="K2335" s="115">
        <v>0</v>
      </c>
      <c r="L2335" s="12">
        <f t="shared" si="152"/>
        <v>0</v>
      </c>
      <c r="M2335" s="4">
        <f t="shared" si="153"/>
        <v>0</v>
      </c>
      <c r="N2335" s="4">
        <f t="shared" si="154"/>
        <v>0</v>
      </c>
      <c r="O2335" s="13">
        <f t="shared" si="155"/>
        <v>0</v>
      </c>
    </row>
    <row r="2336" spans="2:15">
      <c r="B2336" s="12">
        <v>20</v>
      </c>
      <c r="C2336" s="4" t="s">
        <v>151</v>
      </c>
      <c r="D2336" s="4" t="s">
        <v>150</v>
      </c>
      <c r="E2336" s="4">
        <v>6</v>
      </c>
      <c r="F2336" s="4">
        <v>8</v>
      </c>
      <c r="G2336" s="4">
        <v>5</v>
      </c>
      <c r="H2336" s="115"/>
      <c r="I2336" s="115"/>
      <c r="J2336" s="115"/>
      <c r="K2336" s="115">
        <v>0</v>
      </c>
      <c r="L2336" s="12">
        <f t="shared" si="152"/>
        <v>0</v>
      </c>
      <c r="M2336" s="4">
        <f t="shared" si="153"/>
        <v>0</v>
      </c>
      <c r="N2336" s="4">
        <f t="shared" si="154"/>
        <v>0</v>
      </c>
      <c r="O2336" s="13">
        <f t="shared" si="155"/>
        <v>0</v>
      </c>
    </row>
    <row r="2337" spans="2:15">
      <c r="B2337" s="12">
        <v>20</v>
      </c>
      <c r="C2337" s="4" t="s">
        <v>151</v>
      </c>
      <c r="D2337" s="4" t="s">
        <v>150</v>
      </c>
      <c r="E2337" s="4">
        <v>6</v>
      </c>
      <c r="F2337" s="4">
        <v>8</v>
      </c>
      <c r="G2337" s="4">
        <v>6</v>
      </c>
      <c r="H2337" s="115"/>
      <c r="I2337" s="115"/>
      <c r="J2337" s="115"/>
      <c r="K2337" s="115">
        <v>0</v>
      </c>
      <c r="L2337" s="12">
        <f t="shared" si="152"/>
        <v>0</v>
      </c>
      <c r="M2337" s="4">
        <f t="shared" si="153"/>
        <v>0</v>
      </c>
      <c r="N2337" s="4">
        <f t="shared" si="154"/>
        <v>0</v>
      </c>
      <c r="O2337" s="13">
        <f t="shared" si="155"/>
        <v>0</v>
      </c>
    </row>
    <row r="2338" spans="2:15">
      <c r="B2338" s="12">
        <v>20</v>
      </c>
      <c r="C2338" s="4" t="s">
        <v>151</v>
      </c>
      <c r="D2338" s="4" t="s">
        <v>150</v>
      </c>
      <c r="E2338" s="4">
        <v>6</v>
      </c>
      <c r="F2338" s="4">
        <v>8</v>
      </c>
      <c r="G2338" s="4">
        <v>7</v>
      </c>
      <c r="H2338" s="115"/>
      <c r="I2338" s="115"/>
      <c r="J2338" s="115"/>
      <c r="K2338" s="115">
        <v>0</v>
      </c>
      <c r="L2338" s="12">
        <f t="shared" si="152"/>
        <v>0</v>
      </c>
      <c r="M2338" s="4">
        <f t="shared" si="153"/>
        <v>0</v>
      </c>
      <c r="N2338" s="4">
        <f t="shared" si="154"/>
        <v>0</v>
      </c>
      <c r="O2338" s="13">
        <f t="shared" si="155"/>
        <v>0</v>
      </c>
    </row>
    <row r="2339" spans="2:15">
      <c r="B2339" s="12">
        <v>20</v>
      </c>
      <c r="C2339" s="4" t="s">
        <v>151</v>
      </c>
      <c r="D2339" s="4" t="s">
        <v>150</v>
      </c>
      <c r="E2339" s="4">
        <v>6</v>
      </c>
      <c r="F2339" s="4">
        <v>8</v>
      </c>
      <c r="G2339" s="4">
        <v>8</v>
      </c>
      <c r="H2339" s="115"/>
      <c r="I2339" s="115"/>
      <c r="J2339" s="115"/>
      <c r="K2339" s="115">
        <v>0</v>
      </c>
      <c r="L2339" s="12">
        <f t="shared" si="152"/>
        <v>0</v>
      </c>
      <c r="M2339" s="4">
        <f t="shared" si="153"/>
        <v>0</v>
      </c>
      <c r="N2339" s="4">
        <f t="shared" si="154"/>
        <v>0</v>
      </c>
      <c r="O2339" s="13">
        <f t="shared" si="155"/>
        <v>0</v>
      </c>
    </row>
    <row r="2340" spans="2:15">
      <c r="B2340" s="12">
        <v>20</v>
      </c>
      <c r="C2340" s="4" t="s">
        <v>151</v>
      </c>
      <c r="D2340" s="4" t="s">
        <v>150</v>
      </c>
      <c r="E2340" s="4">
        <v>6</v>
      </c>
      <c r="F2340" s="4">
        <v>8</v>
      </c>
      <c r="G2340" s="4">
        <v>9</v>
      </c>
      <c r="H2340" s="115"/>
      <c r="I2340" s="115"/>
      <c r="J2340" s="115"/>
      <c r="K2340" s="115">
        <v>0</v>
      </c>
      <c r="L2340" s="12">
        <f t="shared" si="152"/>
        <v>0</v>
      </c>
      <c r="M2340" s="4">
        <f t="shared" si="153"/>
        <v>0</v>
      </c>
      <c r="N2340" s="4">
        <f t="shared" si="154"/>
        <v>0</v>
      </c>
      <c r="O2340" s="13">
        <f t="shared" si="155"/>
        <v>0</v>
      </c>
    </row>
    <row r="2341" spans="2:15" ht="13.8" thickBot="1">
      <c r="B2341" s="14">
        <v>20</v>
      </c>
      <c r="C2341" s="15" t="s">
        <v>151</v>
      </c>
      <c r="D2341" s="15" t="s">
        <v>150</v>
      </c>
      <c r="E2341" s="15">
        <v>6</v>
      </c>
      <c r="F2341" s="15">
        <v>8</v>
      </c>
      <c r="G2341" s="15">
        <v>10</v>
      </c>
      <c r="H2341" s="121"/>
      <c r="I2341" s="121"/>
      <c r="J2341" s="121"/>
      <c r="K2341" s="121">
        <v>0</v>
      </c>
      <c r="L2341" s="14">
        <f t="shared" si="152"/>
        <v>0</v>
      </c>
      <c r="M2341" s="15">
        <f t="shared" si="153"/>
        <v>0</v>
      </c>
      <c r="N2341" s="15">
        <f t="shared" si="154"/>
        <v>0</v>
      </c>
      <c r="O2341" s="16">
        <f t="shared" si="155"/>
        <v>0</v>
      </c>
    </row>
    <row r="2342" spans="2:15">
      <c r="B2342" s="9">
        <v>20</v>
      </c>
      <c r="C2342" s="10" t="s">
        <v>152</v>
      </c>
      <c r="D2342" s="10" t="s">
        <v>149</v>
      </c>
      <c r="E2342" s="93">
        <v>7</v>
      </c>
      <c r="F2342" s="93">
        <v>11</v>
      </c>
      <c r="G2342" s="10">
        <v>1</v>
      </c>
      <c r="H2342" s="120">
        <v>1.2170000000000982</v>
      </c>
      <c r="I2342" s="120">
        <v>0.20000000000004547</v>
      </c>
      <c r="J2342" s="120">
        <v>0.25</v>
      </c>
      <c r="K2342" s="120">
        <v>1.6670000000001437</v>
      </c>
      <c r="L2342" s="9">
        <f t="shared" si="152"/>
        <v>0.34576569311450739</v>
      </c>
      <c r="M2342" s="10">
        <f t="shared" si="153"/>
        <v>7.918124604764129E-2</v>
      </c>
      <c r="N2342" s="10">
        <f t="shared" si="154"/>
        <v>9.691001300805642E-2</v>
      </c>
      <c r="O2342" s="11">
        <f t="shared" si="155"/>
        <v>0.42602301568989953</v>
      </c>
    </row>
    <row r="2343" spans="2:15">
      <c r="B2343" s="12">
        <v>20</v>
      </c>
      <c r="C2343" s="4" t="s">
        <v>152</v>
      </c>
      <c r="D2343" s="4" t="s">
        <v>149</v>
      </c>
      <c r="E2343" s="4">
        <v>7</v>
      </c>
      <c r="F2343" s="4">
        <v>11</v>
      </c>
      <c r="G2343" s="4">
        <v>2</v>
      </c>
      <c r="H2343" s="115"/>
      <c r="I2343" s="115">
        <v>0.3489999999999327</v>
      </c>
      <c r="J2343" s="115"/>
      <c r="K2343" s="115">
        <v>0.3489999999999327</v>
      </c>
      <c r="L2343" s="12">
        <f t="shared" ref="L2343:L2406" si="156">LOG10(H2343+1)</f>
        <v>0</v>
      </c>
      <c r="M2343" s="4">
        <f t="shared" ref="M2343:M2406" si="157">LOG10(I2343+1)</f>
        <v>0.13001194967188259</v>
      </c>
      <c r="N2343" s="4">
        <f t="shared" ref="N2343:N2406" si="158">LOG10(J2343+1)</f>
        <v>0</v>
      </c>
      <c r="O2343" s="13">
        <f t="shared" ref="O2343:O2406" si="159">LOG10(K2343+1)</f>
        <v>0.13001194967188259</v>
      </c>
    </row>
    <row r="2344" spans="2:15">
      <c r="B2344" s="12">
        <v>20</v>
      </c>
      <c r="C2344" s="4" t="s">
        <v>152</v>
      </c>
      <c r="D2344" s="4" t="s">
        <v>149</v>
      </c>
      <c r="E2344" s="4">
        <v>7</v>
      </c>
      <c r="F2344" s="4">
        <v>11</v>
      </c>
      <c r="G2344" s="4">
        <v>3</v>
      </c>
      <c r="H2344" s="115"/>
      <c r="I2344" s="115"/>
      <c r="J2344" s="115">
        <v>0.63400000000001455</v>
      </c>
      <c r="K2344" s="115">
        <v>0.63400000000001455</v>
      </c>
      <c r="L2344" s="12">
        <f t="shared" si="156"/>
        <v>0</v>
      </c>
      <c r="M2344" s="4">
        <f t="shared" si="157"/>
        <v>0</v>
      </c>
      <c r="N2344" s="4">
        <f t="shared" si="158"/>
        <v>0.21325205219640056</v>
      </c>
      <c r="O2344" s="13">
        <f t="shared" si="159"/>
        <v>0.21325205219640056</v>
      </c>
    </row>
    <row r="2345" spans="2:15">
      <c r="B2345" s="12">
        <v>20</v>
      </c>
      <c r="C2345" s="4" t="s">
        <v>152</v>
      </c>
      <c r="D2345" s="4" t="s">
        <v>149</v>
      </c>
      <c r="E2345" s="4">
        <v>7</v>
      </c>
      <c r="F2345" s="4">
        <v>11</v>
      </c>
      <c r="G2345" s="4">
        <v>4</v>
      </c>
      <c r="H2345" s="115"/>
      <c r="I2345" s="115"/>
      <c r="J2345" s="115"/>
      <c r="K2345" s="115">
        <v>0</v>
      </c>
      <c r="L2345" s="12">
        <f t="shared" si="156"/>
        <v>0</v>
      </c>
      <c r="M2345" s="4">
        <f t="shared" si="157"/>
        <v>0</v>
      </c>
      <c r="N2345" s="4">
        <f t="shared" si="158"/>
        <v>0</v>
      </c>
      <c r="O2345" s="13">
        <f t="shared" si="159"/>
        <v>0</v>
      </c>
    </row>
    <row r="2346" spans="2:15">
      <c r="B2346" s="12">
        <v>20</v>
      </c>
      <c r="C2346" s="4" t="s">
        <v>152</v>
      </c>
      <c r="D2346" s="4" t="s">
        <v>149</v>
      </c>
      <c r="E2346" s="4">
        <v>7</v>
      </c>
      <c r="F2346" s="4">
        <v>11</v>
      </c>
      <c r="G2346" s="4">
        <v>5</v>
      </c>
      <c r="H2346" s="115"/>
      <c r="I2346" s="115"/>
      <c r="J2346" s="115"/>
      <c r="K2346" s="115">
        <v>0</v>
      </c>
      <c r="L2346" s="12">
        <f t="shared" si="156"/>
        <v>0</v>
      </c>
      <c r="M2346" s="4">
        <f t="shared" si="157"/>
        <v>0</v>
      </c>
      <c r="N2346" s="4">
        <f t="shared" si="158"/>
        <v>0</v>
      </c>
      <c r="O2346" s="13">
        <f t="shared" si="159"/>
        <v>0</v>
      </c>
    </row>
    <row r="2347" spans="2:15">
      <c r="B2347" s="12">
        <v>20</v>
      </c>
      <c r="C2347" s="4" t="s">
        <v>152</v>
      </c>
      <c r="D2347" s="4" t="s">
        <v>149</v>
      </c>
      <c r="E2347" s="4">
        <v>7</v>
      </c>
      <c r="F2347" s="4">
        <v>11</v>
      </c>
      <c r="G2347" s="4">
        <v>6</v>
      </c>
      <c r="H2347" s="115"/>
      <c r="I2347" s="115"/>
      <c r="J2347" s="115"/>
      <c r="K2347" s="115">
        <v>0</v>
      </c>
      <c r="L2347" s="12">
        <f t="shared" si="156"/>
        <v>0</v>
      </c>
      <c r="M2347" s="4">
        <f t="shared" si="157"/>
        <v>0</v>
      </c>
      <c r="N2347" s="4">
        <f t="shared" si="158"/>
        <v>0</v>
      </c>
      <c r="O2347" s="13">
        <f t="shared" si="159"/>
        <v>0</v>
      </c>
    </row>
    <row r="2348" spans="2:15">
      <c r="B2348" s="12">
        <v>20</v>
      </c>
      <c r="C2348" s="4" t="s">
        <v>152</v>
      </c>
      <c r="D2348" s="4" t="s">
        <v>149</v>
      </c>
      <c r="E2348" s="4">
        <v>7</v>
      </c>
      <c r="F2348" s="4">
        <v>11</v>
      </c>
      <c r="G2348" s="4">
        <v>7</v>
      </c>
      <c r="H2348" s="115"/>
      <c r="I2348" s="115"/>
      <c r="J2348" s="115"/>
      <c r="K2348" s="115">
        <v>0</v>
      </c>
      <c r="L2348" s="12">
        <f t="shared" si="156"/>
        <v>0</v>
      </c>
      <c r="M2348" s="4">
        <f t="shared" si="157"/>
        <v>0</v>
      </c>
      <c r="N2348" s="4">
        <f t="shared" si="158"/>
        <v>0</v>
      </c>
      <c r="O2348" s="13">
        <f t="shared" si="159"/>
        <v>0</v>
      </c>
    </row>
    <row r="2349" spans="2:15">
      <c r="B2349" s="12">
        <v>20</v>
      </c>
      <c r="C2349" s="4" t="s">
        <v>152</v>
      </c>
      <c r="D2349" s="4" t="s">
        <v>149</v>
      </c>
      <c r="E2349" s="4">
        <v>7</v>
      </c>
      <c r="F2349" s="4">
        <v>11</v>
      </c>
      <c r="G2349" s="4">
        <v>8</v>
      </c>
      <c r="H2349" s="115"/>
      <c r="I2349" s="115"/>
      <c r="J2349" s="115"/>
      <c r="K2349" s="115">
        <v>0</v>
      </c>
      <c r="L2349" s="12">
        <f t="shared" si="156"/>
        <v>0</v>
      </c>
      <c r="M2349" s="4">
        <f t="shared" si="157"/>
        <v>0</v>
      </c>
      <c r="N2349" s="4">
        <f t="shared" si="158"/>
        <v>0</v>
      </c>
      <c r="O2349" s="13">
        <f t="shared" si="159"/>
        <v>0</v>
      </c>
    </row>
    <row r="2350" spans="2:15">
      <c r="B2350" s="12">
        <v>20</v>
      </c>
      <c r="C2350" s="4" t="s">
        <v>152</v>
      </c>
      <c r="D2350" s="4" t="s">
        <v>149</v>
      </c>
      <c r="E2350" s="4">
        <v>7</v>
      </c>
      <c r="F2350" s="4">
        <v>11</v>
      </c>
      <c r="G2350" s="4">
        <v>9</v>
      </c>
      <c r="H2350" s="115"/>
      <c r="I2350" s="115"/>
      <c r="J2350" s="115"/>
      <c r="K2350" s="115">
        <v>0</v>
      </c>
      <c r="L2350" s="12">
        <f t="shared" si="156"/>
        <v>0</v>
      </c>
      <c r="M2350" s="4">
        <f t="shared" si="157"/>
        <v>0</v>
      </c>
      <c r="N2350" s="4">
        <f t="shared" si="158"/>
        <v>0</v>
      </c>
      <c r="O2350" s="13">
        <f t="shared" si="159"/>
        <v>0</v>
      </c>
    </row>
    <row r="2351" spans="2:15" ht="13.8" thickBot="1">
      <c r="B2351" s="14">
        <v>20</v>
      </c>
      <c r="C2351" s="15" t="s">
        <v>152</v>
      </c>
      <c r="D2351" s="15" t="s">
        <v>149</v>
      </c>
      <c r="E2351" s="15">
        <v>7</v>
      </c>
      <c r="F2351" s="15">
        <v>11</v>
      </c>
      <c r="G2351" s="15">
        <v>10</v>
      </c>
      <c r="H2351" s="121"/>
      <c r="I2351" s="121"/>
      <c r="J2351" s="121"/>
      <c r="K2351" s="121">
        <v>0</v>
      </c>
      <c r="L2351" s="14">
        <f t="shared" si="156"/>
        <v>0</v>
      </c>
      <c r="M2351" s="15">
        <f t="shared" si="157"/>
        <v>0</v>
      </c>
      <c r="N2351" s="15">
        <f t="shared" si="158"/>
        <v>0</v>
      </c>
      <c r="O2351" s="16">
        <f t="shared" si="159"/>
        <v>0</v>
      </c>
    </row>
    <row r="2352" spans="2:15">
      <c r="B2352" s="9">
        <v>20</v>
      </c>
      <c r="C2352" s="10" t="s">
        <v>152</v>
      </c>
      <c r="D2352" s="10" t="s">
        <v>150</v>
      </c>
      <c r="E2352" s="93">
        <v>8</v>
      </c>
      <c r="F2352" s="93">
        <v>7</v>
      </c>
      <c r="G2352" s="10">
        <v>1</v>
      </c>
      <c r="H2352" s="120">
        <v>2.5840000000000032</v>
      </c>
      <c r="I2352" s="120">
        <v>0.60099999999999909</v>
      </c>
      <c r="J2352" s="120">
        <v>0.14999999999997726</v>
      </c>
      <c r="K2352" s="120">
        <v>3.3349999999999795</v>
      </c>
      <c r="L2352" s="9">
        <f t="shared" si="156"/>
        <v>0.55436800099008798</v>
      </c>
      <c r="M2352" s="10">
        <f t="shared" si="157"/>
        <v>0.20439133191929948</v>
      </c>
      <c r="N2352" s="10">
        <f t="shared" si="158"/>
        <v>6.0697840353603094E-2</v>
      </c>
      <c r="O2352" s="11">
        <f t="shared" si="159"/>
        <v>0.63698910181222701</v>
      </c>
    </row>
    <row r="2353" spans="2:15">
      <c r="B2353" s="12">
        <v>20</v>
      </c>
      <c r="C2353" s="4" t="s">
        <v>152</v>
      </c>
      <c r="D2353" s="4" t="s">
        <v>150</v>
      </c>
      <c r="E2353" s="4">
        <v>8</v>
      </c>
      <c r="F2353" s="4">
        <v>7</v>
      </c>
      <c r="G2353" s="4">
        <v>2</v>
      </c>
      <c r="H2353" s="115"/>
      <c r="I2353" s="115"/>
      <c r="J2353" s="115"/>
      <c r="K2353" s="115">
        <v>0</v>
      </c>
      <c r="L2353" s="12">
        <f t="shared" si="156"/>
        <v>0</v>
      </c>
      <c r="M2353" s="4">
        <f t="shared" si="157"/>
        <v>0</v>
      </c>
      <c r="N2353" s="4">
        <f t="shared" si="158"/>
        <v>0</v>
      </c>
      <c r="O2353" s="13">
        <f t="shared" si="159"/>
        <v>0</v>
      </c>
    </row>
    <row r="2354" spans="2:15">
      <c r="B2354" s="12">
        <v>20</v>
      </c>
      <c r="C2354" s="4" t="s">
        <v>152</v>
      </c>
      <c r="D2354" s="4" t="s">
        <v>150</v>
      </c>
      <c r="E2354" s="4">
        <v>8</v>
      </c>
      <c r="F2354" s="4">
        <v>7</v>
      </c>
      <c r="G2354" s="4">
        <v>3</v>
      </c>
      <c r="H2354" s="115"/>
      <c r="I2354" s="115"/>
      <c r="J2354" s="115"/>
      <c r="K2354" s="115">
        <v>0</v>
      </c>
      <c r="L2354" s="12">
        <f t="shared" si="156"/>
        <v>0</v>
      </c>
      <c r="M2354" s="4">
        <f t="shared" si="157"/>
        <v>0</v>
      </c>
      <c r="N2354" s="4">
        <f t="shared" si="158"/>
        <v>0</v>
      </c>
      <c r="O2354" s="13">
        <f t="shared" si="159"/>
        <v>0</v>
      </c>
    </row>
    <row r="2355" spans="2:15">
      <c r="B2355" s="12">
        <v>20</v>
      </c>
      <c r="C2355" s="4" t="s">
        <v>152</v>
      </c>
      <c r="D2355" s="4" t="s">
        <v>150</v>
      </c>
      <c r="E2355" s="4">
        <v>8</v>
      </c>
      <c r="F2355" s="4">
        <v>7</v>
      </c>
      <c r="G2355" s="4">
        <v>4</v>
      </c>
      <c r="H2355" s="115"/>
      <c r="I2355" s="115"/>
      <c r="J2355" s="115"/>
      <c r="K2355" s="115">
        <v>0</v>
      </c>
      <c r="L2355" s="12">
        <f t="shared" si="156"/>
        <v>0</v>
      </c>
      <c r="M2355" s="4">
        <f t="shared" si="157"/>
        <v>0</v>
      </c>
      <c r="N2355" s="4">
        <f t="shared" si="158"/>
        <v>0</v>
      </c>
      <c r="O2355" s="13">
        <f t="shared" si="159"/>
        <v>0</v>
      </c>
    </row>
    <row r="2356" spans="2:15">
      <c r="B2356" s="12">
        <v>20</v>
      </c>
      <c r="C2356" s="4" t="s">
        <v>152</v>
      </c>
      <c r="D2356" s="4" t="s">
        <v>150</v>
      </c>
      <c r="E2356" s="4">
        <v>8</v>
      </c>
      <c r="F2356" s="4">
        <v>7</v>
      </c>
      <c r="G2356" s="4">
        <v>5</v>
      </c>
      <c r="H2356" s="115"/>
      <c r="I2356" s="115"/>
      <c r="J2356" s="115"/>
      <c r="K2356" s="115">
        <v>0</v>
      </c>
      <c r="L2356" s="12">
        <f t="shared" si="156"/>
        <v>0</v>
      </c>
      <c r="M2356" s="4">
        <f t="shared" si="157"/>
        <v>0</v>
      </c>
      <c r="N2356" s="4">
        <f t="shared" si="158"/>
        <v>0</v>
      </c>
      <c r="O2356" s="13">
        <f t="shared" si="159"/>
        <v>0</v>
      </c>
    </row>
    <row r="2357" spans="2:15">
      <c r="B2357" s="12">
        <v>20</v>
      </c>
      <c r="C2357" s="4" t="s">
        <v>152</v>
      </c>
      <c r="D2357" s="4" t="s">
        <v>150</v>
      </c>
      <c r="E2357" s="4">
        <v>8</v>
      </c>
      <c r="F2357" s="4">
        <v>7</v>
      </c>
      <c r="G2357" s="4">
        <v>6</v>
      </c>
      <c r="H2357" s="115"/>
      <c r="I2357" s="115"/>
      <c r="J2357" s="115"/>
      <c r="K2357" s="115">
        <v>0</v>
      </c>
      <c r="L2357" s="12">
        <f t="shared" si="156"/>
        <v>0</v>
      </c>
      <c r="M2357" s="4">
        <f t="shared" si="157"/>
        <v>0</v>
      </c>
      <c r="N2357" s="4">
        <f t="shared" si="158"/>
        <v>0</v>
      </c>
      <c r="O2357" s="13">
        <f t="shared" si="159"/>
        <v>0</v>
      </c>
    </row>
    <row r="2358" spans="2:15">
      <c r="B2358" s="12">
        <v>20</v>
      </c>
      <c r="C2358" s="4" t="s">
        <v>152</v>
      </c>
      <c r="D2358" s="4" t="s">
        <v>150</v>
      </c>
      <c r="E2358" s="4">
        <v>8</v>
      </c>
      <c r="F2358" s="4">
        <v>7</v>
      </c>
      <c r="G2358" s="4">
        <v>7</v>
      </c>
      <c r="H2358" s="115"/>
      <c r="I2358" s="115"/>
      <c r="J2358" s="115"/>
      <c r="K2358" s="115">
        <v>0</v>
      </c>
      <c r="L2358" s="12">
        <f t="shared" si="156"/>
        <v>0</v>
      </c>
      <c r="M2358" s="4">
        <f t="shared" si="157"/>
        <v>0</v>
      </c>
      <c r="N2358" s="4">
        <f t="shared" si="158"/>
        <v>0</v>
      </c>
      <c r="O2358" s="13">
        <f t="shared" si="159"/>
        <v>0</v>
      </c>
    </row>
    <row r="2359" spans="2:15">
      <c r="B2359" s="12">
        <v>20</v>
      </c>
      <c r="C2359" s="4" t="s">
        <v>152</v>
      </c>
      <c r="D2359" s="4" t="s">
        <v>150</v>
      </c>
      <c r="E2359" s="4">
        <v>8</v>
      </c>
      <c r="F2359" s="4">
        <v>7</v>
      </c>
      <c r="G2359" s="4">
        <v>8</v>
      </c>
      <c r="H2359" s="115"/>
      <c r="I2359" s="115"/>
      <c r="J2359" s="115"/>
      <c r="K2359" s="115">
        <v>0</v>
      </c>
      <c r="L2359" s="12">
        <f t="shared" si="156"/>
        <v>0</v>
      </c>
      <c r="M2359" s="4">
        <f t="shared" si="157"/>
        <v>0</v>
      </c>
      <c r="N2359" s="4">
        <f t="shared" si="158"/>
        <v>0</v>
      </c>
      <c r="O2359" s="13">
        <f t="shared" si="159"/>
        <v>0</v>
      </c>
    </row>
    <row r="2360" spans="2:15">
      <c r="B2360" s="12">
        <v>20</v>
      </c>
      <c r="C2360" s="4" t="s">
        <v>152</v>
      </c>
      <c r="D2360" s="4" t="s">
        <v>150</v>
      </c>
      <c r="E2360" s="4">
        <v>8</v>
      </c>
      <c r="F2360" s="4">
        <v>7</v>
      </c>
      <c r="G2360" s="4">
        <v>9</v>
      </c>
      <c r="H2360" s="115"/>
      <c r="I2360" s="115"/>
      <c r="J2360" s="115"/>
      <c r="K2360" s="115">
        <v>0</v>
      </c>
      <c r="L2360" s="12">
        <f t="shared" si="156"/>
        <v>0</v>
      </c>
      <c r="M2360" s="4">
        <f t="shared" si="157"/>
        <v>0</v>
      </c>
      <c r="N2360" s="4">
        <f t="shared" si="158"/>
        <v>0</v>
      </c>
      <c r="O2360" s="13">
        <f t="shared" si="159"/>
        <v>0</v>
      </c>
    </row>
    <row r="2361" spans="2:15" ht="13.8" thickBot="1">
      <c r="B2361" s="14">
        <v>20</v>
      </c>
      <c r="C2361" s="15" t="s">
        <v>152</v>
      </c>
      <c r="D2361" s="15" t="s">
        <v>150</v>
      </c>
      <c r="E2361" s="15">
        <v>8</v>
      </c>
      <c r="F2361" s="15">
        <v>7</v>
      </c>
      <c r="G2361" s="15">
        <v>10</v>
      </c>
      <c r="H2361" s="121"/>
      <c r="I2361" s="121"/>
      <c r="J2361" s="121"/>
      <c r="K2361" s="121">
        <v>0</v>
      </c>
      <c r="L2361" s="14">
        <f t="shared" si="156"/>
        <v>0</v>
      </c>
      <c r="M2361" s="15">
        <f t="shared" si="157"/>
        <v>0</v>
      </c>
      <c r="N2361" s="15">
        <f t="shared" si="158"/>
        <v>0</v>
      </c>
      <c r="O2361" s="16">
        <f t="shared" si="159"/>
        <v>0</v>
      </c>
    </row>
    <row r="2362" spans="2:15">
      <c r="B2362" s="9">
        <v>20</v>
      </c>
      <c r="C2362" s="10" t="s">
        <v>152</v>
      </c>
      <c r="D2362" s="10" t="s">
        <v>150</v>
      </c>
      <c r="E2362" s="93">
        <v>9</v>
      </c>
      <c r="F2362" s="93">
        <v>5</v>
      </c>
      <c r="G2362" s="10">
        <v>1</v>
      </c>
      <c r="H2362" s="120">
        <v>1.3169999999999504</v>
      </c>
      <c r="I2362" s="120"/>
      <c r="J2362" s="120">
        <v>2.9809999999999945</v>
      </c>
      <c r="K2362" s="120">
        <v>4.297999999999945</v>
      </c>
      <c r="L2362" s="9">
        <f t="shared" si="156"/>
        <v>0.3649260337899663</v>
      </c>
      <c r="M2362" s="10">
        <f t="shared" si="157"/>
        <v>0</v>
      </c>
      <c r="N2362" s="10">
        <f t="shared" si="158"/>
        <v>0.5999921775840974</v>
      </c>
      <c r="O2362" s="11">
        <f t="shared" si="159"/>
        <v>0.72411195396120775</v>
      </c>
    </row>
    <row r="2363" spans="2:15">
      <c r="B2363" s="12">
        <v>20</v>
      </c>
      <c r="C2363" s="4" t="s">
        <v>152</v>
      </c>
      <c r="D2363" s="4" t="s">
        <v>150</v>
      </c>
      <c r="E2363" s="4">
        <v>9</v>
      </c>
      <c r="F2363" s="4">
        <v>5</v>
      </c>
      <c r="G2363" s="4">
        <v>2</v>
      </c>
      <c r="H2363" s="115">
        <v>1.3000000000000114</v>
      </c>
      <c r="I2363" s="115"/>
      <c r="J2363" s="115">
        <v>0.14999999999997726</v>
      </c>
      <c r="K2363" s="115">
        <v>1.4499999999999886</v>
      </c>
      <c r="L2363" s="12">
        <f t="shared" si="156"/>
        <v>0.36172783601759501</v>
      </c>
      <c r="M2363" s="4">
        <f t="shared" si="157"/>
        <v>0</v>
      </c>
      <c r="N2363" s="4">
        <f t="shared" si="158"/>
        <v>6.0697840353603094E-2</v>
      </c>
      <c r="O2363" s="13">
        <f t="shared" si="159"/>
        <v>0.38916608436453043</v>
      </c>
    </row>
    <row r="2364" spans="2:15">
      <c r="B2364" s="12">
        <v>20</v>
      </c>
      <c r="C2364" s="4" t="s">
        <v>152</v>
      </c>
      <c r="D2364" s="4" t="s">
        <v>150</v>
      </c>
      <c r="E2364" s="4">
        <v>9</v>
      </c>
      <c r="F2364" s="4">
        <v>5</v>
      </c>
      <c r="G2364" s="4">
        <v>3</v>
      </c>
      <c r="H2364" s="115"/>
      <c r="I2364" s="115"/>
      <c r="J2364" s="115"/>
      <c r="K2364" s="115">
        <v>0</v>
      </c>
      <c r="L2364" s="12">
        <f t="shared" si="156"/>
        <v>0</v>
      </c>
      <c r="M2364" s="4">
        <f t="shared" si="157"/>
        <v>0</v>
      </c>
      <c r="N2364" s="4">
        <f t="shared" si="158"/>
        <v>0</v>
      </c>
      <c r="O2364" s="13">
        <f t="shared" si="159"/>
        <v>0</v>
      </c>
    </row>
    <row r="2365" spans="2:15">
      <c r="B2365" s="12">
        <v>20</v>
      </c>
      <c r="C2365" s="4" t="s">
        <v>152</v>
      </c>
      <c r="D2365" s="4" t="s">
        <v>150</v>
      </c>
      <c r="E2365" s="4">
        <v>9</v>
      </c>
      <c r="F2365" s="4">
        <v>5</v>
      </c>
      <c r="G2365" s="4">
        <v>4</v>
      </c>
      <c r="H2365" s="115"/>
      <c r="I2365" s="115"/>
      <c r="J2365" s="115"/>
      <c r="K2365" s="115">
        <v>0</v>
      </c>
      <c r="L2365" s="12">
        <f t="shared" si="156"/>
        <v>0</v>
      </c>
      <c r="M2365" s="4">
        <f t="shared" si="157"/>
        <v>0</v>
      </c>
      <c r="N2365" s="4">
        <f t="shared" si="158"/>
        <v>0</v>
      </c>
      <c r="O2365" s="13">
        <f t="shared" si="159"/>
        <v>0</v>
      </c>
    </row>
    <row r="2366" spans="2:15">
      <c r="B2366" s="12">
        <v>20</v>
      </c>
      <c r="C2366" s="4" t="s">
        <v>152</v>
      </c>
      <c r="D2366" s="4" t="s">
        <v>150</v>
      </c>
      <c r="E2366" s="4">
        <v>9</v>
      </c>
      <c r="F2366" s="4">
        <v>5</v>
      </c>
      <c r="G2366" s="4">
        <v>5</v>
      </c>
      <c r="H2366" s="115"/>
      <c r="I2366" s="115"/>
      <c r="J2366" s="115"/>
      <c r="K2366" s="115">
        <v>0</v>
      </c>
      <c r="L2366" s="12">
        <f t="shared" si="156"/>
        <v>0</v>
      </c>
      <c r="M2366" s="4">
        <f t="shared" si="157"/>
        <v>0</v>
      </c>
      <c r="N2366" s="4">
        <f t="shared" si="158"/>
        <v>0</v>
      </c>
      <c r="O2366" s="13">
        <f t="shared" si="159"/>
        <v>0</v>
      </c>
    </row>
    <row r="2367" spans="2:15">
      <c r="B2367" s="12">
        <v>20</v>
      </c>
      <c r="C2367" s="4" t="s">
        <v>152</v>
      </c>
      <c r="D2367" s="4" t="s">
        <v>150</v>
      </c>
      <c r="E2367" s="4">
        <v>9</v>
      </c>
      <c r="F2367" s="4">
        <v>5</v>
      </c>
      <c r="G2367" s="4">
        <v>6</v>
      </c>
      <c r="H2367" s="115"/>
      <c r="I2367" s="115"/>
      <c r="J2367" s="115"/>
      <c r="K2367" s="115">
        <v>0</v>
      </c>
      <c r="L2367" s="12">
        <f t="shared" si="156"/>
        <v>0</v>
      </c>
      <c r="M2367" s="4">
        <f t="shared" si="157"/>
        <v>0</v>
      </c>
      <c r="N2367" s="4">
        <f t="shared" si="158"/>
        <v>0</v>
      </c>
      <c r="O2367" s="13">
        <f t="shared" si="159"/>
        <v>0</v>
      </c>
    </row>
    <row r="2368" spans="2:15">
      <c r="B2368" s="12">
        <v>20</v>
      </c>
      <c r="C2368" s="4" t="s">
        <v>152</v>
      </c>
      <c r="D2368" s="4" t="s">
        <v>150</v>
      </c>
      <c r="E2368" s="4">
        <v>9</v>
      </c>
      <c r="F2368" s="4">
        <v>5</v>
      </c>
      <c r="G2368" s="4">
        <v>7</v>
      </c>
      <c r="H2368" s="115"/>
      <c r="I2368" s="115"/>
      <c r="J2368" s="115"/>
      <c r="K2368" s="115">
        <v>0</v>
      </c>
      <c r="L2368" s="12">
        <f t="shared" si="156"/>
        <v>0</v>
      </c>
      <c r="M2368" s="4">
        <f t="shared" si="157"/>
        <v>0</v>
      </c>
      <c r="N2368" s="4">
        <f t="shared" si="158"/>
        <v>0</v>
      </c>
      <c r="O2368" s="13">
        <f t="shared" si="159"/>
        <v>0</v>
      </c>
    </row>
    <row r="2369" spans="2:15">
      <c r="B2369" s="12">
        <v>20</v>
      </c>
      <c r="C2369" s="4" t="s">
        <v>152</v>
      </c>
      <c r="D2369" s="4" t="s">
        <v>150</v>
      </c>
      <c r="E2369" s="4">
        <v>9</v>
      </c>
      <c r="F2369" s="4">
        <v>5</v>
      </c>
      <c r="G2369" s="4">
        <v>8</v>
      </c>
      <c r="H2369" s="115"/>
      <c r="I2369" s="115"/>
      <c r="J2369" s="115"/>
      <c r="K2369" s="115">
        <v>0</v>
      </c>
      <c r="L2369" s="12">
        <f t="shared" si="156"/>
        <v>0</v>
      </c>
      <c r="M2369" s="4">
        <f t="shared" si="157"/>
        <v>0</v>
      </c>
      <c r="N2369" s="4">
        <f t="shared" si="158"/>
        <v>0</v>
      </c>
      <c r="O2369" s="13">
        <f t="shared" si="159"/>
        <v>0</v>
      </c>
    </row>
    <row r="2370" spans="2:15">
      <c r="B2370" s="12">
        <v>20</v>
      </c>
      <c r="C2370" s="4" t="s">
        <v>152</v>
      </c>
      <c r="D2370" s="4" t="s">
        <v>150</v>
      </c>
      <c r="E2370" s="4">
        <v>9</v>
      </c>
      <c r="F2370" s="4">
        <v>5</v>
      </c>
      <c r="G2370" s="4">
        <v>9</v>
      </c>
      <c r="H2370" s="115"/>
      <c r="I2370" s="115"/>
      <c r="J2370" s="115"/>
      <c r="K2370" s="115">
        <v>0</v>
      </c>
      <c r="L2370" s="12">
        <f t="shared" si="156"/>
        <v>0</v>
      </c>
      <c r="M2370" s="4">
        <f t="shared" si="157"/>
        <v>0</v>
      </c>
      <c r="N2370" s="4">
        <f t="shared" si="158"/>
        <v>0</v>
      </c>
      <c r="O2370" s="13">
        <f t="shared" si="159"/>
        <v>0</v>
      </c>
    </row>
    <row r="2371" spans="2:15" ht="13.8" thickBot="1">
      <c r="B2371" s="14">
        <v>20</v>
      </c>
      <c r="C2371" s="15" t="s">
        <v>152</v>
      </c>
      <c r="D2371" s="15" t="s">
        <v>150</v>
      </c>
      <c r="E2371" s="15">
        <v>9</v>
      </c>
      <c r="F2371" s="15">
        <v>5</v>
      </c>
      <c r="G2371" s="15">
        <v>10</v>
      </c>
      <c r="H2371" s="121"/>
      <c r="I2371" s="121"/>
      <c r="J2371" s="121"/>
      <c r="K2371" s="121">
        <v>0</v>
      </c>
      <c r="L2371" s="14">
        <f t="shared" si="156"/>
        <v>0</v>
      </c>
      <c r="M2371" s="15">
        <f t="shared" si="157"/>
        <v>0</v>
      </c>
      <c r="N2371" s="15">
        <f t="shared" si="158"/>
        <v>0</v>
      </c>
      <c r="O2371" s="16">
        <f t="shared" si="159"/>
        <v>0</v>
      </c>
    </row>
    <row r="2372" spans="2:15">
      <c r="B2372" s="9">
        <v>20</v>
      </c>
      <c r="C2372" s="10" t="s">
        <v>152</v>
      </c>
      <c r="D2372" s="10" t="s">
        <v>154</v>
      </c>
      <c r="E2372" s="93">
        <v>10</v>
      </c>
      <c r="F2372" s="93">
        <v>3</v>
      </c>
      <c r="G2372" s="10">
        <v>1</v>
      </c>
      <c r="H2372" s="120">
        <v>1.2660000000000196</v>
      </c>
      <c r="I2372" s="120">
        <v>0.60099999999999909</v>
      </c>
      <c r="J2372" s="120">
        <v>0.70000000000001705</v>
      </c>
      <c r="K2372" s="120">
        <v>2.5670000000000357</v>
      </c>
      <c r="L2372" s="9">
        <f t="shared" si="156"/>
        <v>0.35525990552738218</v>
      </c>
      <c r="M2372" s="10">
        <f t="shared" si="157"/>
        <v>0.20439133191929948</v>
      </c>
      <c r="N2372" s="10">
        <f t="shared" si="158"/>
        <v>0.2304489213782783</v>
      </c>
      <c r="O2372" s="11">
        <f t="shared" si="159"/>
        <v>0.55230310933835836</v>
      </c>
    </row>
    <row r="2373" spans="2:15">
      <c r="B2373" s="12">
        <v>20</v>
      </c>
      <c r="C2373" s="4" t="s">
        <v>152</v>
      </c>
      <c r="D2373" s="4" t="s">
        <v>154</v>
      </c>
      <c r="E2373" s="4">
        <v>10</v>
      </c>
      <c r="F2373" s="4">
        <v>3</v>
      </c>
      <c r="G2373" s="4">
        <v>2</v>
      </c>
      <c r="H2373" s="115">
        <v>0.6839999999999975</v>
      </c>
      <c r="I2373" s="115"/>
      <c r="J2373" s="115"/>
      <c r="K2373" s="115">
        <v>0.6839999999999975</v>
      </c>
      <c r="L2373" s="12">
        <f t="shared" si="156"/>
        <v>0.22634208716363005</v>
      </c>
      <c r="M2373" s="4">
        <f t="shared" si="157"/>
        <v>0</v>
      </c>
      <c r="N2373" s="4">
        <f t="shared" si="158"/>
        <v>0</v>
      </c>
      <c r="O2373" s="13">
        <f t="shared" si="159"/>
        <v>0.22634208716363005</v>
      </c>
    </row>
    <row r="2374" spans="2:15">
      <c r="B2374" s="12">
        <v>20</v>
      </c>
      <c r="C2374" s="4" t="s">
        <v>152</v>
      </c>
      <c r="D2374" s="4" t="s">
        <v>154</v>
      </c>
      <c r="E2374" s="4">
        <v>10</v>
      </c>
      <c r="F2374" s="4">
        <v>3</v>
      </c>
      <c r="G2374" s="4">
        <v>3</v>
      </c>
      <c r="H2374" s="115"/>
      <c r="I2374" s="115"/>
      <c r="J2374" s="115"/>
      <c r="K2374" s="115">
        <v>0</v>
      </c>
      <c r="L2374" s="12">
        <f t="shared" si="156"/>
        <v>0</v>
      </c>
      <c r="M2374" s="4">
        <f t="shared" si="157"/>
        <v>0</v>
      </c>
      <c r="N2374" s="4">
        <f t="shared" si="158"/>
        <v>0</v>
      </c>
      <c r="O2374" s="13">
        <f t="shared" si="159"/>
        <v>0</v>
      </c>
    </row>
    <row r="2375" spans="2:15">
      <c r="B2375" s="12">
        <v>20</v>
      </c>
      <c r="C2375" s="4" t="s">
        <v>152</v>
      </c>
      <c r="D2375" s="4" t="s">
        <v>154</v>
      </c>
      <c r="E2375" s="4">
        <v>10</v>
      </c>
      <c r="F2375" s="4">
        <v>3</v>
      </c>
      <c r="G2375" s="4">
        <v>4</v>
      </c>
      <c r="H2375" s="115"/>
      <c r="I2375" s="115">
        <v>0.41800000000000637</v>
      </c>
      <c r="J2375" s="115"/>
      <c r="K2375" s="115">
        <v>0.41800000000000637</v>
      </c>
      <c r="L2375" s="12">
        <f t="shared" si="156"/>
        <v>0</v>
      </c>
      <c r="M2375" s="4">
        <f t="shared" si="157"/>
        <v>0.15167623084704968</v>
      </c>
      <c r="N2375" s="4">
        <f t="shared" si="158"/>
        <v>0</v>
      </c>
      <c r="O2375" s="13">
        <f t="shared" si="159"/>
        <v>0.15167623084704968</v>
      </c>
    </row>
    <row r="2376" spans="2:15">
      <c r="B2376" s="12">
        <v>20</v>
      </c>
      <c r="C2376" s="4" t="s">
        <v>152</v>
      </c>
      <c r="D2376" s="4" t="s">
        <v>154</v>
      </c>
      <c r="E2376" s="4">
        <v>10</v>
      </c>
      <c r="F2376" s="4">
        <v>3</v>
      </c>
      <c r="G2376" s="4">
        <v>5</v>
      </c>
      <c r="H2376" s="115"/>
      <c r="I2376" s="115"/>
      <c r="J2376" s="115"/>
      <c r="K2376" s="115">
        <v>0</v>
      </c>
      <c r="L2376" s="12">
        <f t="shared" si="156"/>
        <v>0</v>
      </c>
      <c r="M2376" s="4">
        <f t="shared" si="157"/>
        <v>0</v>
      </c>
      <c r="N2376" s="4">
        <f t="shared" si="158"/>
        <v>0</v>
      </c>
      <c r="O2376" s="13">
        <f t="shared" si="159"/>
        <v>0</v>
      </c>
    </row>
    <row r="2377" spans="2:15">
      <c r="B2377" s="12">
        <v>20</v>
      </c>
      <c r="C2377" s="4" t="s">
        <v>152</v>
      </c>
      <c r="D2377" s="4" t="s">
        <v>154</v>
      </c>
      <c r="E2377" s="4">
        <v>10</v>
      </c>
      <c r="F2377" s="4">
        <v>3</v>
      </c>
      <c r="G2377" s="4">
        <v>6</v>
      </c>
      <c r="H2377" s="115"/>
      <c r="I2377" s="115"/>
      <c r="J2377" s="115"/>
      <c r="K2377" s="115">
        <v>0</v>
      </c>
      <c r="L2377" s="12">
        <f t="shared" si="156"/>
        <v>0</v>
      </c>
      <c r="M2377" s="4">
        <f t="shared" si="157"/>
        <v>0</v>
      </c>
      <c r="N2377" s="4">
        <f t="shared" si="158"/>
        <v>0</v>
      </c>
      <c r="O2377" s="13">
        <f t="shared" si="159"/>
        <v>0</v>
      </c>
    </row>
    <row r="2378" spans="2:15">
      <c r="B2378" s="12">
        <v>20</v>
      </c>
      <c r="C2378" s="4" t="s">
        <v>152</v>
      </c>
      <c r="D2378" s="4" t="s">
        <v>154</v>
      </c>
      <c r="E2378" s="4">
        <v>10</v>
      </c>
      <c r="F2378" s="4">
        <v>3</v>
      </c>
      <c r="G2378" s="4">
        <v>7</v>
      </c>
      <c r="H2378" s="115"/>
      <c r="I2378" s="115"/>
      <c r="J2378" s="115"/>
      <c r="K2378" s="115">
        <v>0</v>
      </c>
      <c r="L2378" s="12">
        <f t="shared" si="156"/>
        <v>0</v>
      </c>
      <c r="M2378" s="4">
        <f t="shared" si="157"/>
        <v>0</v>
      </c>
      <c r="N2378" s="4">
        <f t="shared" si="158"/>
        <v>0</v>
      </c>
      <c r="O2378" s="13">
        <f t="shared" si="159"/>
        <v>0</v>
      </c>
    </row>
    <row r="2379" spans="2:15">
      <c r="B2379" s="12">
        <v>20</v>
      </c>
      <c r="C2379" s="4" t="s">
        <v>152</v>
      </c>
      <c r="D2379" s="4" t="s">
        <v>154</v>
      </c>
      <c r="E2379" s="4">
        <v>10</v>
      </c>
      <c r="F2379" s="4">
        <v>3</v>
      </c>
      <c r="G2379" s="4">
        <v>8</v>
      </c>
      <c r="H2379" s="115"/>
      <c r="I2379" s="115"/>
      <c r="J2379" s="115"/>
      <c r="K2379" s="115">
        <v>0</v>
      </c>
      <c r="L2379" s="12">
        <f t="shared" si="156"/>
        <v>0</v>
      </c>
      <c r="M2379" s="4">
        <f t="shared" si="157"/>
        <v>0</v>
      </c>
      <c r="N2379" s="4">
        <f t="shared" si="158"/>
        <v>0</v>
      </c>
      <c r="O2379" s="13">
        <f t="shared" si="159"/>
        <v>0</v>
      </c>
    </row>
    <row r="2380" spans="2:15">
      <c r="B2380" s="12">
        <v>20</v>
      </c>
      <c r="C2380" s="4" t="s">
        <v>152</v>
      </c>
      <c r="D2380" s="4" t="s">
        <v>154</v>
      </c>
      <c r="E2380" s="4">
        <v>10</v>
      </c>
      <c r="F2380" s="4">
        <v>3</v>
      </c>
      <c r="G2380" s="4">
        <v>9</v>
      </c>
      <c r="H2380" s="115"/>
      <c r="I2380" s="115"/>
      <c r="J2380" s="115"/>
      <c r="K2380" s="115">
        <v>0</v>
      </c>
      <c r="L2380" s="12">
        <f t="shared" si="156"/>
        <v>0</v>
      </c>
      <c r="M2380" s="4">
        <f t="shared" si="157"/>
        <v>0</v>
      </c>
      <c r="N2380" s="4">
        <f t="shared" si="158"/>
        <v>0</v>
      </c>
      <c r="O2380" s="13">
        <f t="shared" si="159"/>
        <v>0</v>
      </c>
    </row>
    <row r="2381" spans="2:15" ht="13.8" thickBot="1">
      <c r="B2381" s="14">
        <v>20</v>
      </c>
      <c r="C2381" s="15" t="s">
        <v>152</v>
      </c>
      <c r="D2381" s="15" t="s">
        <v>154</v>
      </c>
      <c r="E2381" s="15">
        <v>10</v>
      </c>
      <c r="F2381" s="15">
        <v>3</v>
      </c>
      <c r="G2381" s="15">
        <v>10</v>
      </c>
      <c r="H2381" s="121"/>
      <c r="I2381" s="121"/>
      <c r="J2381" s="121"/>
      <c r="K2381" s="121">
        <v>0</v>
      </c>
      <c r="L2381" s="14">
        <f t="shared" si="156"/>
        <v>0</v>
      </c>
      <c r="M2381" s="15">
        <f t="shared" si="157"/>
        <v>0</v>
      </c>
      <c r="N2381" s="15">
        <f t="shared" si="158"/>
        <v>0</v>
      </c>
      <c r="O2381" s="16">
        <f t="shared" si="159"/>
        <v>0</v>
      </c>
    </row>
    <row r="2382" spans="2:15">
      <c r="B2382" s="9">
        <v>20</v>
      </c>
      <c r="C2382" s="10" t="s">
        <v>152</v>
      </c>
      <c r="D2382" s="10" t="s">
        <v>154</v>
      </c>
      <c r="E2382" s="93">
        <v>11</v>
      </c>
      <c r="F2382" s="93">
        <v>1</v>
      </c>
      <c r="G2382" s="10">
        <v>1</v>
      </c>
      <c r="H2382" s="120">
        <v>1.4500000000000028</v>
      </c>
      <c r="I2382" s="120">
        <v>1.5170000000000101</v>
      </c>
      <c r="J2382" s="120">
        <v>0.98400000000003729</v>
      </c>
      <c r="K2382" s="120">
        <v>3.9510000000000502</v>
      </c>
      <c r="L2382" s="9">
        <f t="shared" si="156"/>
        <v>0.38916608436453298</v>
      </c>
      <c r="M2382" s="10">
        <f t="shared" si="157"/>
        <v>0.40088321554836448</v>
      </c>
      <c r="N2382" s="10">
        <f t="shared" si="158"/>
        <v>0.29754166781816799</v>
      </c>
      <c r="O2382" s="11">
        <f t="shared" si="159"/>
        <v>0.69469292633148849</v>
      </c>
    </row>
    <row r="2383" spans="2:15">
      <c r="B2383" s="12">
        <v>20</v>
      </c>
      <c r="C2383" s="4" t="s">
        <v>152</v>
      </c>
      <c r="D2383" s="4" t="s">
        <v>154</v>
      </c>
      <c r="E2383" s="4">
        <v>11</v>
      </c>
      <c r="F2383" s="4">
        <v>1</v>
      </c>
      <c r="G2383" s="4">
        <v>2</v>
      </c>
      <c r="H2383" s="115">
        <v>0.30099999999998772</v>
      </c>
      <c r="I2383" s="115">
        <v>9.9999999999994316E-2</v>
      </c>
      <c r="J2383" s="115"/>
      <c r="K2383" s="115">
        <v>0.40099999999998204</v>
      </c>
      <c r="L2383" s="12">
        <f t="shared" si="156"/>
        <v>0.11427729656158216</v>
      </c>
      <c r="M2383" s="4">
        <f t="shared" si="157"/>
        <v>4.1392685158222794E-2</v>
      </c>
      <c r="N2383" s="4">
        <f t="shared" si="158"/>
        <v>0</v>
      </c>
      <c r="O2383" s="13">
        <f t="shared" si="159"/>
        <v>0.14643813528576904</v>
      </c>
    </row>
    <row r="2384" spans="2:15">
      <c r="B2384" s="12">
        <v>20</v>
      </c>
      <c r="C2384" s="4" t="s">
        <v>152</v>
      </c>
      <c r="D2384" s="4" t="s">
        <v>154</v>
      </c>
      <c r="E2384" s="4">
        <v>11</v>
      </c>
      <c r="F2384" s="4">
        <v>1</v>
      </c>
      <c r="G2384" s="4">
        <v>3</v>
      </c>
      <c r="H2384" s="115">
        <v>0.83199999999999363</v>
      </c>
      <c r="I2384" s="115">
        <v>0.31700000000002149</v>
      </c>
      <c r="J2384" s="115">
        <v>0.20099999999999341</v>
      </c>
      <c r="K2384" s="115">
        <v>1.3500000000000085</v>
      </c>
      <c r="L2384" s="12">
        <f t="shared" si="156"/>
        <v>0.26292546933183009</v>
      </c>
      <c r="M2384" s="4">
        <f t="shared" si="157"/>
        <v>0.11958577496179089</v>
      </c>
      <c r="N2384" s="4">
        <f t="shared" si="158"/>
        <v>7.9543007402903668E-2</v>
      </c>
      <c r="O2384" s="13">
        <f t="shared" si="159"/>
        <v>0.37106786227173782</v>
      </c>
    </row>
    <row r="2385" spans="2:15">
      <c r="B2385" s="12">
        <v>20</v>
      </c>
      <c r="C2385" s="4" t="s">
        <v>152</v>
      </c>
      <c r="D2385" s="4" t="s">
        <v>154</v>
      </c>
      <c r="E2385" s="4">
        <v>11</v>
      </c>
      <c r="F2385" s="4">
        <v>1</v>
      </c>
      <c r="G2385" s="4">
        <v>4</v>
      </c>
      <c r="H2385" s="115"/>
      <c r="I2385" s="115">
        <v>0.70000000000000284</v>
      </c>
      <c r="J2385" s="115"/>
      <c r="K2385" s="115">
        <v>0.70000000000000284</v>
      </c>
      <c r="L2385" s="12">
        <f t="shared" si="156"/>
        <v>0</v>
      </c>
      <c r="M2385" s="4">
        <f t="shared" si="157"/>
        <v>0.23044892137827466</v>
      </c>
      <c r="N2385" s="4">
        <f t="shared" si="158"/>
        <v>0</v>
      </c>
      <c r="O2385" s="13">
        <f t="shared" si="159"/>
        <v>0.23044892137827466</v>
      </c>
    </row>
    <row r="2386" spans="2:15">
      <c r="B2386" s="12">
        <v>20</v>
      </c>
      <c r="C2386" s="4" t="s">
        <v>152</v>
      </c>
      <c r="D2386" s="4" t="s">
        <v>154</v>
      </c>
      <c r="E2386" s="4">
        <v>11</v>
      </c>
      <c r="F2386" s="4">
        <v>1</v>
      </c>
      <c r="G2386" s="4">
        <v>5</v>
      </c>
      <c r="H2386" s="115"/>
      <c r="I2386" s="115"/>
      <c r="J2386" s="115"/>
      <c r="K2386" s="115">
        <v>0</v>
      </c>
      <c r="L2386" s="12">
        <f t="shared" si="156"/>
        <v>0</v>
      </c>
      <c r="M2386" s="4">
        <f t="shared" si="157"/>
        <v>0</v>
      </c>
      <c r="N2386" s="4">
        <f t="shared" si="158"/>
        <v>0</v>
      </c>
      <c r="O2386" s="13">
        <f t="shared" si="159"/>
        <v>0</v>
      </c>
    </row>
    <row r="2387" spans="2:15">
      <c r="B2387" s="12">
        <v>20</v>
      </c>
      <c r="C2387" s="4" t="s">
        <v>152</v>
      </c>
      <c r="D2387" s="4" t="s">
        <v>154</v>
      </c>
      <c r="E2387" s="4">
        <v>11</v>
      </c>
      <c r="F2387" s="4">
        <v>1</v>
      </c>
      <c r="G2387" s="4">
        <v>6</v>
      </c>
      <c r="H2387" s="115"/>
      <c r="I2387" s="115"/>
      <c r="J2387" s="115"/>
      <c r="K2387" s="115">
        <v>0</v>
      </c>
      <c r="L2387" s="12">
        <f t="shared" si="156"/>
        <v>0</v>
      </c>
      <c r="M2387" s="4">
        <f t="shared" si="157"/>
        <v>0</v>
      </c>
      <c r="N2387" s="4">
        <f t="shared" si="158"/>
        <v>0</v>
      </c>
      <c r="O2387" s="13">
        <f t="shared" si="159"/>
        <v>0</v>
      </c>
    </row>
    <row r="2388" spans="2:15">
      <c r="B2388" s="12">
        <v>20</v>
      </c>
      <c r="C2388" s="4" t="s">
        <v>152</v>
      </c>
      <c r="D2388" s="4" t="s">
        <v>154</v>
      </c>
      <c r="E2388" s="4">
        <v>11</v>
      </c>
      <c r="F2388" s="4">
        <v>1</v>
      </c>
      <c r="G2388" s="4">
        <v>7</v>
      </c>
      <c r="H2388" s="115"/>
      <c r="I2388" s="115"/>
      <c r="J2388" s="115"/>
      <c r="K2388" s="115">
        <v>0</v>
      </c>
      <c r="L2388" s="12">
        <f t="shared" si="156"/>
        <v>0</v>
      </c>
      <c r="M2388" s="4">
        <f t="shared" si="157"/>
        <v>0</v>
      </c>
      <c r="N2388" s="4">
        <f t="shared" si="158"/>
        <v>0</v>
      </c>
      <c r="O2388" s="13">
        <f t="shared" si="159"/>
        <v>0</v>
      </c>
    </row>
    <row r="2389" spans="2:15">
      <c r="B2389" s="12">
        <v>20</v>
      </c>
      <c r="C2389" s="4" t="s">
        <v>152</v>
      </c>
      <c r="D2389" s="4" t="s">
        <v>154</v>
      </c>
      <c r="E2389" s="4">
        <v>11</v>
      </c>
      <c r="F2389" s="4">
        <v>1</v>
      </c>
      <c r="G2389" s="4">
        <v>8</v>
      </c>
      <c r="H2389" s="115"/>
      <c r="I2389" s="115"/>
      <c r="J2389" s="115"/>
      <c r="K2389" s="115">
        <v>0</v>
      </c>
      <c r="L2389" s="12">
        <f t="shared" si="156"/>
        <v>0</v>
      </c>
      <c r="M2389" s="4">
        <f t="shared" si="157"/>
        <v>0</v>
      </c>
      <c r="N2389" s="4">
        <f t="shared" si="158"/>
        <v>0</v>
      </c>
      <c r="O2389" s="13">
        <f t="shared" si="159"/>
        <v>0</v>
      </c>
    </row>
    <row r="2390" spans="2:15">
      <c r="B2390" s="12">
        <v>20</v>
      </c>
      <c r="C2390" s="4" t="s">
        <v>152</v>
      </c>
      <c r="D2390" s="4" t="s">
        <v>154</v>
      </c>
      <c r="E2390" s="4">
        <v>11</v>
      </c>
      <c r="F2390" s="4">
        <v>1</v>
      </c>
      <c r="G2390" s="4">
        <v>9</v>
      </c>
      <c r="H2390" s="115"/>
      <c r="I2390" s="115"/>
      <c r="J2390" s="115"/>
      <c r="K2390" s="115">
        <v>0</v>
      </c>
      <c r="L2390" s="12">
        <f t="shared" si="156"/>
        <v>0</v>
      </c>
      <c r="M2390" s="4">
        <f t="shared" si="157"/>
        <v>0</v>
      </c>
      <c r="N2390" s="4">
        <f t="shared" si="158"/>
        <v>0</v>
      </c>
      <c r="O2390" s="13">
        <f t="shared" si="159"/>
        <v>0</v>
      </c>
    </row>
    <row r="2391" spans="2:15" ht="13.8" thickBot="1">
      <c r="B2391" s="14">
        <v>20</v>
      </c>
      <c r="C2391" s="15" t="s">
        <v>152</v>
      </c>
      <c r="D2391" s="15" t="s">
        <v>154</v>
      </c>
      <c r="E2391" s="15">
        <v>11</v>
      </c>
      <c r="F2391" s="15">
        <v>1</v>
      </c>
      <c r="G2391" s="15">
        <v>10</v>
      </c>
      <c r="H2391" s="121"/>
      <c r="I2391" s="121"/>
      <c r="J2391" s="121"/>
      <c r="K2391" s="121">
        <v>0</v>
      </c>
      <c r="L2391" s="14">
        <f t="shared" si="156"/>
        <v>0</v>
      </c>
      <c r="M2391" s="15">
        <f t="shared" si="157"/>
        <v>0</v>
      </c>
      <c r="N2391" s="15">
        <f t="shared" si="158"/>
        <v>0</v>
      </c>
      <c r="O2391" s="16">
        <f t="shared" si="159"/>
        <v>0</v>
      </c>
    </row>
    <row r="2392" spans="2:15">
      <c r="B2392" s="9">
        <v>20</v>
      </c>
      <c r="C2392" s="10" t="s">
        <v>152</v>
      </c>
      <c r="D2392" s="10" t="s">
        <v>149</v>
      </c>
      <c r="E2392" s="93">
        <v>12</v>
      </c>
      <c r="F2392" s="93">
        <v>9</v>
      </c>
      <c r="G2392" s="10">
        <v>1</v>
      </c>
      <c r="H2392" s="120">
        <v>0.33299999999996999</v>
      </c>
      <c r="I2392" s="120">
        <v>1.5010000000000332</v>
      </c>
      <c r="J2392" s="120"/>
      <c r="K2392" s="120">
        <v>1.8340000000000032</v>
      </c>
      <c r="L2392" s="9">
        <f t="shared" si="156"/>
        <v>0.12483014941384943</v>
      </c>
      <c r="M2392" s="10">
        <f t="shared" si="157"/>
        <v>0.39811369173050831</v>
      </c>
      <c r="N2392" s="10">
        <f t="shared" si="158"/>
        <v>0</v>
      </c>
      <c r="O2392" s="11">
        <f t="shared" si="159"/>
        <v>0.45239984591144211</v>
      </c>
    </row>
    <row r="2393" spans="2:15">
      <c r="B2393" s="12">
        <v>20</v>
      </c>
      <c r="C2393" s="4" t="s">
        <v>152</v>
      </c>
      <c r="D2393" s="4" t="s">
        <v>149</v>
      </c>
      <c r="E2393" s="4">
        <v>12</v>
      </c>
      <c r="F2393" s="4">
        <v>9</v>
      </c>
      <c r="G2393" s="4">
        <v>2</v>
      </c>
      <c r="H2393" s="115"/>
      <c r="I2393" s="115"/>
      <c r="J2393" s="115"/>
      <c r="K2393" s="115">
        <v>0</v>
      </c>
      <c r="L2393" s="12">
        <f t="shared" si="156"/>
        <v>0</v>
      </c>
      <c r="M2393" s="4">
        <f t="shared" si="157"/>
        <v>0</v>
      </c>
      <c r="N2393" s="4">
        <f t="shared" si="158"/>
        <v>0</v>
      </c>
      <c r="O2393" s="13">
        <f t="shared" si="159"/>
        <v>0</v>
      </c>
    </row>
    <row r="2394" spans="2:15">
      <c r="B2394" s="12">
        <v>20</v>
      </c>
      <c r="C2394" s="4" t="s">
        <v>152</v>
      </c>
      <c r="D2394" s="4" t="s">
        <v>149</v>
      </c>
      <c r="E2394" s="4">
        <v>12</v>
      </c>
      <c r="F2394" s="4">
        <v>9</v>
      </c>
      <c r="G2394" s="4">
        <v>3</v>
      </c>
      <c r="H2394" s="115"/>
      <c r="I2394" s="115"/>
      <c r="J2394" s="115">
        <v>0.19999999999998863</v>
      </c>
      <c r="K2394" s="115">
        <v>0.19999999999998863</v>
      </c>
      <c r="L2394" s="12">
        <f t="shared" si="156"/>
        <v>0</v>
      </c>
      <c r="M2394" s="4">
        <f t="shared" si="157"/>
        <v>0</v>
      </c>
      <c r="N2394" s="4">
        <f t="shared" si="158"/>
        <v>7.918124604762071E-2</v>
      </c>
      <c r="O2394" s="13">
        <f t="shared" si="159"/>
        <v>7.918124604762071E-2</v>
      </c>
    </row>
    <row r="2395" spans="2:15">
      <c r="B2395" s="12">
        <v>20</v>
      </c>
      <c r="C2395" s="4" t="s">
        <v>152</v>
      </c>
      <c r="D2395" s="4" t="s">
        <v>149</v>
      </c>
      <c r="E2395" s="4">
        <v>12</v>
      </c>
      <c r="F2395" s="4">
        <v>9</v>
      </c>
      <c r="G2395" s="4">
        <v>4</v>
      </c>
      <c r="H2395" s="115"/>
      <c r="I2395" s="115"/>
      <c r="J2395" s="115"/>
      <c r="K2395" s="115">
        <v>0</v>
      </c>
      <c r="L2395" s="12">
        <f t="shared" si="156"/>
        <v>0</v>
      </c>
      <c r="M2395" s="4">
        <f t="shared" si="157"/>
        <v>0</v>
      </c>
      <c r="N2395" s="4">
        <f t="shared" si="158"/>
        <v>0</v>
      </c>
      <c r="O2395" s="13">
        <f t="shared" si="159"/>
        <v>0</v>
      </c>
    </row>
    <row r="2396" spans="2:15">
      <c r="B2396" s="12">
        <v>20</v>
      </c>
      <c r="C2396" s="4" t="s">
        <v>152</v>
      </c>
      <c r="D2396" s="4" t="s">
        <v>149</v>
      </c>
      <c r="E2396" s="4">
        <v>12</v>
      </c>
      <c r="F2396" s="4">
        <v>9</v>
      </c>
      <c r="G2396" s="4">
        <v>5</v>
      </c>
      <c r="H2396" s="115"/>
      <c r="I2396" s="115"/>
      <c r="J2396" s="115"/>
      <c r="K2396" s="115">
        <v>0</v>
      </c>
      <c r="L2396" s="12">
        <f t="shared" si="156"/>
        <v>0</v>
      </c>
      <c r="M2396" s="4">
        <f t="shared" si="157"/>
        <v>0</v>
      </c>
      <c r="N2396" s="4">
        <f t="shared" si="158"/>
        <v>0</v>
      </c>
      <c r="O2396" s="13">
        <f t="shared" si="159"/>
        <v>0</v>
      </c>
    </row>
    <row r="2397" spans="2:15">
      <c r="B2397" s="12">
        <v>20</v>
      </c>
      <c r="C2397" s="4" t="s">
        <v>152</v>
      </c>
      <c r="D2397" s="4" t="s">
        <v>149</v>
      </c>
      <c r="E2397" s="4">
        <v>12</v>
      </c>
      <c r="F2397" s="4">
        <v>9</v>
      </c>
      <c r="G2397" s="4">
        <v>6</v>
      </c>
      <c r="H2397" s="115"/>
      <c r="I2397" s="115"/>
      <c r="J2397" s="115"/>
      <c r="K2397" s="115">
        <v>0</v>
      </c>
      <c r="L2397" s="12">
        <f t="shared" si="156"/>
        <v>0</v>
      </c>
      <c r="M2397" s="4">
        <f t="shared" si="157"/>
        <v>0</v>
      </c>
      <c r="N2397" s="4">
        <f t="shared" si="158"/>
        <v>0</v>
      </c>
      <c r="O2397" s="13">
        <f t="shared" si="159"/>
        <v>0</v>
      </c>
    </row>
    <row r="2398" spans="2:15">
      <c r="B2398" s="12">
        <v>20</v>
      </c>
      <c r="C2398" s="4" t="s">
        <v>152</v>
      </c>
      <c r="D2398" s="4" t="s">
        <v>149</v>
      </c>
      <c r="E2398" s="4">
        <v>12</v>
      </c>
      <c r="F2398" s="4">
        <v>9</v>
      </c>
      <c r="G2398" s="4">
        <v>7</v>
      </c>
      <c r="H2398" s="115"/>
      <c r="I2398" s="115"/>
      <c r="J2398" s="115"/>
      <c r="K2398" s="115">
        <v>0</v>
      </c>
      <c r="L2398" s="12">
        <f t="shared" si="156"/>
        <v>0</v>
      </c>
      <c r="M2398" s="4">
        <f t="shared" si="157"/>
        <v>0</v>
      </c>
      <c r="N2398" s="4">
        <f t="shared" si="158"/>
        <v>0</v>
      </c>
      <c r="O2398" s="13">
        <f t="shared" si="159"/>
        <v>0</v>
      </c>
    </row>
    <row r="2399" spans="2:15">
      <c r="B2399" s="12">
        <v>20</v>
      </c>
      <c r="C2399" s="4" t="s">
        <v>152</v>
      </c>
      <c r="D2399" s="4" t="s">
        <v>149</v>
      </c>
      <c r="E2399" s="4">
        <v>12</v>
      </c>
      <c r="F2399" s="4">
        <v>9</v>
      </c>
      <c r="G2399" s="4">
        <v>8</v>
      </c>
      <c r="H2399" s="115"/>
      <c r="I2399" s="115"/>
      <c r="J2399" s="115"/>
      <c r="K2399" s="115">
        <v>0</v>
      </c>
      <c r="L2399" s="12">
        <f t="shared" si="156"/>
        <v>0</v>
      </c>
      <c r="M2399" s="4">
        <f t="shared" si="157"/>
        <v>0</v>
      </c>
      <c r="N2399" s="4">
        <f t="shared" si="158"/>
        <v>0</v>
      </c>
      <c r="O2399" s="13">
        <f t="shared" si="159"/>
        <v>0</v>
      </c>
    </row>
    <row r="2400" spans="2:15">
      <c r="B2400" s="12">
        <v>20</v>
      </c>
      <c r="C2400" s="4" t="s">
        <v>152</v>
      </c>
      <c r="D2400" s="4" t="s">
        <v>149</v>
      </c>
      <c r="E2400" s="4">
        <v>12</v>
      </c>
      <c r="F2400" s="4">
        <v>9</v>
      </c>
      <c r="G2400" s="4">
        <v>9</v>
      </c>
      <c r="H2400" s="115"/>
      <c r="I2400" s="115"/>
      <c r="J2400" s="115"/>
      <c r="K2400" s="115">
        <v>0</v>
      </c>
      <c r="L2400" s="12">
        <f t="shared" si="156"/>
        <v>0</v>
      </c>
      <c r="M2400" s="4">
        <f t="shared" si="157"/>
        <v>0</v>
      </c>
      <c r="N2400" s="4">
        <f t="shared" si="158"/>
        <v>0</v>
      </c>
      <c r="O2400" s="13">
        <f t="shared" si="159"/>
        <v>0</v>
      </c>
    </row>
    <row r="2401" spans="2:15" ht="13.8" thickBot="1">
      <c r="B2401" s="14">
        <v>20</v>
      </c>
      <c r="C2401" s="15" t="s">
        <v>152</v>
      </c>
      <c r="D2401" s="15" t="s">
        <v>149</v>
      </c>
      <c r="E2401" s="15">
        <v>12</v>
      </c>
      <c r="F2401" s="15">
        <v>9</v>
      </c>
      <c r="G2401" s="15">
        <v>10</v>
      </c>
      <c r="H2401" s="121"/>
      <c r="I2401" s="121"/>
      <c r="J2401" s="121"/>
      <c r="K2401" s="121">
        <v>0</v>
      </c>
      <c r="L2401" s="14">
        <f t="shared" si="156"/>
        <v>0</v>
      </c>
      <c r="M2401" s="15">
        <f t="shared" si="157"/>
        <v>0</v>
      </c>
      <c r="N2401" s="15">
        <f t="shared" si="158"/>
        <v>0</v>
      </c>
      <c r="O2401" s="16">
        <f t="shared" si="159"/>
        <v>0</v>
      </c>
    </row>
    <row r="2402" spans="2:15">
      <c r="B2402" s="9">
        <v>21</v>
      </c>
      <c r="C2402" s="10" t="s">
        <v>151</v>
      </c>
      <c r="D2402" s="10" t="s">
        <v>150</v>
      </c>
      <c r="E2402" s="93">
        <v>1</v>
      </c>
      <c r="F2402" s="93">
        <v>12</v>
      </c>
      <c r="G2402" s="10">
        <v>1</v>
      </c>
      <c r="H2402" s="120">
        <v>2.7010000000001355</v>
      </c>
      <c r="I2402" s="120">
        <v>1.6979999999998654</v>
      </c>
      <c r="J2402" s="120">
        <v>4.6660000000001673</v>
      </c>
      <c r="K2402" s="120">
        <v>9.0650000000001683</v>
      </c>
      <c r="L2402" s="9">
        <f t="shared" si="156"/>
        <v>0.56831908509512763</v>
      </c>
      <c r="M2402" s="10">
        <f t="shared" si="157"/>
        <v>0.43104194533586376</v>
      </c>
      <c r="N2402" s="10">
        <f t="shared" si="158"/>
        <v>0.75327657018443117</v>
      </c>
      <c r="O2402" s="11">
        <f t="shared" si="159"/>
        <v>1.0028137792246805</v>
      </c>
    </row>
    <row r="2403" spans="2:15">
      <c r="B2403" s="12">
        <v>21</v>
      </c>
      <c r="C2403" s="4" t="s">
        <v>151</v>
      </c>
      <c r="D2403" s="4" t="s">
        <v>150</v>
      </c>
      <c r="E2403" s="4">
        <v>1</v>
      </c>
      <c r="F2403" s="4">
        <v>12</v>
      </c>
      <c r="G2403" s="4">
        <v>2</v>
      </c>
      <c r="H2403" s="115">
        <v>0.30000000000006821</v>
      </c>
      <c r="I2403" s="115">
        <v>0.3329999999998563</v>
      </c>
      <c r="J2403" s="115"/>
      <c r="K2403" s="115">
        <v>0.63299999999992451</v>
      </c>
      <c r="L2403" s="12">
        <f t="shared" si="156"/>
        <v>0.11394335230685956</v>
      </c>
      <c r="M2403" s="4">
        <f t="shared" si="157"/>
        <v>0.12483014941381239</v>
      </c>
      <c r="N2403" s="4">
        <f t="shared" si="158"/>
        <v>0</v>
      </c>
      <c r="O2403" s="13">
        <f t="shared" si="159"/>
        <v>0.2129861847366481</v>
      </c>
    </row>
    <row r="2404" spans="2:15">
      <c r="B2404" s="12">
        <v>21</v>
      </c>
      <c r="C2404" s="4" t="s">
        <v>151</v>
      </c>
      <c r="D2404" s="4" t="s">
        <v>150</v>
      </c>
      <c r="E2404" s="4">
        <v>1</v>
      </c>
      <c r="F2404" s="4">
        <v>12</v>
      </c>
      <c r="G2404" s="4">
        <v>3</v>
      </c>
      <c r="H2404" s="115">
        <v>0.58400000000006003</v>
      </c>
      <c r="I2404" s="115">
        <v>0.41600000000005366</v>
      </c>
      <c r="J2404" s="115">
        <v>3.468000000000302</v>
      </c>
      <c r="K2404" s="115">
        <v>4.4680000000004156</v>
      </c>
      <c r="L2404" s="12">
        <f t="shared" si="156"/>
        <v>0.19975517725349115</v>
      </c>
      <c r="M2404" s="4">
        <f t="shared" si="157"/>
        <v>0.15106325335376666</v>
      </c>
      <c r="N2404" s="4">
        <f t="shared" si="158"/>
        <v>0.65011316444360079</v>
      </c>
      <c r="O2404" s="13">
        <f t="shared" si="159"/>
        <v>0.73782850589581772</v>
      </c>
    </row>
    <row r="2405" spans="2:15">
      <c r="B2405" s="12">
        <v>21</v>
      </c>
      <c r="C2405" s="4" t="s">
        <v>151</v>
      </c>
      <c r="D2405" s="4" t="s">
        <v>150</v>
      </c>
      <c r="E2405" s="4">
        <v>1</v>
      </c>
      <c r="F2405" s="4">
        <v>12</v>
      </c>
      <c r="G2405" s="4">
        <v>4</v>
      </c>
      <c r="H2405" s="115">
        <v>0.13299999999992451</v>
      </c>
      <c r="I2405" s="115">
        <v>1.0839999999999463</v>
      </c>
      <c r="J2405" s="115">
        <v>3.7679999999998017</v>
      </c>
      <c r="K2405" s="115">
        <v>4.9849999999996726</v>
      </c>
      <c r="L2405" s="12">
        <f t="shared" si="156"/>
        <v>5.4229909863368307E-2</v>
      </c>
      <c r="M2405" s="4">
        <f t="shared" si="157"/>
        <v>0.31889771462747568</v>
      </c>
      <c r="N2405" s="4">
        <f t="shared" si="158"/>
        <v>0.67833624673216197</v>
      </c>
      <c r="O2405" s="13">
        <f t="shared" si="159"/>
        <v>0.77706415474240575</v>
      </c>
    </row>
    <row r="2406" spans="2:15">
      <c r="B2406" s="12">
        <v>21</v>
      </c>
      <c r="C2406" s="4" t="s">
        <v>151</v>
      </c>
      <c r="D2406" s="4" t="s">
        <v>150</v>
      </c>
      <c r="E2406" s="4">
        <v>1</v>
      </c>
      <c r="F2406" s="4">
        <v>12</v>
      </c>
      <c r="G2406" s="4">
        <v>5</v>
      </c>
      <c r="H2406" s="115">
        <v>1.1649999999999636</v>
      </c>
      <c r="I2406" s="115"/>
      <c r="J2406" s="115">
        <v>0.25</v>
      </c>
      <c r="K2406" s="115">
        <v>1.4149999999999636</v>
      </c>
      <c r="L2406" s="12">
        <f t="shared" si="156"/>
        <v>0.33545790068937698</v>
      </c>
      <c r="M2406" s="4">
        <f t="shared" si="157"/>
        <v>0</v>
      </c>
      <c r="N2406" s="4">
        <f t="shared" si="158"/>
        <v>9.691001300805642E-2</v>
      </c>
      <c r="O2406" s="13">
        <f t="shared" si="159"/>
        <v>0.3829171350875244</v>
      </c>
    </row>
    <row r="2407" spans="2:15">
      <c r="B2407" s="12">
        <v>21</v>
      </c>
      <c r="C2407" s="4" t="s">
        <v>151</v>
      </c>
      <c r="D2407" s="4" t="s">
        <v>150</v>
      </c>
      <c r="E2407" s="4">
        <v>1</v>
      </c>
      <c r="F2407" s="4">
        <v>12</v>
      </c>
      <c r="G2407" s="4">
        <v>6</v>
      </c>
      <c r="H2407" s="115"/>
      <c r="I2407" s="115"/>
      <c r="J2407" s="115"/>
      <c r="K2407" s="115">
        <v>0</v>
      </c>
      <c r="L2407" s="12">
        <f t="shared" ref="L2407:L2470" si="160">LOG10(H2407+1)</f>
        <v>0</v>
      </c>
      <c r="M2407" s="4">
        <f t="shared" ref="M2407:M2470" si="161">LOG10(I2407+1)</f>
        <v>0</v>
      </c>
      <c r="N2407" s="4">
        <f t="shared" ref="N2407:N2470" si="162">LOG10(J2407+1)</f>
        <v>0</v>
      </c>
      <c r="O2407" s="13">
        <f t="shared" ref="O2407:O2470" si="163">LOG10(K2407+1)</f>
        <v>0</v>
      </c>
    </row>
    <row r="2408" spans="2:15">
      <c r="B2408" s="12">
        <v>21</v>
      </c>
      <c r="C2408" s="4" t="s">
        <v>151</v>
      </c>
      <c r="D2408" s="4" t="s">
        <v>150</v>
      </c>
      <c r="E2408" s="4">
        <v>1</v>
      </c>
      <c r="F2408" s="4">
        <v>12</v>
      </c>
      <c r="G2408" s="4">
        <v>7</v>
      </c>
      <c r="H2408" s="115"/>
      <c r="I2408" s="115"/>
      <c r="J2408" s="115"/>
      <c r="K2408" s="115">
        <v>0</v>
      </c>
      <c r="L2408" s="12">
        <f t="shared" si="160"/>
        <v>0</v>
      </c>
      <c r="M2408" s="4">
        <f t="shared" si="161"/>
        <v>0</v>
      </c>
      <c r="N2408" s="4">
        <f t="shared" si="162"/>
        <v>0</v>
      </c>
      <c r="O2408" s="13">
        <f t="shared" si="163"/>
        <v>0</v>
      </c>
    </row>
    <row r="2409" spans="2:15">
      <c r="B2409" s="12">
        <v>21</v>
      </c>
      <c r="C2409" s="4" t="s">
        <v>151</v>
      </c>
      <c r="D2409" s="4" t="s">
        <v>150</v>
      </c>
      <c r="E2409" s="4">
        <v>1</v>
      </c>
      <c r="F2409" s="4">
        <v>12</v>
      </c>
      <c r="G2409" s="4">
        <v>8</v>
      </c>
      <c r="H2409" s="115"/>
      <c r="I2409" s="115"/>
      <c r="J2409" s="115"/>
      <c r="K2409" s="115">
        <v>0</v>
      </c>
      <c r="L2409" s="12">
        <f t="shared" si="160"/>
        <v>0</v>
      </c>
      <c r="M2409" s="4">
        <f t="shared" si="161"/>
        <v>0</v>
      </c>
      <c r="N2409" s="4">
        <f t="shared" si="162"/>
        <v>0</v>
      </c>
      <c r="O2409" s="13">
        <f t="shared" si="163"/>
        <v>0</v>
      </c>
    </row>
    <row r="2410" spans="2:15">
      <c r="B2410" s="12">
        <v>21</v>
      </c>
      <c r="C2410" s="4" t="s">
        <v>151</v>
      </c>
      <c r="D2410" s="4" t="s">
        <v>150</v>
      </c>
      <c r="E2410" s="4">
        <v>1</v>
      </c>
      <c r="F2410" s="4">
        <v>12</v>
      </c>
      <c r="G2410" s="4">
        <v>9</v>
      </c>
      <c r="H2410" s="115"/>
      <c r="I2410" s="115"/>
      <c r="J2410" s="115"/>
      <c r="K2410" s="115">
        <v>0</v>
      </c>
      <c r="L2410" s="12">
        <f t="shared" si="160"/>
        <v>0</v>
      </c>
      <c r="M2410" s="4">
        <f t="shared" si="161"/>
        <v>0</v>
      </c>
      <c r="N2410" s="4">
        <f t="shared" si="162"/>
        <v>0</v>
      </c>
      <c r="O2410" s="13">
        <f t="shared" si="163"/>
        <v>0</v>
      </c>
    </row>
    <row r="2411" spans="2:15" ht="13.8" thickBot="1">
      <c r="B2411" s="14">
        <v>21</v>
      </c>
      <c r="C2411" s="15" t="s">
        <v>151</v>
      </c>
      <c r="D2411" s="15" t="s">
        <v>150</v>
      </c>
      <c r="E2411" s="15">
        <v>1</v>
      </c>
      <c r="F2411" s="15">
        <v>12</v>
      </c>
      <c r="G2411" s="15">
        <v>10</v>
      </c>
      <c r="H2411" s="121"/>
      <c r="I2411" s="121"/>
      <c r="J2411" s="121"/>
      <c r="K2411" s="121">
        <v>0</v>
      </c>
      <c r="L2411" s="14">
        <f t="shared" si="160"/>
        <v>0</v>
      </c>
      <c r="M2411" s="15">
        <f t="shared" si="161"/>
        <v>0</v>
      </c>
      <c r="N2411" s="15">
        <f t="shared" si="162"/>
        <v>0</v>
      </c>
      <c r="O2411" s="16">
        <f t="shared" si="163"/>
        <v>0</v>
      </c>
    </row>
    <row r="2412" spans="2:15">
      <c r="B2412" s="9">
        <v>21</v>
      </c>
      <c r="C2412" s="10" t="s">
        <v>151</v>
      </c>
      <c r="D2412" s="10" t="s">
        <v>149</v>
      </c>
      <c r="E2412" s="93">
        <v>2</v>
      </c>
      <c r="F2412" s="93">
        <v>4</v>
      </c>
      <c r="G2412" s="10">
        <v>1</v>
      </c>
      <c r="H2412" s="120">
        <v>2.4850000000000136</v>
      </c>
      <c r="I2412" s="120">
        <v>1.3830000000000382</v>
      </c>
      <c r="J2412" s="120">
        <v>1.0170000000000528</v>
      </c>
      <c r="K2412" s="120">
        <v>4.8850000000001046</v>
      </c>
      <c r="L2412" s="9">
        <f t="shared" si="160"/>
        <v>0.54220278243402997</v>
      </c>
      <c r="M2412" s="10">
        <f t="shared" si="161"/>
        <v>0.37712404234646307</v>
      </c>
      <c r="N2412" s="10">
        <f t="shared" si="162"/>
        <v>0.30470589821277677</v>
      </c>
      <c r="O2412" s="11">
        <f t="shared" si="163"/>
        <v>0.76974646717946116</v>
      </c>
    </row>
    <row r="2413" spans="2:15">
      <c r="B2413" s="12">
        <v>21</v>
      </c>
      <c r="C2413" s="4" t="s">
        <v>151</v>
      </c>
      <c r="D2413" s="4" t="s">
        <v>149</v>
      </c>
      <c r="E2413" s="4">
        <v>2</v>
      </c>
      <c r="F2413" s="4">
        <v>4</v>
      </c>
      <c r="G2413" s="4">
        <v>2</v>
      </c>
      <c r="H2413" s="115">
        <v>1.5330000000000155</v>
      </c>
      <c r="I2413" s="115">
        <v>0.63299999999998136</v>
      </c>
      <c r="J2413" s="115">
        <v>2.1510000000001241</v>
      </c>
      <c r="K2413" s="115">
        <v>4.317000000000121</v>
      </c>
      <c r="L2413" s="12">
        <f t="shared" si="160"/>
        <v>0.40363518979055063</v>
      </c>
      <c r="M2413" s="4">
        <f t="shared" si="161"/>
        <v>0.2129861847366632</v>
      </c>
      <c r="N2413" s="4">
        <f t="shared" si="162"/>
        <v>0.49844840317401679</v>
      </c>
      <c r="O2413" s="13">
        <f t="shared" si="163"/>
        <v>0.72566666031418847</v>
      </c>
    </row>
    <row r="2414" spans="2:15">
      <c r="B2414" s="12">
        <v>21</v>
      </c>
      <c r="C2414" s="4" t="s">
        <v>151</v>
      </c>
      <c r="D2414" s="4" t="s">
        <v>149</v>
      </c>
      <c r="E2414" s="4">
        <v>2</v>
      </c>
      <c r="F2414" s="4">
        <v>4</v>
      </c>
      <c r="G2414" s="4">
        <v>3</v>
      </c>
      <c r="H2414" s="115">
        <v>0.60099999999999909</v>
      </c>
      <c r="I2414" s="115"/>
      <c r="J2414" s="115">
        <v>0.81600000000003092</v>
      </c>
      <c r="K2414" s="115">
        <v>1.41700000000003</v>
      </c>
      <c r="L2414" s="12">
        <f t="shared" si="160"/>
        <v>0.20439133191929948</v>
      </c>
      <c r="M2414" s="4">
        <f t="shared" si="161"/>
        <v>0</v>
      </c>
      <c r="N2414" s="4">
        <f t="shared" si="162"/>
        <v>0.25911584418507372</v>
      </c>
      <c r="O2414" s="13">
        <f t="shared" si="163"/>
        <v>0.38327665040765574</v>
      </c>
    </row>
    <row r="2415" spans="2:15">
      <c r="B2415" s="12">
        <v>21</v>
      </c>
      <c r="C2415" s="4" t="s">
        <v>151</v>
      </c>
      <c r="D2415" s="4" t="s">
        <v>149</v>
      </c>
      <c r="E2415" s="4">
        <v>2</v>
      </c>
      <c r="F2415" s="4">
        <v>4</v>
      </c>
      <c r="G2415" s="4">
        <v>4</v>
      </c>
      <c r="H2415" s="115">
        <v>2.1190000000000282</v>
      </c>
      <c r="I2415" s="115">
        <v>0.13299999999998136</v>
      </c>
      <c r="J2415" s="115">
        <v>1.6159999999999286</v>
      </c>
      <c r="K2415" s="115">
        <v>3.8679999999999382</v>
      </c>
      <c r="L2415" s="12">
        <f t="shared" si="160"/>
        <v>0.49401537475714768</v>
      </c>
      <c r="M2415" s="4">
        <f t="shared" si="161"/>
        <v>5.4229909863390102E-2</v>
      </c>
      <c r="N2415" s="4">
        <f t="shared" si="162"/>
        <v>0.41763773965221779</v>
      </c>
      <c r="O2415" s="13">
        <f t="shared" si="163"/>
        <v>0.68735056955802187</v>
      </c>
    </row>
    <row r="2416" spans="2:15">
      <c r="B2416" s="12">
        <v>21</v>
      </c>
      <c r="C2416" s="4" t="s">
        <v>151</v>
      </c>
      <c r="D2416" s="4" t="s">
        <v>149</v>
      </c>
      <c r="E2416" s="4">
        <v>2</v>
      </c>
      <c r="F2416" s="4">
        <v>4</v>
      </c>
      <c r="G2416" s="4">
        <v>5</v>
      </c>
      <c r="H2416" s="115">
        <v>0.21600000000000819</v>
      </c>
      <c r="I2416" s="115">
        <v>0.33400000000000318</v>
      </c>
      <c r="J2416" s="115"/>
      <c r="K2416" s="115">
        <v>0.55000000000001137</v>
      </c>
      <c r="L2416" s="12">
        <f t="shared" si="160"/>
        <v>8.4933574936719061E-2</v>
      </c>
      <c r="M2416" s="4">
        <f t="shared" si="161"/>
        <v>0.1251558295805312</v>
      </c>
      <c r="N2416" s="4">
        <f t="shared" si="162"/>
        <v>0</v>
      </c>
      <c r="O2416" s="13">
        <f t="shared" si="163"/>
        <v>0.19033169817029466</v>
      </c>
    </row>
    <row r="2417" spans="2:15">
      <c r="B2417" s="12">
        <v>21</v>
      </c>
      <c r="C2417" s="4" t="s">
        <v>151</v>
      </c>
      <c r="D2417" s="4" t="s">
        <v>149</v>
      </c>
      <c r="E2417" s="4">
        <v>2</v>
      </c>
      <c r="F2417" s="4">
        <v>4</v>
      </c>
      <c r="G2417" s="4">
        <v>6</v>
      </c>
      <c r="H2417" s="115"/>
      <c r="I2417" s="115">
        <v>0.31599999999997408</v>
      </c>
      <c r="J2417" s="115"/>
      <c r="K2417" s="115">
        <v>0.31599999999997408</v>
      </c>
      <c r="L2417" s="12">
        <f t="shared" si="160"/>
        <v>0</v>
      </c>
      <c r="M2417" s="4">
        <f t="shared" si="161"/>
        <v>0.11925588927792813</v>
      </c>
      <c r="N2417" s="4">
        <f t="shared" si="162"/>
        <v>0</v>
      </c>
      <c r="O2417" s="13">
        <f t="shared" si="163"/>
        <v>0.11925588927792813</v>
      </c>
    </row>
    <row r="2418" spans="2:15">
      <c r="B2418" s="12">
        <v>21</v>
      </c>
      <c r="C2418" s="4" t="s">
        <v>151</v>
      </c>
      <c r="D2418" s="4" t="s">
        <v>149</v>
      </c>
      <c r="E2418" s="4">
        <v>2</v>
      </c>
      <c r="F2418" s="4">
        <v>4</v>
      </c>
      <c r="G2418" s="4">
        <v>7</v>
      </c>
      <c r="H2418" s="115"/>
      <c r="I2418" s="115"/>
      <c r="J2418" s="115"/>
      <c r="K2418" s="115">
        <v>0</v>
      </c>
      <c r="L2418" s="12">
        <f t="shared" si="160"/>
        <v>0</v>
      </c>
      <c r="M2418" s="4">
        <f t="shared" si="161"/>
        <v>0</v>
      </c>
      <c r="N2418" s="4">
        <f t="shared" si="162"/>
        <v>0</v>
      </c>
      <c r="O2418" s="13">
        <f t="shared" si="163"/>
        <v>0</v>
      </c>
    </row>
    <row r="2419" spans="2:15">
      <c r="B2419" s="12">
        <v>21</v>
      </c>
      <c r="C2419" s="4" t="s">
        <v>151</v>
      </c>
      <c r="D2419" s="4" t="s">
        <v>149</v>
      </c>
      <c r="E2419" s="4">
        <v>2</v>
      </c>
      <c r="F2419" s="4">
        <v>4</v>
      </c>
      <c r="G2419" s="4">
        <v>8</v>
      </c>
      <c r="H2419" s="115"/>
      <c r="I2419" s="115"/>
      <c r="J2419" s="115"/>
      <c r="K2419" s="115">
        <v>0</v>
      </c>
      <c r="L2419" s="12">
        <f t="shared" si="160"/>
        <v>0</v>
      </c>
      <c r="M2419" s="4">
        <f t="shared" si="161"/>
        <v>0</v>
      </c>
      <c r="N2419" s="4">
        <f t="shared" si="162"/>
        <v>0</v>
      </c>
      <c r="O2419" s="13">
        <f t="shared" si="163"/>
        <v>0</v>
      </c>
    </row>
    <row r="2420" spans="2:15">
      <c r="B2420" s="12">
        <v>21</v>
      </c>
      <c r="C2420" s="4" t="s">
        <v>151</v>
      </c>
      <c r="D2420" s="4" t="s">
        <v>149</v>
      </c>
      <c r="E2420" s="4">
        <v>2</v>
      </c>
      <c r="F2420" s="4">
        <v>4</v>
      </c>
      <c r="G2420" s="4">
        <v>9</v>
      </c>
      <c r="H2420" s="115"/>
      <c r="I2420" s="115"/>
      <c r="J2420" s="115"/>
      <c r="K2420" s="115">
        <v>0</v>
      </c>
      <c r="L2420" s="12">
        <f t="shared" si="160"/>
        <v>0</v>
      </c>
      <c r="M2420" s="4">
        <f t="shared" si="161"/>
        <v>0</v>
      </c>
      <c r="N2420" s="4">
        <f t="shared" si="162"/>
        <v>0</v>
      </c>
      <c r="O2420" s="13">
        <f t="shared" si="163"/>
        <v>0</v>
      </c>
    </row>
    <row r="2421" spans="2:15" ht="13.8" thickBot="1">
      <c r="B2421" s="14">
        <v>21</v>
      </c>
      <c r="C2421" s="15" t="s">
        <v>151</v>
      </c>
      <c r="D2421" s="15" t="s">
        <v>149</v>
      </c>
      <c r="E2421" s="15">
        <v>2</v>
      </c>
      <c r="F2421" s="15">
        <v>4</v>
      </c>
      <c r="G2421" s="15">
        <v>10</v>
      </c>
      <c r="H2421" s="121"/>
      <c r="I2421" s="121"/>
      <c r="J2421" s="121"/>
      <c r="K2421" s="121">
        <v>0</v>
      </c>
      <c r="L2421" s="14">
        <f t="shared" si="160"/>
        <v>0</v>
      </c>
      <c r="M2421" s="15">
        <f t="shared" si="161"/>
        <v>0</v>
      </c>
      <c r="N2421" s="15">
        <f t="shared" si="162"/>
        <v>0</v>
      </c>
      <c r="O2421" s="16">
        <f t="shared" si="163"/>
        <v>0</v>
      </c>
    </row>
    <row r="2422" spans="2:15">
      <c r="B2422" s="9">
        <v>21</v>
      </c>
      <c r="C2422" s="10" t="s">
        <v>151</v>
      </c>
      <c r="D2422" s="10" t="s">
        <v>154</v>
      </c>
      <c r="E2422" s="93">
        <v>3</v>
      </c>
      <c r="F2422" s="93">
        <v>6</v>
      </c>
      <c r="G2422" s="10">
        <v>1</v>
      </c>
      <c r="H2422" s="120">
        <v>0.19999999999993179</v>
      </c>
      <c r="I2422" s="120">
        <v>1.1829999999999927</v>
      </c>
      <c r="J2422" s="120">
        <v>0.60099999999994225</v>
      </c>
      <c r="K2422" s="120">
        <v>1.9839999999998668</v>
      </c>
      <c r="L2422" s="9">
        <f t="shared" si="160"/>
        <v>7.9181246047600143E-2</v>
      </c>
      <c r="M2422" s="10">
        <f t="shared" si="161"/>
        <v>0.33905373570913772</v>
      </c>
      <c r="N2422" s="10">
        <f t="shared" si="162"/>
        <v>0.20439133191928407</v>
      </c>
      <c r="O2422" s="11">
        <f t="shared" si="163"/>
        <v>0.47479881880061181</v>
      </c>
    </row>
    <row r="2423" spans="2:15">
      <c r="B2423" s="12">
        <v>21</v>
      </c>
      <c r="C2423" s="4" t="s">
        <v>151</v>
      </c>
      <c r="D2423" s="4" t="s">
        <v>154</v>
      </c>
      <c r="E2423" s="4">
        <v>3</v>
      </c>
      <c r="F2423" s="4">
        <v>6</v>
      </c>
      <c r="G2423" s="4">
        <v>2</v>
      </c>
      <c r="H2423" s="115">
        <v>0.11700000000001864</v>
      </c>
      <c r="I2423" s="115">
        <v>0.33300000000002683</v>
      </c>
      <c r="J2423" s="115"/>
      <c r="K2423" s="115">
        <v>0.45000000000004547</v>
      </c>
      <c r="L2423" s="12">
        <f t="shared" si="160"/>
        <v>4.8053173115616306E-2</v>
      </c>
      <c r="M2423" s="4">
        <f t="shared" si="161"/>
        <v>0.12483014941386794</v>
      </c>
      <c r="N2423" s="4">
        <f t="shared" si="162"/>
        <v>0</v>
      </c>
      <c r="O2423" s="13">
        <f t="shared" si="163"/>
        <v>0.16136800223498851</v>
      </c>
    </row>
    <row r="2424" spans="2:15">
      <c r="B2424" s="12">
        <v>21</v>
      </c>
      <c r="C2424" s="4" t="s">
        <v>151</v>
      </c>
      <c r="D2424" s="4" t="s">
        <v>154</v>
      </c>
      <c r="E2424" s="4">
        <v>3</v>
      </c>
      <c r="F2424" s="4">
        <v>6</v>
      </c>
      <c r="G2424" s="4">
        <v>3</v>
      </c>
      <c r="H2424" s="115"/>
      <c r="I2424" s="115"/>
      <c r="J2424" s="115">
        <v>0.10000000000002274</v>
      </c>
      <c r="K2424" s="115">
        <v>0.10000000000002274</v>
      </c>
      <c r="L2424" s="12">
        <f t="shared" si="160"/>
        <v>0</v>
      </c>
      <c r="M2424" s="4">
        <f t="shared" si="161"/>
        <v>0</v>
      </c>
      <c r="N2424" s="4">
        <f t="shared" si="162"/>
        <v>4.1392685158234015E-2</v>
      </c>
      <c r="O2424" s="13">
        <f t="shared" si="163"/>
        <v>4.1392685158234015E-2</v>
      </c>
    </row>
    <row r="2425" spans="2:15">
      <c r="B2425" s="12">
        <v>21</v>
      </c>
      <c r="C2425" s="4" t="s">
        <v>151</v>
      </c>
      <c r="D2425" s="4" t="s">
        <v>154</v>
      </c>
      <c r="E2425" s="4">
        <v>3</v>
      </c>
      <c r="F2425" s="4">
        <v>6</v>
      </c>
      <c r="G2425" s="4">
        <v>4</v>
      </c>
      <c r="H2425" s="115"/>
      <c r="I2425" s="115"/>
      <c r="J2425" s="115"/>
      <c r="K2425" s="115">
        <v>0</v>
      </c>
      <c r="L2425" s="12">
        <f t="shared" si="160"/>
        <v>0</v>
      </c>
      <c r="M2425" s="4">
        <f t="shared" si="161"/>
        <v>0</v>
      </c>
      <c r="N2425" s="4">
        <f t="shared" si="162"/>
        <v>0</v>
      </c>
      <c r="O2425" s="13">
        <f t="shared" si="163"/>
        <v>0</v>
      </c>
    </row>
    <row r="2426" spans="2:15">
      <c r="B2426" s="12">
        <v>21</v>
      </c>
      <c r="C2426" s="4" t="s">
        <v>151</v>
      </c>
      <c r="D2426" s="4" t="s">
        <v>154</v>
      </c>
      <c r="E2426" s="4">
        <v>3</v>
      </c>
      <c r="F2426" s="4">
        <v>6</v>
      </c>
      <c r="G2426" s="4">
        <v>5</v>
      </c>
      <c r="H2426" s="115">
        <v>0.10000000000002274</v>
      </c>
      <c r="I2426" s="115"/>
      <c r="J2426" s="115"/>
      <c r="K2426" s="115">
        <v>0.10000000000002274</v>
      </c>
      <c r="L2426" s="12">
        <f t="shared" si="160"/>
        <v>4.1392685158234015E-2</v>
      </c>
      <c r="M2426" s="4">
        <f t="shared" si="161"/>
        <v>0</v>
      </c>
      <c r="N2426" s="4">
        <f t="shared" si="162"/>
        <v>0</v>
      </c>
      <c r="O2426" s="13">
        <f t="shared" si="163"/>
        <v>4.1392685158234015E-2</v>
      </c>
    </row>
    <row r="2427" spans="2:15">
      <c r="B2427" s="12">
        <v>21</v>
      </c>
      <c r="C2427" s="4" t="s">
        <v>151</v>
      </c>
      <c r="D2427" s="4" t="s">
        <v>154</v>
      </c>
      <c r="E2427" s="4">
        <v>3</v>
      </c>
      <c r="F2427" s="4">
        <v>6</v>
      </c>
      <c r="G2427" s="4">
        <v>6</v>
      </c>
      <c r="H2427" s="115"/>
      <c r="I2427" s="115"/>
      <c r="J2427" s="115"/>
      <c r="K2427" s="115">
        <v>0</v>
      </c>
      <c r="L2427" s="12">
        <f t="shared" si="160"/>
        <v>0</v>
      </c>
      <c r="M2427" s="4">
        <f t="shared" si="161"/>
        <v>0</v>
      </c>
      <c r="N2427" s="4">
        <f t="shared" si="162"/>
        <v>0</v>
      </c>
      <c r="O2427" s="13">
        <f t="shared" si="163"/>
        <v>0</v>
      </c>
    </row>
    <row r="2428" spans="2:15">
      <c r="B2428" s="12">
        <v>21</v>
      </c>
      <c r="C2428" s="4" t="s">
        <v>151</v>
      </c>
      <c r="D2428" s="4" t="s">
        <v>154</v>
      </c>
      <c r="E2428" s="4">
        <v>3</v>
      </c>
      <c r="F2428" s="4">
        <v>6</v>
      </c>
      <c r="G2428" s="4">
        <v>7</v>
      </c>
      <c r="H2428" s="115"/>
      <c r="I2428" s="115"/>
      <c r="J2428" s="115"/>
      <c r="K2428" s="115">
        <v>0</v>
      </c>
      <c r="L2428" s="12">
        <f t="shared" si="160"/>
        <v>0</v>
      </c>
      <c r="M2428" s="4">
        <f t="shared" si="161"/>
        <v>0</v>
      </c>
      <c r="N2428" s="4">
        <f t="shared" si="162"/>
        <v>0</v>
      </c>
      <c r="O2428" s="13">
        <f t="shared" si="163"/>
        <v>0</v>
      </c>
    </row>
    <row r="2429" spans="2:15">
      <c r="B2429" s="12">
        <v>21</v>
      </c>
      <c r="C2429" s="4" t="s">
        <v>151</v>
      </c>
      <c r="D2429" s="4" t="s">
        <v>154</v>
      </c>
      <c r="E2429" s="4">
        <v>3</v>
      </c>
      <c r="F2429" s="4">
        <v>6</v>
      </c>
      <c r="G2429" s="4">
        <v>8</v>
      </c>
      <c r="H2429" s="115"/>
      <c r="I2429" s="115"/>
      <c r="J2429" s="115"/>
      <c r="K2429" s="115">
        <v>0</v>
      </c>
      <c r="L2429" s="12">
        <f t="shared" si="160"/>
        <v>0</v>
      </c>
      <c r="M2429" s="4">
        <f t="shared" si="161"/>
        <v>0</v>
      </c>
      <c r="N2429" s="4">
        <f t="shared" si="162"/>
        <v>0</v>
      </c>
      <c r="O2429" s="13">
        <f t="shared" si="163"/>
        <v>0</v>
      </c>
    </row>
    <row r="2430" spans="2:15">
      <c r="B2430" s="12">
        <v>21</v>
      </c>
      <c r="C2430" s="4" t="s">
        <v>151</v>
      </c>
      <c r="D2430" s="4" t="s">
        <v>154</v>
      </c>
      <c r="E2430" s="4">
        <v>3</v>
      </c>
      <c r="F2430" s="4">
        <v>6</v>
      </c>
      <c r="G2430" s="4">
        <v>9</v>
      </c>
      <c r="H2430" s="115"/>
      <c r="I2430" s="115"/>
      <c r="J2430" s="115"/>
      <c r="K2430" s="115">
        <v>0</v>
      </c>
      <c r="L2430" s="12">
        <f t="shared" si="160"/>
        <v>0</v>
      </c>
      <c r="M2430" s="4">
        <f t="shared" si="161"/>
        <v>0</v>
      </c>
      <c r="N2430" s="4">
        <f t="shared" si="162"/>
        <v>0</v>
      </c>
      <c r="O2430" s="13">
        <f t="shared" si="163"/>
        <v>0</v>
      </c>
    </row>
    <row r="2431" spans="2:15" ht="13.8" thickBot="1">
      <c r="B2431" s="14">
        <v>21</v>
      </c>
      <c r="C2431" s="15" t="s">
        <v>151</v>
      </c>
      <c r="D2431" s="15" t="s">
        <v>154</v>
      </c>
      <c r="E2431" s="15">
        <v>3</v>
      </c>
      <c r="F2431" s="15">
        <v>6</v>
      </c>
      <c r="G2431" s="15">
        <v>10</v>
      </c>
      <c r="H2431" s="121"/>
      <c r="I2431" s="121"/>
      <c r="J2431" s="121"/>
      <c r="K2431" s="121">
        <v>0</v>
      </c>
      <c r="L2431" s="14">
        <f t="shared" si="160"/>
        <v>0</v>
      </c>
      <c r="M2431" s="15">
        <f t="shared" si="161"/>
        <v>0</v>
      </c>
      <c r="N2431" s="15">
        <f t="shared" si="162"/>
        <v>0</v>
      </c>
      <c r="O2431" s="16">
        <f t="shared" si="163"/>
        <v>0</v>
      </c>
    </row>
    <row r="2432" spans="2:15">
      <c r="B2432" s="9">
        <v>21</v>
      </c>
      <c r="C2432" s="10" t="s">
        <v>151</v>
      </c>
      <c r="D2432" s="10" t="s">
        <v>149</v>
      </c>
      <c r="E2432" s="93">
        <v>4</v>
      </c>
      <c r="F2432" s="93">
        <v>2</v>
      </c>
      <c r="G2432" s="10">
        <v>1</v>
      </c>
      <c r="H2432" s="120">
        <v>4.0999999999999659</v>
      </c>
      <c r="I2432" s="120">
        <v>1.0670000000000073</v>
      </c>
      <c r="J2432" s="120">
        <v>3.1339999999999577</v>
      </c>
      <c r="K2432" s="120">
        <v>8.3009999999999309</v>
      </c>
      <c r="L2432" s="9">
        <f t="shared" si="160"/>
        <v>0.70757017609793349</v>
      </c>
      <c r="M2432" s="10">
        <f t="shared" si="161"/>
        <v>0.31534047662728976</v>
      </c>
      <c r="N2432" s="10">
        <f t="shared" si="162"/>
        <v>0.61637047229126496</v>
      </c>
      <c r="O2432" s="11">
        <f t="shared" si="163"/>
        <v>0.96852964437483635</v>
      </c>
    </row>
    <row r="2433" spans="2:15">
      <c r="B2433" s="12">
        <v>21</v>
      </c>
      <c r="C2433" s="4" t="s">
        <v>151</v>
      </c>
      <c r="D2433" s="4" t="s">
        <v>149</v>
      </c>
      <c r="E2433" s="4">
        <v>4</v>
      </c>
      <c r="F2433" s="4">
        <v>2</v>
      </c>
      <c r="G2433" s="4">
        <v>2</v>
      </c>
      <c r="H2433" s="115">
        <v>0.66700000000000159</v>
      </c>
      <c r="I2433" s="115"/>
      <c r="J2433" s="115">
        <v>2.0820000000000505</v>
      </c>
      <c r="K2433" s="115">
        <v>2.7490000000000521</v>
      </c>
      <c r="L2433" s="12">
        <f t="shared" si="160"/>
        <v>0.22193559982800573</v>
      </c>
      <c r="M2433" s="4">
        <f t="shared" si="161"/>
        <v>0</v>
      </c>
      <c r="N2433" s="4">
        <f t="shared" si="162"/>
        <v>0.48883263438240759</v>
      </c>
      <c r="O2433" s="13">
        <f t="shared" si="163"/>
        <v>0.57391544042155673</v>
      </c>
    </row>
    <row r="2434" spans="2:15">
      <c r="B2434" s="12">
        <v>21</v>
      </c>
      <c r="C2434" s="4" t="s">
        <v>151</v>
      </c>
      <c r="D2434" s="4" t="s">
        <v>149</v>
      </c>
      <c r="E2434" s="4">
        <v>4</v>
      </c>
      <c r="F2434" s="4">
        <v>2</v>
      </c>
      <c r="G2434" s="4">
        <v>3</v>
      </c>
      <c r="H2434" s="115">
        <v>0.33400000000000318</v>
      </c>
      <c r="I2434" s="115">
        <v>0.10000000000002274</v>
      </c>
      <c r="J2434" s="115">
        <v>1.3979999999999961</v>
      </c>
      <c r="K2434" s="115">
        <v>1.8320000000000221</v>
      </c>
      <c r="L2434" s="12">
        <f t="shared" si="160"/>
        <v>0.1251558295805312</v>
      </c>
      <c r="M2434" s="4">
        <f t="shared" si="161"/>
        <v>4.1392685158234015E-2</v>
      </c>
      <c r="N2434" s="4">
        <f t="shared" si="162"/>
        <v>0.3798491787628292</v>
      </c>
      <c r="O2434" s="13">
        <f t="shared" si="163"/>
        <v>0.45209324901773479</v>
      </c>
    </row>
    <row r="2435" spans="2:15">
      <c r="B2435" s="12">
        <v>21</v>
      </c>
      <c r="C2435" s="4" t="s">
        <v>151</v>
      </c>
      <c r="D2435" s="4" t="s">
        <v>149</v>
      </c>
      <c r="E2435" s="4">
        <v>4</v>
      </c>
      <c r="F2435" s="4">
        <v>2</v>
      </c>
      <c r="G2435" s="4">
        <v>4</v>
      </c>
      <c r="H2435" s="115">
        <v>1.7679999999999723</v>
      </c>
      <c r="I2435" s="115">
        <v>0.25</v>
      </c>
      <c r="J2435" s="115">
        <v>1.3010000000000446</v>
      </c>
      <c r="K2435" s="115">
        <v>3.3190000000000168</v>
      </c>
      <c r="L2435" s="12">
        <f t="shared" si="160"/>
        <v>0.44216608578471583</v>
      </c>
      <c r="M2435" s="4">
        <f t="shared" si="161"/>
        <v>9.691001300805642E-2</v>
      </c>
      <c r="N2435" s="4">
        <f t="shared" si="162"/>
        <v>0.36191661866865182</v>
      </c>
      <c r="O2435" s="13">
        <f t="shared" si="163"/>
        <v>0.63538320404750015</v>
      </c>
    </row>
    <row r="2436" spans="2:15">
      <c r="B2436" s="12">
        <v>21</v>
      </c>
      <c r="C2436" s="4" t="s">
        <v>151</v>
      </c>
      <c r="D2436" s="4" t="s">
        <v>149</v>
      </c>
      <c r="E2436" s="4">
        <v>4</v>
      </c>
      <c r="F2436" s="4">
        <v>2</v>
      </c>
      <c r="G2436" s="4">
        <v>5</v>
      </c>
      <c r="H2436" s="115">
        <v>0.53299999999995862</v>
      </c>
      <c r="I2436" s="115">
        <v>0.6330000000000382</v>
      </c>
      <c r="J2436" s="115">
        <v>0.39999999999997726</v>
      </c>
      <c r="K2436" s="115">
        <v>1.5659999999999741</v>
      </c>
      <c r="L2436" s="12">
        <f t="shared" si="160"/>
        <v>0.18554215485436346</v>
      </c>
      <c r="M2436" s="4">
        <f t="shared" si="161"/>
        <v>0.21298618473667832</v>
      </c>
      <c r="N2436" s="4">
        <f t="shared" si="162"/>
        <v>0.14612803567823096</v>
      </c>
      <c r="O2436" s="13">
        <f t="shared" si="163"/>
        <v>0.40925665203890532</v>
      </c>
    </row>
    <row r="2437" spans="2:15">
      <c r="B2437" s="12">
        <v>21</v>
      </c>
      <c r="C2437" s="4" t="s">
        <v>151</v>
      </c>
      <c r="D2437" s="4" t="s">
        <v>149</v>
      </c>
      <c r="E2437" s="4">
        <v>4</v>
      </c>
      <c r="F2437" s="4">
        <v>2</v>
      </c>
      <c r="G2437" s="4">
        <v>6</v>
      </c>
      <c r="H2437" s="115"/>
      <c r="I2437" s="115">
        <v>0.21699999999998454</v>
      </c>
      <c r="J2437" s="115">
        <v>0.16700000000000159</v>
      </c>
      <c r="K2437" s="115">
        <v>0.38399999999998613</v>
      </c>
      <c r="L2437" s="12">
        <f t="shared" si="160"/>
        <v>0</v>
      </c>
      <c r="M2437" s="4">
        <f t="shared" si="161"/>
        <v>8.5290578230059477E-2</v>
      </c>
      <c r="N2437" s="4">
        <f t="shared" si="162"/>
        <v>6.7070856045370761E-2</v>
      </c>
      <c r="O2437" s="13">
        <f t="shared" si="163"/>
        <v>0.14113609012073464</v>
      </c>
    </row>
    <row r="2438" spans="2:15">
      <c r="B2438" s="12">
        <v>21</v>
      </c>
      <c r="C2438" s="4" t="s">
        <v>151</v>
      </c>
      <c r="D2438" s="4" t="s">
        <v>149</v>
      </c>
      <c r="E2438" s="4">
        <v>4</v>
      </c>
      <c r="F2438" s="4">
        <v>2</v>
      </c>
      <c r="G2438" s="4">
        <v>7</v>
      </c>
      <c r="H2438" s="115"/>
      <c r="I2438" s="115"/>
      <c r="J2438" s="115"/>
      <c r="K2438" s="115">
        <v>0</v>
      </c>
      <c r="L2438" s="12">
        <f t="shared" si="160"/>
        <v>0</v>
      </c>
      <c r="M2438" s="4">
        <f t="shared" si="161"/>
        <v>0</v>
      </c>
      <c r="N2438" s="4">
        <f t="shared" si="162"/>
        <v>0</v>
      </c>
      <c r="O2438" s="13">
        <f t="shared" si="163"/>
        <v>0</v>
      </c>
    </row>
    <row r="2439" spans="2:15">
      <c r="B2439" s="12">
        <v>21</v>
      </c>
      <c r="C2439" s="4" t="s">
        <v>151</v>
      </c>
      <c r="D2439" s="4" t="s">
        <v>149</v>
      </c>
      <c r="E2439" s="4">
        <v>4</v>
      </c>
      <c r="F2439" s="4">
        <v>2</v>
      </c>
      <c r="G2439" s="4">
        <v>8</v>
      </c>
      <c r="H2439" s="115"/>
      <c r="I2439" s="115"/>
      <c r="J2439" s="115"/>
      <c r="K2439" s="115">
        <v>0</v>
      </c>
      <c r="L2439" s="12">
        <f t="shared" si="160"/>
        <v>0</v>
      </c>
      <c r="M2439" s="4">
        <f t="shared" si="161"/>
        <v>0</v>
      </c>
      <c r="N2439" s="4">
        <f t="shared" si="162"/>
        <v>0</v>
      </c>
      <c r="O2439" s="13">
        <f t="shared" si="163"/>
        <v>0</v>
      </c>
    </row>
    <row r="2440" spans="2:15">
      <c r="B2440" s="12">
        <v>21</v>
      </c>
      <c r="C2440" s="4" t="s">
        <v>151</v>
      </c>
      <c r="D2440" s="4" t="s">
        <v>149</v>
      </c>
      <c r="E2440" s="4">
        <v>4</v>
      </c>
      <c r="F2440" s="4">
        <v>2</v>
      </c>
      <c r="G2440" s="4">
        <v>9</v>
      </c>
      <c r="H2440" s="115"/>
      <c r="I2440" s="115"/>
      <c r="J2440" s="115"/>
      <c r="K2440" s="115">
        <v>0</v>
      </c>
      <c r="L2440" s="12">
        <f t="shared" si="160"/>
        <v>0</v>
      </c>
      <c r="M2440" s="4">
        <f t="shared" si="161"/>
        <v>0</v>
      </c>
      <c r="N2440" s="4">
        <f t="shared" si="162"/>
        <v>0</v>
      </c>
      <c r="O2440" s="13">
        <f t="shared" si="163"/>
        <v>0</v>
      </c>
    </row>
    <row r="2441" spans="2:15" ht="13.8" thickBot="1">
      <c r="B2441" s="14">
        <v>21</v>
      </c>
      <c r="C2441" s="15" t="s">
        <v>151</v>
      </c>
      <c r="D2441" s="15" t="s">
        <v>149</v>
      </c>
      <c r="E2441" s="15">
        <v>4</v>
      </c>
      <c r="F2441" s="15">
        <v>2</v>
      </c>
      <c r="G2441" s="15">
        <v>10</v>
      </c>
      <c r="H2441" s="121"/>
      <c r="I2441" s="121"/>
      <c r="J2441" s="121"/>
      <c r="K2441" s="121">
        <v>0</v>
      </c>
      <c r="L2441" s="14">
        <f t="shared" si="160"/>
        <v>0</v>
      </c>
      <c r="M2441" s="15">
        <f t="shared" si="161"/>
        <v>0</v>
      </c>
      <c r="N2441" s="15">
        <f t="shared" si="162"/>
        <v>0</v>
      </c>
      <c r="O2441" s="16">
        <f t="shared" si="163"/>
        <v>0</v>
      </c>
    </row>
    <row r="2442" spans="2:15">
      <c r="B2442" s="9">
        <v>21</v>
      </c>
      <c r="C2442" s="10" t="s">
        <v>151</v>
      </c>
      <c r="D2442" s="10" t="s">
        <v>150</v>
      </c>
      <c r="E2442" s="93">
        <v>5</v>
      </c>
      <c r="F2442" s="93">
        <v>10</v>
      </c>
      <c r="G2442" s="10">
        <v>1</v>
      </c>
      <c r="H2442" s="120">
        <v>0.86800000000005184</v>
      </c>
      <c r="I2442" s="120">
        <v>0.24900000000002365</v>
      </c>
      <c r="J2442" s="120">
        <v>2.968000000000302</v>
      </c>
      <c r="K2442" s="120">
        <v>4.0850000000003774</v>
      </c>
      <c r="L2442" s="9">
        <f t="shared" si="160"/>
        <v>0.2713768718940866</v>
      </c>
      <c r="M2442" s="10">
        <f t="shared" si="161"/>
        <v>9.656243837414373E-2</v>
      </c>
      <c r="N2442" s="10">
        <f t="shared" si="162"/>
        <v>0.59857166348217405</v>
      </c>
      <c r="O2442" s="11">
        <f t="shared" si="163"/>
        <v>0.70629095725879565</v>
      </c>
    </row>
    <row r="2443" spans="2:15">
      <c r="B2443" s="12">
        <v>21</v>
      </c>
      <c r="C2443" s="4" t="s">
        <v>151</v>
      </c>
      <c r="D2443" s="4" t="s">
        <v>150</v>
      </c>
      <c r="E2443" s="4">
        <v>5</v>
      </c>
      <c r="F2443" s="4">
        <v>10</v>
      </c>
      <c r="G2443" s="4">
        <v>2</v>
      </c>
      <c r="H2443" s="115">
        <v>2.0999999999999091</v>
      </c>
      <c r="I2443" s="115">
        <v>0.41600000000005366</v>
      </c>
      <c r="J2443" s="115">
        <v>3.528999999999769</v>
      </c>
      <c r="K2443" s="115">
        <v>6.0449999999997317</v>
      </c>
      <c r="L2443" s="12">
        <f t="shared" si="160"/>
        <v>0.49136169383425993</v>
      </c>
      <c r="M2443" s="4">
        <f t="shared" si="161"/>
        <v>0.15106325335376666</v>
      </c>
      <c r="N2443" s="4">
        <f t="shared" si="162"/>
        <v>0.65600232068293507</v>
      </c>
      <c r="O2443" s="13">
        <f t="shared" si="163"/>
        <v>0.84788099744535872</v>
      </c>
    </row>
    <row r="2444" spans="2:15">
      <c r="B2444" s="12">
        <v>21</v>
      </c>
      <c r="C2444" s="4" t="s">
        <v>151</v>
      </c>
      <c r="D2444" s="4" t="s">
        <v>150</v>
      </c>
      <c r="E2444" s="4">
        <v>5</v>
      </c>
      <c r="F2444" s="4">
        <v>10</v>
      </c>
      <c r="G2444" s="4">
        <v>3</v>
      </c>
      <c r="H2444" s="115">
        <v>0.31600000000003092</v>
      </c>
      <c r="I2444" s="115"/>
      <c r="J2444" s="115"/>
      <c r="K2444" s="115">
        <v>0.31600000000003092</v>
      </c>
      <c r="L2444" s="12">
        <f t="shared" si="160"/>
        <v>0.11925588927794689</v>
      </c>
      <c r="M2444" s="4">
        <f t="shared" si="161"/>
        <v>0</v>
      </c>
      <c r="N2444" s="4">
        <f t="shared" si="162"/>
        <v>0</v>
      </c>
      <c r="O2444" s="13">
        <f t="shared" si="163"/>
        <v>0.11925588927794689</v>
      </c>
    </row>
    <row r="2445" spans="2:15">
      <c r="B2445" s="12">
        <v>21</v>
      </c>
      <c r="C2445" s="4" t="s">
        <v>151</v>
      </c>
      <c r="D2445" s="4" t="s">
        <v>150</v>
      </c>
      <c r="E2445" s="4">
        <v>5</v>
      </c>
      <c r="F2445" s="4">
        <v>10</v>
      </c>
      <c r="G2445" s="4">
        <v>4</v>
      </c>
      <c r="H2445" s="115"/>
      <c r="I2445" s="115"/>
      <c r="J2445" s="115"/>
      <c r="K2445" s="115">
        <v>0</v>
      </c>
      <c r="L2445" s="12">
        <f t="shared" si="160"/>
        <v>0</v>
      </c>
      <c r="M2445" s="4">
        <f t="shared" si="161"/>
        <v>0</v>
      </c>
      <c r="N2445" s="4">
        <f t="shared" si="162"/>
        <v>0</v>
      </c>
      <c r="O2445" s="13">
        <f t="shared" si="163"/>
        <v>0</v>
      </c>
    </row>
    <row r="2446" spans="2:15">
      <c r="B2446" s="12">
        <v>21</v>
      </c>
      <c r="C2446" s="4" t="s">
        <v>151</v>
      </c>
      <c r="D2446" s="4" t="s">
        <v>150</v>
      </c>
      <c r="E2446" s="4">
        <v>5</v>
      </c>
      <c r="F2446" s="4">
        <v>10</v>
      </c>
      <c r="G2446" s="4">
        <v>5</v>
      </c>
      <c r="H2446" s="115"/>
      <c r="I2446" s="115"/>
      <c r="J2446" s="115"/>
      <c r="K2446" s="115">
        <v>0</v>
      </c>
      <c r="L2446" s="12">
        <f t="shared" si="160"/>
        <v>0</v>
      </c>
      <c r="M2446" s="4">
        <f t="shared" si="161"/>
        <v>0</v>
      </c>
      <c r="N2446" s="4">
        <f t="shared" si="162"/>
        <v>0</v>
      </c>
      <c r="O2446" s="13">
        <f t="shared" si="163"/>
        <v>0</v>
      </c>
    </row>
    <row r="2447" spans="2:15">
      <c r="B2447" s="12">
        <v>21</v>
      </c>
      <c r="C2447" s="4" t="s">
        <v>151</v>
      </c>
      <c r="D2447" s="4" t="s">
        <v>150</v>
      </c>
      <c r="E2447" s="4">
        <v>5</v>
      </c>
      <c r="F2447" s="4">
        <v>10</v>
      </c>
      <c r="G2447" s="4">
        <v>6</v>
      </c>
      <c r="H2447" s="115"/>
      <c r="I2447" s="115"/>
      <c r="J2447" s="115"/>
      <c r="K2447" s="115">
        <v>0</v>
      </c>
      <c r="L2447" s="12">
        <f t="shared" si="160"/>
        <v>0</v>
      </c>
      <c r="M2447" s="4">
        <f t="shared" si="161"/>
        <v>0</v>
      </c>
      <c r="N2447" s="4">
        <f t="shared" si="162"/>
        <v>0</v>
      </c>
      <c r="O2447" s="13">
        <f t="shared" si="163"/>
        <v>0</v>
      </c>
    </row>
    <row r="2448" spans="2:15">
      <c r="B2448" s="12">
        <v>21</v>
      </c>
      <c r="C2448" s="4" t="s">
        <v>151</v>
      </c>
      <c r="D2448" s="4" t="s">
        <v>150</v>
      </c>
      <c r="E2448" s="4">
        <v>5</v>
      </c>
      <c r="F2448" s="4">
        <v>10</v>
      </c>
      <c r="G2448" s="4">
        <v>7</v>
      </c>
      <c r="H2448" s="115"/>
      <c r="I2448" s="115"/>
      <c r="J2448" s="115"/>
      <c r="K2448" s="115">
        <v>0</v>
      </c>
      <c r="L2448" s="12">
        <f t="shared" si="160"/>
        <v>0</v>
      </c>
      <c r="M2448" s="4">
        <f t="shared" si="161"/>
        <v>0</v>
      </c>
      <c r="N2448" s="4">
        <f t="shared" si="162"/>
        <v>0</v>
      </c>
      <c r="O2448" s="13">
        <f t="shared" si="163"/>
        <v>0</v>
      </c>
    </row>
    <row r="2449" spans="2:15">
      <c r="B2449" s="12">
        <v>21</v>
      </c>
      <c r="C2449" s="4" t="s">
        <v>151</v>
      </c>
      <c r="D2449" s="4" t="s">
        <v>150</v>
      </c>
      <c r="E2449" s="4">
        <v>5</v>
      </c>
      <c r="F2449" s="4">
        <v>10</v>
      </c>
      <c r="G2449" s="4">
        <v>8</v>
      </c>
      <c r="H2449" s="115"/>
      <c r="I2449" s="115"/>
      <c r="J2449" s="115"/>
      <c r="K2449" s="115">
        <v>0</v>
      </c>
      <c r="L2449" s="12">
        <f t="shared" si="160"/>
        <v>0</v>
      </c>
      <c r="M2449" s="4">
        <f t="shared" si="161"/>
        <v>0</v>
      </c>
      <c r="N2449" s="4">
        <f t="shared" si="162"/>
        <v>0</v>
      </c>
      <c r="O2449" s="13">
        <f t="shared" si="163"/>
        <v>0</v>
      </c>
    </row>
    <row r="2450" spans="2:15">
      <c r="B2450" s="12">
        <v>21</v>
      </c>
      <c r="C2450" s="4" t="s">
        <v>151</v>
      </c>
      <c r="D2450" s="4" t="s">
        <v>150</v>
      </c>
      <c r="E2450" s="4">
        <v>5</v>
      </c>
      <c r="F2450" s="4">
        <v>10</v>
      </c>
      <c r="G2450" s="4">
        <v>9</v>
      </c>
      <c r="H2450" s="115"/>
      <c r="I2450" s="115"/>
      <c r="J2450" s="115"/>
      <c r="K2450" s="115">
        <v>0</v>
      </c>
      <c r="L2450" s="12">
        <f t="shared" si="160"/>
        <v>0</v>
      </c>
      <c r="M2450" s="4">
        <f t="shared" si="161"/>
        <v>0</v>
      </c>
      <c r="N2450" s="4">
        <f t="shared" si="162"/>
        <v>0</v>
      </c>
      <c r="O2450" s="13">
        <f t="shared" si="163"/>
        <v>0</v>
      </c>
    </row>
    <row r="2451" spans="2:15" ht="13.8" thickBot="1">
      <c r="B2451" s="14">
        <v>21</v>
      </c>
      <c r="C2451" s="15" t="s">
        <v>151</v>
      </c>
      <c r="D2451" s="15" t="s">
        <v>150</v>
      </c>
      <c r="E2451" s="15">
        <v>5</v>
      </c>
      <c r="F2451" s="15">
        <v>10</v>
      </c>
      <c r="G2451" s="15">
        <v>10</v>
      </c>
      <c r="H2451" s="121"/>
      <c r="I2451" s="121"/>
      <c r="J2451" s="121"/>
      <c r="K2451" s="121">
        <v>0</v>
      </c>
      <c r="L2451" s="14">
        <f t="shared" si="160"/>
        <v>0</v>
      </c>
      <c r="M2451" s="15">
        <f t="shared" si="161"/>
        <v>0</v>
      </c>
      <c r="N2451" s="15">
        <f t="shared" si="162"/>
        <v>0</v>
      </c>
      <c r="O2451" s="16">
        <f t="shared" si="163"/>
        <v>0</v>
      </c>
    </row>
    <row r="2452" spans="2:15">
      <c r="B2452" s="9">
        <v>21</v>
      </c>
      <c r="C2452" s="10" t="s">
        <v>151</v>
      </c>
      <c r="D2452" s="10" t="s">
        <v>154</v>
      </c>
      <c r="E2452" s="93">
        <v>6</v>
      </c>
      <c r="F2452" s="93">
        <v>8</v>
      </c>
      <c r="G2452" s="10">
        <v>1</v>
      </c>
      <c r="H2452" s="120">
        <v>0.1330000000000382</v>
      </c>
      <c r="I2452" s="120">
        <v>1.6170000000000755</v>
      </c>
      <c r="J2452" s="120">
        <v>0.76700000000016644</v>
      </c>
      <c r="K2452" s="120">
        <v>2.5170000000002801</v>
      </c>
      <c r="L2452" s="9">
        <f t="shared" si="160"/>
        <v>5.422990986341189E-2</v>
      </c>
      <c r="M2452" s="10">
        <f t="shared" si="161"/>
        <v>0.41780372263989352</v>
      </c>
      <c r="N2452" s="10">
        <f t="shared" si="162"/>
        <v>0.24723654950680499</v>
      </c>
      <c r="O2452" s="11">
        <f t="shared" si="163"/>
        <v>0.54617236831697713</v>
      </c>
    </row>
    <row r="2453" spans="2:15">
      <c r="B2453" s="12">
        <v>21</v>
      </c>
      <c r="C2453" s="4" t="s">
        <v>151</v>
      </c>
      <c r="D2453" s="4" t="s">
        <v>154</v>
      </c>
      <c r="E2453" s="4">
        <v>6</v>
      </c>
      <c r="F2453" s="4">
        <v>8</v>
      </c>
      <c r="G2453" s="4">
        <v>2</v>
      </c>
      <c r="H2453" s="115">
        <v>2.2990000000002055</v>
      </c>
      <c r="I2453" s="115">
        <v>0.58399999999983265</v>
      </c>
      <c r="J2453" s="115">
        <v>0.78199999999992542</v>
      </c>
      <c r="K2453" s="115">
        <v>3.6649999999999636</v>
      </c>
      <c r="L2453" s="12">
        <f t="shared" si="160"/>
        <v>0.51838231554537095</v>
      </c>
      <c r="M2453" s="4">
        <f t="shared" si="161"/>
        <v>0.19975517725342881</v>
      </c>
      <c r="N2453" s="4">
        <f t="shared" si="162"/>
        <v>0.25090769970083782</v>
      </c>
      <c r="O2453" s="13">
        <f t="shared" si="163"/>
        <v>0.6688516480825154</v>
      </c>
    </row>
    <row r="2454" spans="2:15">
      <c r="B2454" s="12">
        <v>21</v>
      </c>
      <c r="C2454" s="4" t="s">
        <v>151</v>
      </c>
      <c r="D2454" s="4" t="s">
        <v>154</v>
      </c>
      <c r="E2454" s="4">
        <v>6</v>
      </c>
      <c r="F2454" s="4">
        <v>8</v>
      </c>
      <c r="G2454" s="4">
        <v>3</v>
      </c>
      <c r="H2454" s="115">
        <v>1.5330000000001291</v>
      </c>
      <c r="I2454" s="115">
        <v>0.66700000000003001</v>
      </c>
      <c r="J2454" s="115">
        <v>0.90000000000009095</v>
      </c>
      <c r="K2454" s="115">
        <v>3.1000000000002501</v>
      </c>
      <c r="L2454" s="12">
        <f t="shared" si="160"/>
        <v>0.40363518979057011</v>
      </c>
      <c r="M2454" s="4">
        <f t="shared" si="161"/>
        <v>0.22193559982801314</v>
      </c>
      <c r="N2454" s="4">
        <f t="shared" si="162"/>
        <v>0.27875360095284973</v>
      </c>
      <c r="O2454" s="13">
        <f t="shared" si="163"/>
        <v>0.61278385671976199</v>
      </c>
    </row>
    <row r="2455" spans="2:15">
      <c r="B2455" s="12">
        <v>21</v>
      </c>
      <c r="C2455" s="4" t="s">
        <v>151</v>
      </c>
      <c r="D2455" s="4" t="s">
        <v>154</v>
      </c>
      <c r="E2455" s="4">
        <v>6</v>
      </c>
      <c r="F2455" s="4">
        <v>8</v>
      </c>
      <c r="G2455" s="4">
        <v>4</v>
      </c>
      <c r="H2455" s="115">
        <v>0.10000000000002274</v>
      </c>
      <c r="I2455" s="115">
        <v>0.19999999999993179</v>
      </c>
      <c r="J2455" s="115"/>
      <c r="K2455" s="115">
        <v>0.29999999999995453</v>
      </c>
      <c r="L2455" s="12">
        <f t="shared" si="160"/>
        <v>4.1392685158234015E-2</v>
      </c>
      <c r="M2455" s="4">
        <f t="shared" si="161"/>
        <v>7.9181246047600143E-2</v>
      </c>
      <c r="N2455" s="4">
        <f t="shared" si="162"/>
        <v>0</v>
      </c>
      <c r="O2455" s="13">
        <f t="shared" si="163"/>
        <v>0.11394335230682158</v>
      </c>
    </row>
    <row r="2456" spans="2:15">
      <c r="B2456" s="12">
        <v>21</v>
      </c>
      <c r="C2456" s="4" t="s">
        <v>151</v>
      </c>
      <c r="D2456" s="4" t="s">
        <v>154</v>
      </c>
      <c r="E2456" s="4">
        <v>6</v>
      </c>
      <c r="F2456" s="4">
        <v>8</v>
      </c>
      <c r="G2456" s="4">
        <v>5</v>
      </c>
      <c r="H2456" s="115">
        <v>9.9999999999909051E-2</v>
      </c>
      <c r="I2456" s="115"/>
      <c r="J2456" s="115"/>
      <c r="K2456" s="115">
        <v>9.9999999999909051E-2</v>
      </c>
      <c r="L2456" s="12">
        <f t="shared" si="160"/>
        <v>4.1392685158189134E-2</v>
      </c>
      <c r="M2456" s="4">
        <f t="shared" si="161"/>
        <v>0</v>
      </c>
      <c r="N2456" s="4">
        <f t="shared" si="162"/>
        <v>0</v>
      </c>
      <c r="O2456" s="13">
        <f t="shared" si="163"/>
        <v>4.1392685158189134E-2</v>
      </c>
    </row>
    <row r="2457" spans="2:15">
      <c r="B2457" s="12">
        <v>21</v>
      </c>
      <c r="C2457" s="4" t="s">
        <v>151</v>
      </c>
      <c r="D2457" s="4" t="s">
        <v>154</v>
      </c>
      <c r="E2457" s="4">
        <v>6</v>
      </c>
      <c r="F2457" s="4">
        <v>8</v>
      </c>
      <c r="G2457" s="4">
        <v>6</v>
      </c>
      <c r="H2457" s="115"/>
      <c r="I2457" s="115"/>
      <c r="J2457" s="115"/>
      <c r="K2457" s="115">
        <v>0</v>
      </c>
      <c r="L2457" s="12">
        <f t="shared" si="160"/>
        <v>0</v>
      </c>
      <c r="M2457" s="4">
        <f t="shared" si="161"/>
        <v>0</v>
      </c>
      <c r="N2457" s="4">
        <f t="shared" si="162"/>
        <v>0</v>
      </c>
      <c r="O2457" s="13">
        <f t="shared" si="163"/>
        <v>0</v>
      </c>
    </row>
    <row r="2458" spans="2:15">
      <c r="B2458" s="12">
        <v>21</v>
      </c>
      <c r="C2458" s="4" t="s">
        <v>151</v>
      </c>
      <c r="D2458" s="4" t="s">
        <v>154</v>
      </c>
      <c r="E2458" s="4">
        <v>6</v>
      </c>
      <c r="F2458" s="4">
        <v>8</v>
      </c>
      <c r="G2458" s="4">
        <v>7</v>
      </c>
      <c r="H2458" s="115"/>
      <c r="I2458" s="115"/>
      <c r="J2458" s="115"/>
      <c r="K2458" s="115">
        <v>0</v>
      </c>
      <c r="L2458" s="12">
        <f t="shared" si="160"/>
        <v>0</v>
      </c>
      <c r="M2458" s="4">
        <f t="shared" si="161"/>
        <v>0</v>
      </c>
      <c r="N2458" s="4">
        <f t="shared" si="162"/>
        <v>0</v>
      </c>
      <c r="O2458" s="13">
        <f t="shared" si="163"/>
        <v>0</v>
      </c>
    </row>
    <row r="2459" spans="2:15">
      <c r="B2459" s="12">
        <v>21</v>
      </c>
      <c r="C2459" s="4" t="s">
        <v>151</v>
      </c>
      <c r="D2459" s="4" t="s">
        <v>154</v>
      </c>
      <c r="E2459" s="4">
        <v>6</v>
      </c>
      <c r="F2459" s="4">
        <v>8</v>
      </c>
      <c r="G2459" s="4">
        <v>8</v>
      </c>
      <c r="H2459" s="115"/>
      <c r="I2459" s="115"/>
      <c r="J2459" s="115"/>
      <c r="K2459" s="115">
        <v>0</v>
      </c>
      <c r="L2459" s="12">
        <f t="shared" si="160"/>
        <v>0</v>
      </c>
      <c r="M2459" s="4">
        <f t="shared" si="161"/>
        <v>0</v>
      </c>
      <c r="N2459" s="4">
        <f t="shared" si="162"/>
        <v>0</v>
      </c>
      <c r="O2459" s="13">
        <f t="shared" si="163"/>
        <v>0</v>
      </c>
    </row>
    <row r="2460" spans="2:15">
      <c r="B2460" s="12">
        <v>21</v>
      </c>
      <c r="C2460" s="4" t="s">
        <v>151</v>
      </c>
      <c r="D2460" s="4" t="s">
        <v>154</v>
      </c>
      <c r="E2460" s="4">
        <v>6</v>
      </c>
      <c r="F2460" s="4">
        <v>8</v>
      </c>
      <c r="G2460" s="4">
        <v>9</v>
      </c>
      <c r="H2460" s="115"/>
      <c r="I2460" s="115"/>
      <c r="J2460" s="115"/>
      <c r="K2460" s="115">
        <v>0</v>
      </c>
      <c r="L2460" s="12">
        <f t="shared" si="160"/>
        <v>0</v>
      </c>
      <c r="M2460" s="4">
        <f t="shared" si="161"/>
        <v>0</v>
      </c>
      <c r="N2460" s="4">
        <f t="shared" si="162"/>
        <v>0</v>
      </c>
      <c r="O2460" s="13">
        <f t="shared" si="163"/>
        <v>0</v>
      </c>
    </row>
    <row r="2461" spans="2:15" ht="13.8" thickBot="1">
      <c r="B2461" s="14">
        <v>21</v>
      </c>
      <c r="C2461" s="15" t="s">
        <v>151</v>
      </c>
      <c r="D2461" s="15" t="s">
        <v>154</v>
      </c>
      <c r="E2461" s="15">
        <v>6</v>
      </c>
      <c r="F2461" s="15">
        <v>8</v>
      </c>
      <c r="G2461" s="15">
        <v>10</v>
      </c>
      <c r="H2461" s="121"/>
      <c r="I2461" s="121"/>
      <c r="J2461" s="121"/>
      <c r="K2461" s="121">
        <v>0</v>
      </c>
      <c r="L2461" s="14">
        <f t="shared" si="160"/>
        <v>0</v>
      </c>
      <c r="M2461" s="15">
        <f t="shared" si="161"/>
        <v>0</v>
      </c>
      <c r="N2461" s="15">
        <f t="shared" si="162"/>
        <v>0</v>
      </c>
      <c r="O2461" s="16">
        <f t="shared" si="163"/>
        <v>0</v>
      </c>
    </row>
    <row r="2462" spans="2:15">
      <c r="B2462" s="9">
        <v>21</v>
      </c>
      <c r="C2462" s="10" t="s">
        <v>152</v>
      </c>
      <c r="D2462" s="10" t="s">
        <v>150</v>
      </c>
      <c r="E2462" s="93">
        <v>7</v>
      </c>
      <c r="F2462" s="93">
        <v>9</v>
      </c>
      <c r="G2462" s="10">
        <v>1</v>
      </c>
      <c r="H2462" s="120">
        <v>4.6709999999999354</v>
      </c>
      <c r="I2462" s="120">
        <v>0.45000000000004547</v>
      </c>
      <c r="J2462" s="120">
        <v>3.4029999999999063</v>
      </c>
      <c r="K2462" s="120">
        <v>8.5239999999998872</v>
      </c>
      <c r="L2462" s="9">
        <f t="shared" si="160"/>
        <v>0.75365964728599377</v>
      </c>
      <c r="M2462" s="10">
        <f t="shared" si="161"/>
        <v>0.16136800223498851</v>
      </c>
      <c r="N2462" s="10">
        <f t="shared" si="162"/>
        <v>0.64374868545951647</v>
      </c>
      <c r="O2462" s="11">
        <f t="shared" si="163"/>
        <v>0.97881938673283708</v>
      </c>
    </row>
    <row r="2463" spans="2:15">
      <c r="B2463" s="12">
        <v>21</v>
      </c>
      <c r="C2463" s="4" t="s">
        <v>152</v>
      </c>
      <c r="D2463" s="4" t="s">
        <v>150</v>
      </c>
      <c r="E2463" s="4">
        <v>7</v>
      </c>
      <c r="F2463" s="4">
        <v>9</v>
      </c>
      <c r="G2463" s="4">
        <v>2</v>
      </c>
      <c r="H2463" s="115">
        <v>1.4669999999998709</v>
      </c>
      <c r="I2463" s="115">
        <v>1.6660000000000537</v>
      </c>
      <c r="J2463" s="115">
        <v>2.9329999999999927</v>
      </c>
      <c r="K2463" s="115">
        <v>6.0659999999999172</v>
      </c>
      <c r="L2463" s="12">
        <f t="shared" si="160"/>
        <v>0.39216914948971332</v>
      </c>
      <c r="M2463" s="4">
        <f t="shared" si="161"/>
        <v>0.42586014507784914</v>
      </c>
      <c r="N2463" s="4">
        <f t="shared" si="162"/>
        <v>0.59472394640974591</v>
      </c>
      <c r="O2463" s="13">
        <f t="shared" si="163"/>
        <v>0.84917363309882155</v>
      </c>
    </row>
    <row r="2464" spans="2:15">
      <c r="B2464" s="12">
        <v>21</v>
      </c>
      <c r="C2464" s="4" t="s">
        <v>152</v>
      </c>
      <c r="D2464" s="4" t="s">
        <v>150</v>
      </c>
      <c r="E2464" s="4">
        <v>7</v>
      </c>
      <c r="F2464" s="4">
        <v>9</v>
      </c>
      <c r="G2464" s="4">
        <v>3</v>
      </c>
      <c r="H2464" s="115">
        <v>0.48300000000006094</v>
      </c>
      <c r="I2464" s="115"/>
      <c r="J2464" s="115">
        <v>2.4160000000000537</v>
      </c>
      <c r="K2464" s="115">
        <v>2.8990000000001146</v>
      </c>
      <c r="L2464" s="12">
        <f t="shared" si="160"/>
        <v>0.17114115102839986</v>
      </c>
      <c r="M2464" s="4">
        <f t="shared" si="161"/>
        <v>0</v>
      </c>
      <c r="N2464" s="4">
        <f t="shared" si="162"/>
        <v>0.53351786201697426</v>
      </c>
      <c r="O2464" s="13">
        <f t="shared" si="163"/>
        <v>0.59095323518799847</v>
      </c>
    </row>
    <row r="2465" spans="2:15">
      <c r="B2465" s="12">
        <v>21</v>
      </c>
      <c r="C2465" s="4" t="s">
        <v>152</v>
      </c>
      <c r="D2465" s="4" t="s">
        <v>150</v>
      </c>
      <c r="E2465" s="4">
        <v>7</v>
      </c>
      <c r="F2465" s="4">
        <v>9</v>
      </c>
      <c r="G2465" s="4">
        <v>4</v>
      </c>
      <c r="H2465" s="115">
        <v>1.334999999999809</v>
      </c>
      <c r="I2465" s="115">
        <v>1.6669999999998026</v>
      </c>
      <c r="J2465" s="115">
        <v>0.23400000000003729</v>
      </c>
      <c r="K2465" s="115">
        <v>3.2359999999996489</v>
      </c>
      <c r="L2465" s="12">
        <f t="shared" si="160"/>
        <v>0.36828688490209543</v>
      </c>
      <c r="M2465" s="4">
        <f t="shared" si="161"/>
        <v>0.42602301568984402</v>
      </c>
      <c r="N2465" s="4">
        <f t="shared" si="162"/>
        <v>9.1315159697235998E-2</v>
      </c>
      <c r="O2465" s="13">
        <f t="shared" si="163"/>
        <v>0.62695595143541138</v>
      </c>
    </row>
    <row r="2466" spans="2:15">
      <c r="B2466" s="12">
        <v>21</v>
      </c>
      <c r="C2466" s="4" t="s">
        <v>152</v>
      </c>
      <c r="D2466" s="4" t="s">
        <v>150</v>
      </c>
      <c r="E2466" s="4">
        <v>7</v>
      </c>
      <c r="F2466" s="4">
        <v>9</v>
      </c>
      <c r="G2466" s="4">
        <v>5</v>
      </c>
      <c r="H2466" s="115">
        <v>0.16600000000005366</v>
      </c>
      <c r="I2466" s="115"/>
      <c r="J2466" s="115">
        <v>0.10000000000002274</v>
      </c>
      <c r="K2466" s="115">
        <v>0.2660000000000764</v>
      </c>
      <c r="L2466" s="12">
        <f t="shared" si="160"/>
        <v>6.6698550423015271E-2</v>
      </c>
      <c r="M2466" s="4">
        <f t="shared" si="161"/>
        <v>0</v>
      </c>
      <c r="N2466" s="4">
        <f t="shared" si="162"/>
        <v>4.1392685158234015E-2</v>
      </c>
      <c r="O2466" s="13">
        <f t="shared" si="163"/>
        <v>0.10243370568136251</v>
      </c>
    </row>
    <row r="2467" spans="2:15">
      <c r="B2467" s="12">
        <v>21</v>
      </c>
      <c r="C2467" s="4" t="s">
        <v>152</v>
      </c>
      <c r="D2467" s="4" t="s">
        <v>150</v>
      </c>
      <c r="E2467" s="4">
        <v>7</v>
      </c>
      <c r="F2467" s="4">
        <v>9</v>
      </c>
      <c r="G2467" s="4">
        <v>6</v>
      </c>
      <c r="H2467" s="115"/>
      <c r="I2467" s="115"/>
      <c r="J2467" s="115"/>
      <c r="K2467" s="115">
        <v>0</v>
      </c>
      <c r="L2467" s="12">
        <f t="shared" si="160"/>
        <v>0</v>
      </c>
      <c r="M2467" s="4">
        <f t="shared" si="161"/>
        <v>0</v>
      </c>
      <c r="N2467" s="4">
        <f t="shared" si="162"/>
        <v>0</v>
      </c>
      <c r="O2467" s="13">
        <f t="shared" si="163"/>
        <v>0</v>
      </c>
    </row>
    <row r="2468" spans="2:15">
      <c r="B2468" s="12">
        <v>21</v>
      </c>
      <c r="C2468" s="4" t="s">
        <v>152</v>
      </c>
      <c r="D2468" s="4" t="s">
        <v>150</v>
      </c>
      <c r="E2468" s="4">
        <v>7</v>
      </c>
      <c r="F2468" s="4">
        <v>9</v>
      </c>
      <c r="G2468" s="4">
        <v>7</v>
      </c>
      <c r="H2468" s="115"/>
      <c r="I2468" s="115"/>
      <c r="J2468" s="115"/>
      <c r="K2468" s="115">
        <v>0</v>
      </c>
      <c r="L2468" s="12">
        <f t="shared" si="160"/>
        <v>0</v>
      </c>
      <c r="M2468" s="4">
        <f t="shared" si="161"/>
        <v>0</v>
      </c>
      <c r="N2468" s="4">
        <f t="shared" si="162"/>
        <v>0</v>
      </c>
      <c r="O2468" s="13">
        <f t="shared" si="163"/>
        <v>0</v>
      </c>
    </row>
    <row r="2469" spans="2:15">
      <c r="B2469" s="12">
        <v>21</v>
      </c>
      <c r="C2469" s="4" t="s">
        <v>152</v>
      </c>
      <c r="D2469" s="4" t="s">
        <v>150</v>
      </c>
      <c r="E2469" s="4">
        <v>7</v>
      </c>
      <c r="F2469" s="4">
        <v>9</v>
      </c>
      <c r="G2469" s="4">
        <v>8</v>
      </c>
      <c r="H2469" s="115"/>
      <c r="I2469" s="115"/>
      <c r="J2469" s="115"/>
      <c r="K2469" s="115">
        <v>0</v>
      </c>
      <c r="L2469" s="12">
        <f t="shared" si="160"/>
        <v>0</v>
      </c>
      <c r="M2469" s="4">
        <f t="shared" si="161"/>
        <v>0</v>
      </c>
      <c r="N2469" s="4">
        <f t="shared" si="162"/>
        <v>0</v>
      </c>
      <c r="O2469" s="13">
        <f t="shared" si="163"/>
        <v>0</v>
      </c>
    </row>
    <row r="2470" spans="2:15">
      <c r="B2470" s="12">
        <v>21</v>
      </c>
      <c r="C2470" s="4" t="s">
        <v>152</v>
      </c>
      <c r="D2470" s="4" t="s">
        <v>150</v>
      </c>
      <c r="E2470" s="4">
        <v>7</v>
      </c>
      <c r="F2470" s="4">
        <v>9</v>
      </c>
      <c r="G2470" s="4">
        <v>9</v>
      </c>
      <c r="H2470" s="115"/>
      <c r="I2470" s="115"/>
      <c r="J2470" s="115"/>
      <c r="K2470" s="115">
        <v>0</v>
      </c>
      <c r="L2470" s="12">
        <f t="shared" si="160"/>
        <v>0</v>
      </c>
      <c r="M2470" s="4">
        <f t="shared" si="161"/>
        <v>0</v>
      </c>
      <c r="N2470" s="4">
        <f t="shared" si="162"/>
        <v>0</v>
      </c>
      <c r="O2470" s="13">
        <f t="shared" si="163"/>
        <v>0</v>
      </c>
    </row>
    <row r="2471" spans="2:15" ht="13.8" thickBot="1">
      <c r="B2471" s="14">
        <v>21</v>
      </c>
      <c r="C2471" s="15" t="s">
        <v>152</v>
      </c>
      <c r="D2471" s="15" t="s">
        <v>150</v>
      </c>
      <c r="E2471" s="15">
        <v>7</v>
      </c>
      <c r="F2471" s="15">
        <v>9</v>
      </c>
      <c r="G2471" s="15">
        <v>10</v>
      </c>
      <c r="H2471" s="121"/>
      <c r="I2471" s="121"/>
      <c r="J2471" s="121"/>
      <c r="K2471" s="121">
        <v>0</v>
      </c>
      <c r="L2471" s="14">
        <f t="shared" ref="L2471:L2534" si="164">LOG10(H2471+1)</f>
        <v>0</v>
      </c>
      <c r="M2471" s="15">
        <f t="shared" ref="M2471:M2534" si="165">LOG10(I2471+1)</f>
        <v>0</v>
      </c>
      <c r="N2471" s="15">
        <f t="shared" ref="N2471:N2534" si="166">LOG10(J2471+1)</f>
        <v>0</v>
      </c>
      <c r="O2471" s="16">
        <f t="shared" ref="O2471:O2534" si="167">LOG10(K2471+1)</f>
        <v>0</v>
      </c>
    </row>
    <row r="2472" spans="2:15">
      <c r="B2472" s="9">
        <v>21</v>
      </c>
      <c r="C2472" s="10" t="s">
        <v>152</v>
      </c>
      <c r="D2472" s="10" t="s">
        <v>154</v>
      </c>
      <c r="E2472" s="93">
        <v>8</v>
      </c>
      <c r="F2472" s="93">
        <v>5</v>
      </c>
      <c r="G2472" s="10">
        <v>1</v>
      </c>
      <c r="H2472" s="120">
        <v>3.5640000000000782</v>
      </c>
      <c r="I2472" s="120">
        <v>0.83400000000006003</v>
      </c>
      <c r="J2472" s="120">
        <v>2.1509999999999536</v>
      </c>
      <c r="K2472" s="120">
        <v>6.5490000000000919</v>
      </c>
      <c r="L2472" s="9">
        <f t="shared" si="164"/>
        <v>0.65934563574618443</v>
      </c>
      <c r="M2472" s="10">
        <f t="shared" si="165"/>
        <v>0.2633993313340165</v>
      </c>
      <c r="N2472" s="10">
        <f t="shared" si="166"/>
        <v>0.49844840317399325</v>
      </c>
      <c r="O2472" s="11">
        <f t="shared" si="167"/>
        <v>0.87788942537148928</v>
      </c>
    </row>
    <row r="2473" spans="2:15">
      <c r="B2473" s="12">
        <v>21</v>
      </c>
      <c r="C2473" s="4" t="s">
        <v>152</v>
      </c>
      <c r="D2473" s="4" t="s">
        <v>154</v>
      </c>
      <c r="E2473" s="4">
        <v>8</v>
      </c>
      <c r="F2473" s="4">
        <v>5</v>
      </c>
      <c r="G2473" s="4">
        <v>2</v>
      </c>
      <c r="H2473" s="115">
        <v>2.1149999999999523</v>
      </c>
      <c r="I2473" s="115">
        <v>1.3000000000000682</v>
      </c>
      <c r="J2473" s="115">
        <v>1.3179999999999268</v>
      </c>
      <c r="K2473" s="115">
        <v>4.7329999999999472</v>
      </c>
      <c r="L2473" s="12">
        <f t="shared" si="164"/>
        <v>0.49345805099518175</v>
      </c>
      <c r="M2473" s="4">
        <f t="shared" si="165"/>
        <v>0.36172783601760577</v>
      </c>
      <c r="N2473" s="4">
        <f t="shared" si="166"/>
        <v>0.36511343162756349</v>
      </c>
      <c r="O2473" s="13">
        <f t="shared" si="167"/>
        <v>0.75838194177467133</v>
      </c>
    </row>
    <row r="2474" spans="2:15">
      <c r="B2474" s="12">
        <v>21</v>
      </c>
      <c r="C2474" s="4" t="s">
        <v>152</v>
      </c>
      <c r="D2474" s="4" t="s">
        <v>154</v>
      </c>
      <c r="E2474" s="4">
        <v>8</v>
      </c>
      <c r="F2474" s="4">
        <v>5</v>
      </c>
      <c r="G2474" s="4">
        <v>3</v>
      </c>
      <c r="H2474" s="115">
        <v>0.26600000000001955</v>
      </c>
      <c r="I2474" s="115">
        <v>0.16700000000003001</v>
      </c>
      <c r="J2474" s="115">
        <v>9.9999999999965894E-2</v>
      </c>
      <c r="K2474" s="115">
        <v>0.53300000000001546</v>
      </c>
      <c r="L2474" s="12">
        <f t="shared" si="164"/>
        <v>0.10243370568134301</v>
      </c>
      <c r="M2474" s="4">
        <f t="shared" si="165"/>
        <v>6.707085604538135E-2</v>
      </c>
      <c r="N2474" s="4">
        <f t="shared" si="166"/>
        <v>4.1392685158211574E-2</v>
      </c>
      <c r="O2474" s="13">
        <f t="shared" si="167"/>
        <v>0.18554215485437955</v>
      </c>
    </row>
    <row r="2475" spans="2:15">
      <c r="B2475" s="12">
        <v>21</v>
      </c>
      <c r="C2475" s="4" t="s">
        <v>152</v>
      </c>
      <c r="D2475" s="4" t="s">
        <v>154</v>
      </c>
      <c r="E2475" s="4">
        <v>8</v>
      </c>
      <c r="F2475" s="4">
        <v>5</v>
      </c>
      <c r="G2475" s="4">
        <v>4</v>
      </c>
      <c r="H2475" s="115"/>
      <c r="I2475" s="115"/>
      <c r="J2475" s="115"/>
      <c r="K2475" s="115">
        <v>0</v>
      </c>
      <c r="L2475" s="12">
        <f t="shared" si="164"/>
        <v>0</v>
      </c>
      <c r="M2475" s="4">
        <f t="shared" si="165"/>
        <v>0</v>
      </c>
      <c r="N2475" s="4">
        <f t="shared" si="166"/>
        <v>0</v>
      </c>
      <c r="O2475" s="13">
        <f t="shared" si="167"/>
        <v>0</v>
      </c>
    </row>
    <row r="2476" spans="2:15">
      <c r="B2476" s="12">
        <v>21</v>
      </c>
      <c r="C2476" s="4" t="s">
        <v>152</v>
      </c>
      <c r="D2476" s="4" t="s">
        <v>154</v>
      </c>
      <c r="E2476" s="4">
        <v>8</v>
      </c>
      <c r="F2476" s="4">
        <v>5</v>
      </c>
      <c r="G2476" s="4">
        <v>5</v>
      </c>
      <c r="H2476" s="115"/>
      <c r="I2476" s="115"/>
      <c r="J2476" s="115"/>
      <c r="K2476" s="115">
        <v>0</v>
      </c>
      <c r="L2476" s="12">
        <f t="shared" si="164"/>
        <v>0</v>
      </c>
      <c r="M2476" s="4">
        <f t="shared" si="165"/>
        <v>0</v>
      </c>
      <c r="N2476" s="4">
        <f t="shared" si="166"/>
        <v>0</v>
      </c>
      <c r="O2476" s="13">
        <f t="shared" si="167"/>
        <v>0</v>
      </c>
    </row>
    <row r="2477" spans="2:15">
      <c r="B2477" s="12">
        <v>21</v>
      </c>
      <c r="C2477" s="4" t="s">
        <v>152</v>
      </c>
      <c r="D2477" s="4" t="s">
        <v>154</v>
      </c>
      <c r="E2477" s="4">
        <v>8</v>
      </c>
      <c r="F2477" s="4">
        <v>5</v>
      </c>
      <c r="G2477" s="4">
        <v>6</v>
      </c>
      <c r="H2477" s="115"/>
      <c r="I2477" s="115"/>
      <c r="J2477" s="115"/>
      <c r="K2477" s="115">
        <v>0</v>
      </c>
      <c r="L2477" s="12">
        <f t="shared" si="164"/>
        <v>0</v>
      </c>
      <c r="M2477" s="4">
        <f t="shared" si="165"/>
        <v>0</v>
      </c>
      <c r="N2477" s="4">
        <f t="shared" si="166"/>
        <v>0</v>
      </c>
      <c r="O2477" s="13">
        <f t="shared" si="167"/>
        <v>0</v>
      </c>
    </row>
    <row r="2478" spans="2:15">
      <c r="B2478" s="12">
        <v>21</v>
      </c>
      <c r="C2478" s="4" t="s">
        <v>152</v>
      </c>
      <c r="D2478" s="4" t="s">
        <v>154</v>
      </c>
      <c r="E2478" s="4">
        <v>8</v>
      </c>
      <c r="F2478" s="4">
        <v>5</v>
      </c>
      <c r="G2478" s="4">
        <v>7</v>
      </c>
      <c r="H2478" s="115"/>
      <c r="I2478" s="115"/>
      <c r="J2478" s="115"/>
      <c r="K2478" s="115">
        <v>0</v>
      </c>
      <c r="L2478" s="12">
        <f t="shared" si="164"/>
        <v>0</v>
      </c>
      <c r="M2478" s="4">
        <f t="shared" si="165"/>
        <v>0</v>
      </c>
      <c r="N2478" s="4">
        <f t="shared" si="166"/>
        <v>0</v>
      </c>
      <c r="O2478" s="13">
        <f t="shared" si="167"/>
        <v>0</v>
      </c>
    </row>
    <row r="2479" spans="2:15">
      <c r="B2479" s="12">
        <v>21</v>
      </c>
      <c r="C2479" s="4" t="s">
        <v>152</v>
      </c>
      <c r="D2479" s="4" t="s">
        <v>154</v>
      </c>
      <c r="E2479" s="4">
        <v>8</v>
      </c>
      <c r="F2479" s="4">
        <v>5</v>
      </c>
      <c r="G2479" s="4">
        <v>8</v>
      </c>
      <c r="H2479" s="115"/>
      <c r="I2479" s="115"/>
      <c r="J2479" s="115"/>
      <c r="K2479" s="115">
        <v>0</v>
      </c>
      <c r="L2479" s="12">
        <f t="shared" si="164"/>
        <v>0</v>
      </c>
      <c r="M2479" s="4">
        <f t="shared" si="165"/>
        <v>0</v>
      </c>
      <c r="N2479" s="4">
        <f t="shared" si="166"/>
        <v>0</v>
      </c>
      <c r="O2479" s="13">
        <f t="shared" si="167"/>
        <v>0</v>
      </c>
    </row>
    <row r="2480" spans="2:15">
      <c r="B2480" s="12">
        <v>21</v>
      </c>
      <c r="C2480" s="4" t="s">
        <v>152</v>
      </c>
      <c r="D2480" s="4" t="s">
        <v>154</v>
      </c>
      <c r="E2480" s="4">
        <v>8</v>
      </c>
      <c r="F2480" s="4">
        <v>5</v>
      </c>
      <c r="G2480" s="4">
        <v>9</v>
      </c>
      <c r="H2480" s="115"/>
      <c r="I2480" s="115"/>
      <c r="J2480" s="115"/>
      <c r="K2480" s="115">
        <v>0</v>
      </c>
      <c r="L2480" s="12">
        <f t="shared" si="164"/>
        <v>0</v>
      </c>
      <c r="M2480" s="4">
        <f t="shared" si="165"/>
        <v>0</v>
      </c>
      <c r="N2480" s="4">
        <f t="shared" si="166"/>
        <v>0</v>
      </c>
      <c r="O2480" s="13">
        <f t="shared" si="167"/>
        <v>0</v>
      </c>
    </row>
    <row r="2481" spans="2:15" ht="13.8" thickBot="1">
      <c r="B2481" s="14">
        <v>21</v>
      </c>
      <c r="C2481" s="15" t="s">
        <v>152</v>
      </c>
      <c r="D2481" s="15" t="s">
        <v>154</v>
      </c>
      <c r="E2481" s="15">
        <v>8</v>
      </c>
      <c r="F2481" s="15">
        <v>5</v>
      </c>
      <c r="G2481" s="15">
        <v>10</v>
      </c>
      <c r="H2481" s="121"/>
      <c r="I2481" s="121"/>
      <c r="J2481" s="121"/>
      <c r="K2481" s="121">
        <v>0</v>
      </c>
      <c r="L2481" s="14">
        <f t="shared" si="164"/>
        <v>0</v>
      </c>
      <c r="M2481" s="15">
        <f t="shared" si="165"/>
        <v>0</v>
      </c>
      <c r="N2481" s="15">
        <f t="shared" si="166"/>
        <v>0</v>
      </c>
      <c r="O2481" s="16">
        <f t="shared" si="167"/>
        <v>0</v>
      </c>
    </row>
    <row r="2482" spans="2:15">
      <c r="B2482" s="9">
        <v>21</v>
      </c>
      <c r="C2482" s="10" t="s">
        <v>152</v>
      </c>
      <c r="D2482" s="10" t="s">
        <v>154</v>
      </c>
      <c r="E2482" s="93">
        <v>9</v>
      </c>
      <c r="F2482" s="93">
        <v>7</v>
      </c>
      <c r="G2482" s="10">
        <v>1</v>
      </c>
      <c r="H2482" s="120">
        <v>1.2839999999999918</v>
      </c>
      <c r="I2482" s="120">
        <v>0.43400000000008276</v>
      </c>
      <c r="J2482" s="120">
        <v>1.8000000000000682</v>
      </c>
      <c r="K2482" s="120">
        <v>3.5180000000001428</v>
      </c>
      <c r="L2482" s="9">
        <f t="shared" si="164"/>
        <v>0.35869609957380888</v>
      </c>
      <c r="M2482" s="10">
        <f t="shared" si="165"/>
        <v>0.15654915133180639</v>
      </c>
      <c r="N2482" s="10">
        <f t="shared" si="166"/>
        <v>0.44715803134222981</v>
      </c>
      <c r="O2482" s="11">
        <f t="shared" si="167"/>
        <v>0.65494622658435797</v>
      </c>
    </row>
    <row r="2483" spans="2:15">
      <c r="B2483" s="12">
        <v>21</v>
      </c>
      <c r="C2483" s="4" t="s">
        <v>152</v>
      </c>
      <c r="D2483" s="4" t="s">
        <v>154</v>
      </c>
      <c r="E2483" s="4">
        <v>9</v>
      </c>
      <c r="F2483" s="4">
        <v>7</v>
      </c>
      <c r="G2483" s="4">
        <v>2</v>
      </c>
      <c r="H2483" s="115">
        <v>1.0819999999998799</v>
      </c>
      <c r="I2483" s="115">
        <v>0.10000000000002274</v>
      </c>
      <c r="J2483" s="115">
        <v>0.14999999999997726</v>
      </c>
      <c r="K2483" s="115">
        <v>1.3319999999998799</v>
      </c>
      <c r="L2483" s="12">
        <f t="shared" si="164"/>
        <v>0.31848072517449233</v>
      </c>
      <c r="M2483" s="4">
        <f t="shared" si="165"/>
        <v>4.1392685158234015E-2</v>
      </c>
      <c r="N2483" s="4">
        <f t="shared" si="166"/>
        <v>6.0697840353603094E-2</v>
      </c>
      <c r="O2483" s="13">
        <f t="shared" si="167"/>
        <v>0.3677285460869541</v>
      </c>
    </row>
    <row r="2484" spans="2:15">
      <c r="B2484" s="12">
        <v>21</v>
      </c>
      <c r="C2484" s="4" t="s">
        <v>152</v>
      </c>
      <c r="D2484" s="4" t="s">
        <v>154</v>
      </c>
      <c r="E2484" s="4">
        <v>9</v>
      </c>
      <c r="F2484" s="4">
        <v>7</v>
      </c>
      <c r="G2484" s="4">
        <v>3</v>
      </c>
      <c r="H2484" s="115"/>
      <c r="I2484" s="115"/>
      <c r="J2484" s="115"/>
      <c r="K2484" s="115">
        <v>0</v>
      </c>
      <c r="L2484" s="12">
        <f t="shared" si="164"/>
        <v>0</v>
      </c>
      <c r="M2484" s="4">
        <f t="shared" si="165"/>
        <v>0</v>
      </c>
      <c r="N2484" s="4">
        <f t="shared" si="166"/>
        <v>0</v>
      </c>
      <c r="O2484" s="13">
        <f t="shared" si="167"/>
        <v>0</v>
      </c>
    </row>
    <row r="2485" spans="2:15">
      <c r="B2485" s="12">
        <v>21</v>
      </c>
      <c r="C2485" s="4" t="s">
        <v>152</v>
      </c>
      <c r="D2485" s="4" t="s">
        <v>154</v>
      </c>
      <c r="E2485" s="4">
        <v>9</v>
      </c>
      <c r="F2485" s="4">
        <v>7</v>
      </c>
      <c r="G2485" s="4">
        <v>4</v>
      </c>
      <c r="H2485" s="115">
        <v>0.11599999999998545</v>
      </c>
      <c r="I2485" s="115"/>
      <c r="J2485" s="115"/>
      <c r="K2485" s="115">
        <v>0.11599999999998545</v>
      </c>
      <c r="L2485" s="12">
        <f t="shared" si="164"/>
        <v>4.7664194601554279E-2</v>
      </c>
      <c r="M2485" s="4">
        <f t="shared" si="165"/>
        <v>0</v>
      </c>
      <c r="N2485" s="4">
        <f t="shared" si="166"/>
        <v>0</v>
      </c>
      <c r="O2485" s="13">
        <f t="shared" si="167"/>
        <v>4.7664194601554279E-2</v>
      </c>
    </row>
    <row r="2486" spans="2:15">
      <c r="B2486" s="12">
        <v>21</v>
      </c>
      <c r="C2486" s="4" t="s">
        <v>152</v>
      </c>
      <c r="D2486" s="4" t="s">
        <v>154</v>
      </c>
      <c r="E2486" s="4">
        <v>9</v>
      </c>
      <c r="F2486" s="4">
        <v>7</v>
      </c>
      <c r="G2486" s="4">
        <v>5</v>
      </c>
      <c r="H2486" s="115"/>
      <c r="I2486" s="115"/>
      <c r="J2486" s="115"/>
      <c r="K2486" s="115">
        <v>0</v>
      </c>
      <c r="L2486" s="12">
        <f t="shared" si="164"/>
        <v>0</v>
      </c>
      <c r="M2486" s="4">
        <f t="shared" si="165"/>
        <v>0</v>
      </c>
      <c r="N2486" s="4">
        <f t="shared" si="166"/>
        <v>0</v>
      </c>
      <c r="O2486" s="13">
        <f t="shared" si="167"/>
        <v>0</v>
      </c>
    </row>
    <row r="2487" spans="2:15">
      <c r="B2487" s="12">
        <v>21</v>
      </c>
      <c r="C2487" s="4" t="s">
        <v>152</v>
      </c>
      <c r="D2487" s="4" t="s">
        <v>154</v>
      </c>
      <c r="E2487" s="4">
        <v>9</v>
      </c>
      <c r="F2487" s="4">
        <v>7</v>
      </c>
      <c r="G2487" s="4">
        <v>6</v>
      </c>
      <c r="H2487" s="115"/>
      <c r="I2487" s="115"/>
      <c r="J2487" s="115"/>
      <c r="K2487" s="115">
        <v>0</v>
      </c>
      <c r="L2487" s="12">
        <f t="shared" si="164"/>
        <v>0</v>
      </c>
      <c r="M2487" s="4">
        <f t="shared" si="165"/>
        <v>0</v>
      </c>
      <c r="N2487" s="4">
        <f t="shared" si="166"/>
        <v>0</v>
      </c>
      <c r="O2487" s="13">
        <f t="shared" si="167"/>
        <v>0</v>
      </c>
    </row>
    <row r="2488" spans="2:15">
      <c r="B2488" s="12">
        <v>21</v>
      </c>
      <c r="C2488" s="4" t="s">
        <v>152</v>
      </c>
      <c r="D2488" s="4" t="s">
        <v>154</v>
      </c>
      <c r="E2488" s="4">
        <v>9</v>
      </c>
      <c r="F2488" s="4">
        <v>7</v>
      </c>
      <c r="G2488" s="4">
        <v>7</v>
      </c>
      <c r="H2488" s="115"/>
      <c r="I2488" s="115"/>
      <c r="J2488" s="115"/>
      <c r="K2488" s="115">
        <v>0</v>
      </c>
      <c r="L2488" s="12">
        <f t="shared" si="164"/>
        <v>0</v>
      </c>
      <c r="M2488" s="4">
        <f t="shared" si="165"/>
        <v>0</v>
      </c>
      <c r="N2488" s="4">
        <f t="shared" si="166"/>
        <v>0</v>
      </c>
      <c r="O2488" s="13">
        <f t="shared" si="167"/>
        <v>0</v>
      </c>
    </row>
    <row r="2489" spans="2:15">
      <c r="B2489" s="12">
        <v>21</v>
      </c>
      <c r="C2489" s="4" t="s">
        <v>152</v>
      </c>
      <c r="D2489" s="4" t="s">
        <v>154</v>
      </c>
      <c r="E2489" s="4">
        <v>9</v>
      </c>
      <c r="F2489" s="4">
        <v>7</v>
      </c>
      <c r="G2489" s="4">
        <v>8</v>
      </c>
      <c r="H2489" s="115"/>
      <c r="I2489" s="115"/>
      <c r="J2489" s="115"/>
      <c r="K2489" s="115">
        <v>0</v>
      </c>
      <c r="L2489" s="12">
        <f t="shared" si="164"/>
        <v>0</v>
      </c>
      <c r="M2489" s="4">
        <f t="shared" si="165"/>
        <v>0</v>
      </c>
      <c r="N2489" s="4">
        <f t="shared" si="166"/>
        <v>0</v>
      </c>
      <c r="O2489" s="13">
        <f t="shared" si="167"/>
        <v>0</v>
      </c>
    </row>
    <row r="2490" spans="2:15">
      <c r="B2490" s="12">
        <v>21</v>
      </c>
      <c r="C2490" s="4" t="s">
        <v>152</v>
      </c>
      <c r="D2490" s="4" t="s">
        <v>154</v>
      </c>
      <c r="E2490" s="4">
        <v>9</v>
      </c>
      <c r="F2490" s="4">
        <v>7</v>
      </c>
      <c r="G2490" s="4">
        <v>9</v>
      </c>
      <c r="H2490" s="115"/>
      <c r="I2490" s="115"/>
      <c r="J2490" s="115"/>
      <c r="K2490" s="115">
        <v>0</v>
      </c>
      <c r="L2490" s="12">
        <f t="shared" si="164"/>
        <v>0</v>
      </c>
      <c r="M2490" s="4">
        <f t="shared" si="165"/>
        <v>0</v>
      </c>
      <c r="N2490" s="4">
        <f t="shared" si="166"/>
        <v>0</v>
      </c>
      <c r="O2490" s="13">
        <f t="shared" si="167"/>
        <v>0</v>
      </c>
    </row>
    <row r="2491" spans="2:15" ht="13.8" thickBot="1">
      <c r="B2491" s="14">
        <v>21</v>
      </c>
      <c r="C2491" s="15" t="s">
        <v>152</v>
      </c>
      <c r="D2491" s="15" t="s">
        <v>154</v>
      </c>
      <c r="E2491" s="15">
        <v>9</v>
      </c>
      <c r="F2491" s="15">
        <v>7</v>
      </c>
      <c r="G2491" s="15">
        <v>10</v>
      </c>
      <c r="H2491" s="121"/>
      <c r="I2491" s="121"/>
      <c r="J2491" s="121"/>
      <c r="K2491" s="121">
        <v>0</v>
      </c>
      <c r="L2491" s="14">
        <f t="shared" si="164"/>
        <v>0</v>
      </c>
      <c r="M2491" s="15">
        <f t="shared" si="165"/>
        <v>0</v>
      </c>
      <c r="N2491" s="15">
        <f t="shared" si="166"/>
        <v>0</v>
      </c>
      <c r="O2491" s="16">
        <f t="shared" si="167"/>
        <v>0</v>
      </c>
    </row>
    <row r="2492" spans="2:15">
      <c r="B2492" s="9">
        <v>21</v>
      </c>
      <c r="C2492" s="10" t="s">
        <v>152</v>
      </c>
      <c r="D2492" s="10" t="s">
        <v>149</v>
      </c>
      <c r="E2492" s="93">
        <v>10</v>
      </c>
      <c r="F2492" s="93">
        <v>3</v>
      </c>
      <c r="G2492" s="10">
        <v>1</v>
      </c>
      <c r="H2492" s="120">
        <v>1.3480000000000985</v>
      </c>
      <c r="I2492" s="120">
        <v>1.2829999999999586</v>
      </c>
      <c r="J2492" s="120">
        <v>1.5999999999999943</v>
      </c>
      <c r="K2492" s="120">
        <v>4.2310000000000514</v>
      </c>
      <c r="L2492" s="9">
        <f t="shared" si="164"/>
        <v>0.37069809257559505</v>
      </c>
      <c r="M2492" s="10">
        <f t="shared" si="165"/>
        <v>0.35850591149022737</v>
      </c>
      <c r="N2492" s="10">
        <f t="shared" si="166"/>
        <v>0.41497334797081703</v>
      </c>
      <c r="O2492" s="11">
        <f t="shared" si="167"/>
        <v>0.71858472002744023</v>
      </c>
    </row>
    <row r="2493" spans="2:15">
      <c r="B2493" s="12">
        <v>21</v>
      </c>
      <c r="C2493" s="4" t="s">
        <v>152</v>
      </c>
      <c r="D2493" s="4" t="s">
        <v>149</v>
      </c>
      <c r="E2493" s="4">
        <v>10</v>
      </c>
      <c r="F2493" s="4">
        <v>3</v>
      </c>
      <c r="G2493" s="4">
        <v>2</v>
      </c>
      <c r="H2493" s="115"/>
      <c r="I2493" s="115"/>
      <c r="J2493" s="115">
        <v>0.40000000000000568</v>
      </c>
      <c r="K2493" s="115">
        <v>0.40000000000000568</v>
      </c>
      <c r="L2493" s="12">
        <f t="shared" si="164"/>
        <v>0</v>
      </c>
      <c r="M2493" s="4">
        <f t="shared" si="165"/>
        <v>0</v>
      </c>
      <c r="N2493" s="4">
        <f t="shared" si="166"/>
        <v>0.14612803567823979</v>
      </c>
      <c r="O2493" s="13">
        <f t="shared" si="167"/>
        <v>0.14612803567823979</v>
      </c>
    </row>
    <row r="2494" spans="2:15">
      <c r="B2494" s="12">
        <v>21</v>
      </c>
      <c r="C2494" s="4" t="s">
        <v>152</v>
      </c>
      <c r="D2494" s="4" t="s">
        <v>149</v>
      </c>
      <c r="E2494" s="4">
        <v>10</v>
      </c>
      <c r="F2494" s="4">
        <v>3</v>
      </c>
      <c r="G2494" s="4">
        <v>3</v>
      </c>
      <c r="H2494" s="115">
        <v>9.9999999999994316E-2</v>
      </c>
      <c r="I2494" s="115"/>
      <c r="J2494" s="115"/>
      <c r="K2494" s="115">
        <v>9.9999999999994316E-2</v>
      </c>
      <c r="L2494" s="12">
        <f t="shared" si="164"/>
        <v>4.1392685158222794E-2</v>
      </c>
      <c r="M2494" s="4">
        <f t="shared" si="165"/>
        <v>0</v>
      </c>
      <c r="N2494" s="4">
        <f t="shared" si="166"/>
        <v>0</v>
      </c>
      <c r="O2494" s="13">
        <f t="shared" si="167"/>
        <v>4.1392685158222794E-2</v>
      </c>
    </row>
    <row r="2495" spans="2:15">
      <c r="B2495" s="12">
        <v>21</v>
      </c>
      <c r="C2495" s="4" t="s">
        <v>152</v>
      </c>
      <c r="D2495" s="4" t="s">
        <v>149</v>
      </c>
      <c r="E2495" s="4">
        <v>10</v>
      </c>
      <c r="F2495" s="4">
        <v>3</v>
      </c>
      <c r="G2495" s="4">
        <v>4</v>
      </c>
      <c r="H2495" s="115"/>
      <c r="I2495" s="115"/>
      <c r="J2495" s="115"/>
      <c r="K2495" s="115">
        <v>0</v>
      </c>
      <c r="L2495" s="12">
        <f t="shared" si="164"/>
        <v>0</v>
      </c>
      <c r="M2495" s="4">
        <f t="shared" si="165"/>
        <v>0</v>
      </c>
      <c r="N2495" s="4">
        <f t="shared" si="166"/>
        <v>0</v>
      </c>
      <c r="O2495" s="13">
        <f t="shared" si="167"/>
        <v>0</v>
      </c>
    </row>
    <row r="2496" spans="2:15">
      <c r="B2496" s="12">
        <v>21</v>
      </c>
      <c r="C2496" s="4" t="s">
        <v>152</v>
      </c>
      <c r="D2496" s="4" t="s">
        <v>149</v>
      </c>
      <c r="E2496" s="4">
        <v>10</v>
      </c>
      <c r="F2496" s="4">
        <v>3</v>
      </c>
      <c r="G2496" s="4">
        <v>5</v>
      </c>
      <c r="H2496" s="115"/>
      <c r="I2496" s="115"/>
      <c r="J2496" s="115"/>
      <c r="K2496" s="115">
        <v>0</v>
      </c>
      <c r="L2496" s="12">
        <f t="shared" si="164"/>
        <v>0</v>
      </c>
      <c r="M2496" s="4">
        <f t="shared" si="165"/>
        <v>0</v>
      </c>
      <c r="N2496" s="4">
        <f t="shared" si="166"/>
        <v>0</v>
      </c>
      <c r="O2496" s="13">
        <f t="shared" si="167"/>
        <v>0</v>
      </c>
    </row>
    <row r="2497" spans="2:15">
      <c r="B2497" s="12">
        <v>21</v>
      </c>
      <c r="C2497" s="4" t="s">
        <v>152</v>
      </c>
      <c r="D2497" s="4" t="s">
        <v>149</v>
      </c>
      <c r="E2497" s="4">
        <v>10</v>
      </c>
      <c r="F2497" s="4">
        <v>3</v>
      </c>
      <c r="G2497" s="4">
        <v>6</v>
      </c>
      <c r="H2497" s="115"/>
      <c r="I2497" s="115"/>
      <c r="J2497" s="115"/>
      <c r="K2497" s="115">
        <v>0</v>
      </c>
      <c r="L2497" s="12">
        <f t="shared" si="164"/>
        <v>0</v>
      </c>
      <c r="M2497" s="4">
        <f t="shared" si="165"/>
        <v>0</v>
      </c>
      <c r="N2497" s="4">
        <f t="shared" si="166"/>
        <v>0</v>
      </c>
      <c r="O2497" s="13">
        <f t="shared" si="167"/>
        <v>0</v>
      </c>
    </row>
    <row r="2498" spans="2:15">
      <c r="B2498" s="12">
        <v>21</v>
      </c>
      <c r="C2498" s="4" t="s">
        <v>152</v>
      </c>
      <c r="D2498" s="4" t="s">
        <v>149</v>
      </c>
      <c r="E2498" s="4">
        <v>10</v>
      </c>
      <c r="F2498" s="4">
        <v>3</v>
      </c>
      <c r="G2498" s="4">
        <v>7</v>
      </c>
      <c r="H2498" s="115"/>
      <c r="I2498" s="115"/>
      <c r="J2498" s="115"/>
      <c r="K2498" s="115">
        <v>0</v>
      </c>
      <c r="L2498" s="12">
        <f t="shared" si="164"/>
        <v>0</v>
      </c>
      <c r="M2498" s="4">
        <f t="shared" si="165"/>
        <v>0</v>
      </c>
      <c r="N2498" s="4">
        <f t="shared" si="166"/>
        <v>0</v>
      </c>
      <c r="O2498" s="13">
        <f t="shared" si="167"/>
        <v>0</v>
      </c>
    </row>
    <row r="2499" spans="2:15">
      <c r="B2499" s="12">
        <v>21</v>
      </c>
      <c r="C2499" s="4" t="s">
        <v>152</v>
      </c>
      <c r="D2499" s="4" t="s">
        <v>149</v>
      </c>
      <c r="E2499" s="4">
        <v>10</v>
      </c>
      <c r="F2499" s="4">
        <v>3</v>
      </c>
      <c r="G2499" s="4">
        <v>8</v>
      </c>
      <c r="H2499" s="115"/>
      <c r="I2499" s="115"/>
      <c r="J2499" s="115"/>
      <c r="K2499" s="115">
        <v>0</v>
      </c>
      <c r="L2499" s="12">
        <f t="shared" si="164"/>
        <v>0</v>
      </c>
      <c r="M2499" s="4">
        <f t="shared" si="165"/>
        <v>0</v>
      </c>
      <c r="N2499" s="4">
        <f t="shared" si="166"/>
        <v>0</v>
      </c>
      <c r="O2499" s="13">
        <f t="shared" si="167"/>
        <v>0</v>
      </c>
    </row>
    <row r="2500" spans="2:15">
      <c r="B2500" s="12">
        <v>21</v>
      </c>
      <c r="C2500" s="4" t="s">
        <v>152</v>
      </c>
      <c r="D2500" s="4" t="s">
        <v>149</v>
      </c>
      <c r="E2500" s="4">
        <v>10</v>
      </c>
      <c r="F2500" s="4">
        <v>3</v>
      </c>
      <c r="G2500" s="4">
        <v>9</v>
      </c>
      <c r="H2500" s="115"/>
      <c r="I2500" s="115"/>
      <c r="J2500" s="115"/>
      <c r="K2500" s="115">
        <v>0</v>
      </c>
      <c r="L2500" s="12">
        <f t="shared" si="164"/>
        <v>0</v>
      </c>
      <c r="M2500" s="4">
        <f t="shared" si="165"/>
        <v>0</v>
      </c>
      <c r="N2500" s="4">
        <f t="shared" si="166"/>
        <v>0</v>
      </c>
      <c r="O2500" s="13">
        <f t="shared" si="167"/>
        <v>0</v>
      </c>
    </row>
    <row r="2501" spans="2:15" ht="13.8" thickBot="1">
      <c r="B2501" s="14">
        <v>21</v>
      </c>
      <c r="C2501" s="15" t="s">
        <v>152</v>
      </c>
      <c r="D2501" s="15" t="s">
        <v>149</v>
      </c>
      <c r="E2501" s="15">
        <v>10</v>
      </c>
      <c r="F2501" s="15">
        <v>3</v>
      </c>
      <c r="G2501" s="15">
        <v>10</v>
      </c>
      <c r="H2501" s="121"/>
      <c r="I2501" s="121"/>
      <c r="J2501" s="121"/>
      <c r="K2501" s="121">
        <v>0</v>
      </c>
      <c r="L2501" s="14">
        <f t="shared" si="164"/>
        <v>0</v>
      </c>
      <c r="M2501" s="15">
        <f t="shared" si="165"/>
        <v>0</v>
      </c>
      <c r="N2501" s="15">
        <f t="shared" si="166"/>
        <v>0</v>
      </c>
      <c r="O2501" s="16">
        <f t="shared" si="167"/>
        <v>0</v>
      </c>
    </row>
    <row r="2502" spans="2:15">
      <c r="B2502" s="9">
        <v>21</v>
      </c>
      <c r="C2502" s="10" t="s">
        <v>152</v>
      </c>
      <c r="D2502" s="10" t="s">
        <v>149</v>
      </c>
      <c r="E2502" s="93">
        <v>11</v>
      </c>
      <c r="F2502" s="93">
        <v>1</v>
      </c>
      <c r="G2502" s="10">
        <v>1</v>
      </c>
      <c r="H2502" s="120">
        <v>1.4320000000000022</v>
      </c>
      <c r="I2502" s="120"/>
      <c r="J2502" s="120">
        <v>0.98300000000000409</v>
      </c>
      <c r="K2502" s="120">
        <v>2.4150000000000063</v>
      </c>
      <c r="L2502" s="9">
        <f t="shared" si="164"/>
        <v>0.38596357060069769</v>
      </c>
      <c r="M2502" s="10">
        <f t="shared" si="165"/>
        <v>0</v>
      </c>
      <c r="N2502" s="10">
        <f t="shared" si="166"/>
        <v>0.2973227142053036</v>
      </c>
      <c r="O2502" s="11">
        <f t="shared" si="167"/>
        <v>0.53339070801755217</v>
      </c>
    </row>
    <row r="2503" spans="2:15">
      <c r="B2503" s="12">
        <v>21</v>
      </c>
      <c r="C2503" s="4" t="s">
        <v>152</v>
      </c>
      <c r="D2503" s="4" t="s">
        <v>149</v>
      </c>
      <c r="E2503" s="4">
        <v>11</v>
      </c>
      <c r="F2503" s="4">
        <v>1</v>
      </c>
      <c r="G2503" s="4">
        <v>2</v>
      </c>
      <c r="H2503" s="115"/>
      <c r="I2503" s="115">
        <v>9.9999999999994316E-2</v>
      </c>
      <c r="J2503" s="115">
        <v>1.3010000000000161</v>
      </c>
      <c r="K2503" s="115">
        <v>1.4010000000000105</v>
      </c>
      <c r="L2503" s="12">
        <f t="shared" si="164"/>
        <v>0</v>
      </c>
      <c r="M2503" s="4">
        <f t="shared" si="165"/>
        <v>4.1392685158222794E-2</v>
      </c>
      <c r="N2503" s="4">
        <f t="shared" si="166"/>
        <v>0.36191661866864644</v>
      </c>
      <c r="O2503" s="13">
        <f t="shared" si="167"/>
        <v>0.38039216005702919</v>
      </c>
    </row>
    <row r="2504" spans="2:15">
      <c r="B2504" s="12">
        <v>21</v>
      </c>
      <c r="C2504" s="4" t="s">
        <v>152</v>
      </c>
      <c r="D2504" s="4" t="s">
        <v>149</v>
      </c>
      <c r="E2504" s="4">
        <v>11</v>
      </c>
      <c r="F2504" s="4">
        <v>1</v>
      </c>
      <c r="G2504" s="4">
        <v>3</v>
      </c>
      <c r="H2504" s="115">
        <v>0.23199999999999932</v>
      </c>
      <c r="I2504" s="115">
        <v>1.3670000000000329</v>
      </c>
      <c r="J2504" s="115"/>
      <c r="K2504" s="115">
        <v>1.5990000000000322</v>
      </c>
      <c r="L2504" s="12">
        <f t="shared" si="164"/>
        <v>9.0610707828406412E-2</v>
      </c>
      <c r="M2504" s="4">
        <f t="shared" si="165"/>
        <v>0.37419825792908878</v>
      </c>
      <c r="N2504" s="4">
        <f t="shared" si="166"/>
        <v>0</v>
      </c>
      <c r="O2504" s="13">
        <f t="shared" si="167"/>
        <v>0.414806279501018</v>
      </c>
    </row>
    <row r="2505" spans="2:15">
      <c r="B2505" s="12">
        <v>21</v>
      </c>
      <c r="C2505" s="4" t="s">
        <v>152</v>
      </c>
      <c r="D2505" s="4" t="s">
        <v>149</v>
      </c>
      <c r="E2505" s="4">
        <v>11</v>
      </c>
      <c r="F2505" s="4">
        <v>1</v>
      </c>
      <c r="G2505" s="4">
        <v>4</v>
      </c>
      <c r="H2505" s="115"/>
      <c r="I2505" s="115"/>
      <c r="J2505" s="115"/>
      <c r="K2505" s="115">
        <v>0</v>
      </c>
      <c r="L2505" s="12">
        <f t="shared" si="164"/>
        <v>0</v>
      </c>
      <c r="M2505" s="4">
        <f t="shared" si="165"/>
        <v>0</v>
      </c>
      <c r="N2505" s="4">
        <f t="shared" si="166"/>
        <v>0</v>
      </c>
      <c r="O2505" s="13">
        <f t="shared" si="167"/>
        <v>0</v>
      </c>
    </row>
    <row r="2506" spans="2:15">
      <c r="B2506" s="12">
        <v>21</v>
      </c>
      <c r="C2506" s="4" t="s">
        <v>152</v>
      </c>
      <c r="D2506" s="4" t="s">
        <v>149</v>
      </c>
      <c r="E2506" s="4">
        <v>11</v>
      </c>
      <c r="F2506" s="4">
        <v>1</v>
      </c>
      <c r="G2506" s="4">
        <v>5</v>
      </c>
      <c r="H2506" s="115"/>
      <c r="I2506" s="115"/>
      <c r="J2506" s="115"/>
      <c r="K2506" s="115">
        <v>0</v>
      </c>
      <c r="L2506" s="12">
        <f t="shared" si="164"/>
        <v>0</v>
      </c>
      <c r="M2506" s="4">
        <f t="shared" si="165"/>
        <v>0</v>
      </c>
      <c r="N2506" s="4">
        <f t="shared" si="166"/>
        <v>0</v>
      </c>
      <c r="O2506" s="13">
        <f t="shared" si="167"/>
        <v>0</v>
      </c>
    </row>
    <row r="2507" spans="2:15">
      <c r="B2507" s="12">
        <v>21</v>
      </c>
      <c r="C2507" s="4" t="s">
        <v>152</v>
      </c>
      <c r="D2507" s="4" t="s">
        <v>149</v>
      </c>
      <c r="E2507" s="4">
        <v>11</v>
      </c>
      <c r="F2507" s="4">
        <v>1</v>
      </c>
      <c r="G2507" s="4">
        <v>6</v>
      </c>
      <c r="H2507" s="115"/>
      <c r="I2507" s="115"/>
      <c r="J2507" s="115"/>
      <c r="K2507" s="115">
        <v>0</v>
      </c>
      <c r="L2507" s="12">
        <f t="shared" si="164"/>
        <v>0</v>
      </c>
      <c r="M2507" s="4">
        <f t="shared" si="165"/>
        <v>0</v>
      </c>
      <c r="N2507" s="4">
        <f t="shared" si="166"/>
        <v>0</v>
      </c>
      <c r="O2507" s="13">
        <f t="shared" si="167"/>
        <v>0</v>
      </c>
    </row>
    <row r="2508" spans="2:15">
      <c r="B2508" s="12">
        <v>21</v>
      </c>
      <c r="C2508" s="4" t="s">
        <v>152</v>
      </c>
      <c r="D2508" s="4" t="s">
        <v>149</v>
      </c>
      <c r="E2508" s="4">
        <v>11</v>
      </c>
      <c r="F2508" s="4">
        <v>1</v>
      </c>
      <c r="G2508" s="4">
        <v>7</v>
      </c>
      <c r="H2508" s="115"/>
      <c r="I2508" s="115"/>
      <c r="J2508" s="115"/>
      <c r="K2508" s="115">
        <v>0</v>
      </c>
      <c r="L2508" s="12">
        <f t="shared" si="164"/>
        <v>0</v>
      </c>
      <c r="M2508" s="4">
        <f t="shared" si="165"/>
        <v>0</v>
      </c>
      <c r="N2508" s="4">
        <f t="shared" si="166"/>
        <v>0</v>
      </c>
      <c r="O2508" s="13">
        <f t="shared" si="167"/>
        <v>0</v>
      </c>
    </row>
    <row r="2509" spans="2:15">
      <c r="B2509" s="12">
        <v>21</v>
      </c>
      <c r="C2509" s="4" t="s">
        <v>152</v>
      </c>
      <c r="D2509" s="4" t="s">
        <v>149</v>
      </c>
      <c r="E2509" s="4">
        <v>11</v>
      </c>
      <c r="F2509" s="4">
        <v>1</v>
      </c>
      <c r="G2509" s="4">
        <v>8</v>
      </c>
      <c r="H2509" s="115"/>
      <c r="I2509" s="115"/>
      <c r="J2509" s="115"/>
      <c r="K2509" s="115">
        <v>0</v>
      </c>
      <c r="L2509" s="12">
        <f t="shared" si="164"/>
        <v>0</v>
      </c>
      <c r="M2509" s="4">
        <f t="shared" si="165"/>
        <v>0</v>
      </c>
      <c r="N2509" s="4">
        <f t="shared" si="166"/>
        <v>0</v>
      </c>
      <c r="O2509" s="13">
        <f t="shared" si="167"/>
        <v>0</v>
      </c>
    </row>
    <row r="2510" spans="2:15">
      <c r="B2510" s="12">
        <v>21</v>
      </c>
      <c r="C2510" s="4" t="s">
        <v>152</v>
      </c>
      <c r="D2510" s="4" t="s">
        <v>149</v>
      </c>
      <c r="E2510" s="4">
        <v>11</v>
      </c>
      <c r="F2510" s="4">
        <v>1</v>
      </c>
      <c r="G2510" s="4">
        <v>9</v>
      </c>
      <c r="H2510" s="115"/>
      <c r="I2510" s="115"/>
      <c r="J2510" s="115"/>
      <c r="K2510" s="115">
        <v>0</v>
      </c>
      <c r="L2510" s="12">
        <f t="shared" si="164"/>
        <v>0</v>
      </c>
      <c r="M2510" s="4">
        <f t="shared" si="165"/>
        <v>0</v>
      </c>
      <c r="N2510" s="4">
        <f t="shared" si="166"/>
        <v>0</v>
      </c>
      <c r="O2510" s="13">
        <f t="shared" si="167"/>
        <v>0</v>
      </c>
    </row>
    <row r="2511" spans="2:15" ht="13.8" thickBot="1">
      <c r="B2511" s="14">
        <v>21</v>
      </c>
      <c r="C2511" s="15" t="s">
        <v>152</v>
      </c>
      <c r="D2511" s="15" t="s">
        <v>149</v>
      </c>
      <c r="E2511" s="15">
        <v>11</v>
      </c>
      <c r="F2511" s="15">
        <v>1</v>
      </c>
      <c r="G2511" s="15">
        <v>10</v>
      </c>
      <c r="H2511" s="121"/>
      <c r="I2511" s="121"/>
      <c r="J2511" s="121"/>
      <c r="K2511" s="121">
        <v>0</v>
      </c>
      <c r="L2511" s="14">
        <f t="shared" si="164"/>
        <v>0</v>
      </c>
      <c r="M2511" s="15">
        <f t="shared" si="165"/>
        <v>0</v>
      </c>
      <c r="N2511" s="15">
        <f t="shared" si="166"/>
        <v>0</v>
      </c>
      <c r="O2511" s="16">
        <f t="shared" si="167"/>
        <v>0</v>
      </c>
    </row>
    <row r="2512" spans="2:15">
      <c r="B2512" s="9">
        <v>21</v>
      </c>
      <c r="C2512" s="10" t="s">
        <v>152</v>
      </c>
      <c r="D2512" s="10" t="s">
        <v>150</v>
      </c>
      <c r="E2512" s="93">
        <v>12</v>
      </c>
      <c r="F2512" s="93">
        <v>11</v>
      </c>
      <c r="G2512" s="10">
        <v>1</v>
      </c>
      <c r="H2512" s="120">
        <v>0.53399999999987813</v>
      </c>
      <c r="I2512" s="120">
        <v>0.53399999999987813</v>
      </c>
      <c r="J2512" s="120">
        <v>5.3799999999999955</v>
      </c>
      <c r="K2512" s="120">
        <v>6.4479999999997517</v>
      </c>
      <c r="L2512" s="9">
        <f t="shared" si="164"/>
        <v>0.18582535961292765</v>
      </c>
      <c r="M2512" s="10">
        <f t="shared" si="165"/>
        <v>0.18582535961292765</v>
      </c>
      <c r="N2512" s="10">
        <f t="shared" si="166"/>
        <v>0.80482067872116203</v>
      </c>
      <c r="O2512" s="11">
        <f t="shared" si="167"/>
        <v>0.8720396679732717</v>
      </c>
    </row>
    <row r="2513" spans="2:15">
      <c r="B2513" s="12">
        <v>21</v>
      </c>
      <c r="C2513" s="4" t="s">
        <v>152</v>
      </c>
      <c r="D2513" s="4" t="s">
        <v>150</v>
      </c>
      <c r="E2513" s="4">
        <v>12</v>
      </c>
      <c r="F2513" s="4">
        <v>11</v>
      </c>
      <c r="G2513" s="4">
        <v>2</v>
      </c>
      <c r="H2513" s="115">
        <v>0.11599999999998545</v>
      </c>
      <c r="I2513" s="115">
        <v>0.25</v>
      </c>
      <c r="J2513" s="115">
        <v>6.8000000000000682</v>
      </c>
      <c r="K2513" s="115">
        <v>7.1660000000000537</v>
      </c>
      <c r="L2513" s="12">
        <f t="shared" si="164"/>
        <v>4.7664194601554279E-2</v>
      </c>
      <c r="M2513" s="4">
        <f t="shared" si="165"/>
        <v>9.691001300805642E-2</v>
      </c>
      <c r="N2513" s="4">
        <f t="shared" si="166"/>
        <v>0.89209460269048424</v>
      </c>
      <c r="O2513" s="13">
        <f t="shared" si="167"/>
        <v>0.91200937558698114</v>
      </c>
    </row>
    <row r="2514" spans="2:15">
      <c r="B2514" s="12">
        <v>21</v>
      </c>
      <c r="C2514" s="4" t="s">
        <v>152</v>
      </c>
      <c r="D2514" s="4" t="s">
        <v>150</v>
      </c>
      <c r="E2514" s="4">
        <v>12</v>
      </c>
      <c r="F2514" s="4">
        <v>11</v>
      </c>
      <c r="G2514" s="4">
        <v>3</v>
      </c>
      <c r="H2514" s="115">
        <v>0.43300000000010641</v>
      </c>
      <c r="I2514" s="115">
        <v>0.83199999999987995</v>
      </c>
      <c r="J2514" s="115">
        <v>0.63400000000001455</v>
      </c>
      <c r="K2514" s="115">
        <v>1.8990000000000009</v>
      </c>
      <c r="L2514" s="12">
        <f t="shared" si="164"/>
        <v>0.15624619039737672</v>
      </c>
      <c r="M2514" s="4">
        <f t="shared" si="165"/>
        <v>0.26292546933180311</v>
      </c>
      <c r="N2514" s="4">
        <f t="shared" si="166"/>
        <v>0.21325205219640056</v>
      </c>
      <c r="O2514" s="13">
        <f t="shared" si="167"/>
        <v>0.4622482153549976</v>
      </c>
    </row>
    <row r="2515" spans="2:15">
      <c r="B2515" s="12">
        <v>21</v>
      </c>
      <c r="C2515" s="4" t="s">
        <v>152</v>
      </c>
      <c r="D2515" s="4" t="s">
        <v>150</v>
      </c>
      <c r="E2515" s="4">
        <v>12</v>
      </c>
      <c r="F2515" s="4">
        <v>11</v>
      </c>
      <c r="G2515" s="4">
        <v>4</v>
      </c>
      <c r="H2515" s="115">
        <v>0.73299999999994725</v>
      </c>
      <c r="I2515" s="115">
        <v>1.2839999999998781</v>
      </c>
      <c r="J2515" s="115">
        <v>3.3160000000000309</v>
      </c>
      <c r="K2515" s="115">
        <v>5.3329999999998563</v>
      </c>
      <c r="L2515" s="12">
        <f t="shared" si="164"/>
        <v>0.23879856271390379</v>
      </c>
      <c r="M2515" s="4">
        <f t="shared" si="165"/>
        <v>0.35869609957378729</v>
      </c>
      <c r="N2515" s="4">
        <f t="shared" si="166"/>
        <v>0.63508143601087619</v>
      </c>
      <c r="O2515" s="13">
        <f t="shared" si="167"/>
        <v>0.80160948802730891</v>
      </c>
    </row>
    <row r="2516" spans="2:15">
      <c r="B2516" s="12">
        <v>21</v>
      </c>
      <c r="C2516" s="4" t="s">
        <v>152</v>
      </c>
      <c r="D2516" s="4" t="s">
        <v>150</v>
      </c>
      <c r="E2516" s="4">
        <v>12</v>
      </c>
      <c r="F2516" s="4">
        <v>11</v>
      </c>
      <c r="G2516" s="4">
        <v>5</v>
      </c>
      <c r="H2516" s="115"/>
      <c r="I2516" s="115"/>
      <c r="J2516" s="115"/>
      <c r="K2516" s="115">
        <v>0</v>
      </c>
      <c r="L2516" s="12">
        <f t="shared" si="164"/>
        <v>0</v>
      </c>
      <c r="M2516" s="4">
        <f t="shared" si="165"/>
        <v>0</v>
      </c>
      <c r="N2516" s="4">
        <f t="shared" si="166"/>
        <v>0</v>
      </c>
      <c r="O2516" s="13">
        <f t="shared" si="167"/>
        <v>0</v>
      </c>
    </row>
    <row r="2517" spans="2:15">
      <c r="B2517" s="12">
        <v>21</v>
      </c>
      <c r="C2517" s="4" t="s">
        <v>152</v>
      </c>
      <c r="D2517" s="4" t="s">
        <v>150</v>
      </c>
      <c r="E2517" s="4">
        <v>12</v>
      </c>
      <c r="F2517" s="4">
        <v>11</v>
      </c>
      <c r="G2517" s="4">
        <v>6</v>
      </c>
      <c r="H2517" s="115"/>
      <c r="I2517" s="115"/>
      <c r="J2517" s="115"/>
      <c r="K2517" s="115">
        <v>0</v>
      </c>
      <c r="L2517" s="12">
        <f t="shared" si="164"/>
        <v>0</v>
      </c>
      <c r="M2517" s="4">
        <f t="shared" si="165"/>
        <v>0</v>
      </c>
      <c r="N2517" s="4">
        <f t="shared" si="166"/>
        <v>0</v>
      </c>
      <c r="O2517" s="13">
        <f t="shared" si="167"/>
        <v>0</v>
      </c>
    </row>
    <row r="2518" spans="2:15">
      <c r="B2518" s="12">
        <v>21</v>
      </c>
      <c r="C2518" s="4" t="s">
        <v>152</v>
      </c>
      <c r="D2518" s="4" t="s">
        <v>150</v>
      </c>
      <c r="E2518" s="4">
        <v>12</v>
      </c>
      <c r="F2518" s="4">
        <v>11</v>
      </c>
      <c r="G2518" s="4">
        <v>7</v>
      </c>
      <c r="H2518" s="115"/>
      <c r="I2518" s="115"/>
      <c r="J2518" s="115"/>
      <c r="K2518" s="115">
        <v>0</v>
      </c>
      <c r="L2518" s="12">
        <f t="shared" si="164"/>
        <v>0</v>
      </c>
      <c r="M2518" s="4">
        <f t="shared" si="165"/>
        <v>0</v>
      </c>
      <c r="N2518" s="4">
        <f t="shared" si="166"/>
        <v>0</v>
      </c>
      <c r="O2518" s="13">
        <f t="shared" si="167"/>
        <v>0</v>
      </c>
    </row>
    <row r="2519" spans="2:15">
      <c r="B2519" s="12">
        <v>21</v>
      </c>
      <c r="C2519" s="4" t="s">
        <v>152</v>
      </c>
      <c r="D2519" s="4" t="s">
        <v>150</v>
      </c>
      <c r="E2519" s="4">
        <v>12</v>
      </c>
      <c r="F2519" s="4">
        <v>11</v>
      </c>
      <c r="G2519" s="4">
        <v>8</v>
      </c>
      <c r="H2519" s="115"/>
      <c r="I2519" s="115"/>
      <c r="J2519" s="115"/>
      <c r="K2519" s="115">
        <v>0</v>
      </c>
      <c r="L2519" s="12">
        <f t="shared" si="164"/>
        <v>0</v>
      </c>
      <c r="M2519" s="4">
        <f t="shared" si="165"/>
        <v>0</v>
      </c>
      <c r="N2519" s="4">
        <f t="shared" si="166"/>
        <v>0</v>
      </c>
      <c r="O2519" s="13">
        <f t="shared" si="167"/>
        <v>0</v>
      </c>
    </row>
    <row r="2520" spans="2:15">
      <c r="B2520" s="12">
        <v>21</v>
      </c>
      <c r="C2520" s="4" t="s">
        <v>152</v>
      </c>
      <c r="D2520" s="4" t="s">
        <v>150</v>
      </c>
      <c r="E2520" s="4">
        <v>12</v>
      </c>
      <c r="F2520" s="4">
        <v>11</v>
      </c>
      <c r="G2520" s="4">
        <v>9</v>
      </c>
      <c r="H2520" s="115"/>
      <c r="I2520" s="115"/>
      <c r="J2520" s="115"/>
      <c r="K2520" s="115">
        <v>0</v>
      </c>
      <c r="L2520" s="12">
        <f t="shared" si="164"/>
        <v>0</v>
      </c>
      <c r="M2520" s="4">
        <f t="shared" si="165"/>
        <v>0</v>
      </c>
      <c r="N2520" s="4">
        <f t="shared" si="166"/>
        <v>0</v>
      </c>
      <c r="O2520" s="13">
        <f t="shared" si="167"/>
        <v>0</v>
      </c>
    </row>
    <row r="2521" spans="2:15" ht="13.8" thickBot="1">
      <c r="B2521" s="14">
        <v>21</v>
      </c>
      <c r="C2521" s="15" t="s">
        <v>152</v>
      </c>
      <c r="D2521" s="15" t="s">
        <v>150</v>
      </c>
      <c r="E2521" s="15">
        <v>12</v>
      </c>
      <c r="F2521" s="15">
        <v>11</v>
      </c>
      <c r="G2521" s="15">
        <v>10</v>
      </c>
      <c r="H2521" s="121"/>
      <c r="I2521" s="121"/>
      <c r="J2521" s="121"/>
      <c r="K2521" s="121">
        <v>0</v>
      </c>
      <c r="L2521" s="14">
        <f t="shared" si="164"/>
        <v>0</v>
      </c>
      <c r="M2521" s="15">
        <f t="shared" si="165"/>
        <v>0</v>
      </c>
      <c r="N2521" s="15">
        <f t="shared" si="166"/>
        <v>0</v>
      </c>
      <c r="O2521" s="16">
        <f t="shared" si="167"/>
        <v>0</v>
      </c>
    </row>
    <row r="2522" spans="2:15">
      <c r="B2522" s="9">
        <v>22</v>
      </c>
      <c r="C2522" s="10" t="s">
        <v>151</v>
      </c>
      <c r="D2522" s="10" t="s">
        <v>154</v>
      </c>
      <c r="E2522" s="93">
        <v>1</v>
      </c>
      <c r="F2522" s="93">
        <v>12</v>
      </c>
      <c r="G2522" s="10">
        <v>1</v>
      </c>
      <c r="H2522" s="120">
        <v>1.4669999999999845</v>
      </c>
      <c r="I2522" s="120">
        <v>0.64999999999997726</v>
      </c>
      <c r="J2522" s="120">
        <v>0.28300000000001546</v>
      </c>
      <c r="K2522" s="120">
        <v>2.3999999999999773</v>
      </c>
      <c r="L2522" s="9">
        <f t="shared" si="164"/>
        <v>0.3921691494897333</v>
      </c>
      <c r="M2522" s="10">
        <f t="shared" si="165"/>
        <v>0.2174839442139003</v>
      </c>
      <c r="N2522" s="10">
        <f t="shared" si="166"/>
        <v>0.10822665637493374</v>
      </c>
      <c r="O2522" s="11">
        <f t="shared" si="167"/>
        <v>0.53147891704225225</v>
      </c>
    </row>
    <row r="2523" spans="2:15">
      <c r="B2523" s="12">
        <v>22</v>
      </c>
      <c r="C2523" s="4" t="s">
        <v>151</v>
      </c>
      <c r="D2523" s="4" t="s">
        <v>154</v>
      </c>
      <c r="E2523" s="4">
        <v>1</v>
      </c>
      <c r="F2523" s="4">
        <v>12</v>
      </c>
      <c r="G2523" s="4">
        <v>2</v>
      </c>
      <c r="H2523" s="115">
        <v>0.51700000000016644</v>
      </c>
      <c r="I2523" s="115">
        <v>0.14900000000000091</v>
      </c>
      <c r="J2523" s="115"/>
      <c r="K2523" s="115">
        <v>0.66600000000016735</v>
      </c>
      <c r="L2523" s="12">
        <f t="shared" si="164"/>
        <v>0.18098558078677815</v>
      </c>
      <c r="M2523" s="4">
        <f t="shared" si="165"/>
        <v>6.0320028688285524E-2</v>
      </c>
      <c r="N2523" s="4">
        <f t="shared" si="166"/>
        <v>0</v>
      </c>
      <c r="O2523" s="13">
        <f t="shared" si="167"/>
        <v>0.2216749970708124</v>
      </c>
    </row>
    <row r="2524" spans="2:15">
      <c r="B2524" s="12">
        <v>22</v>
      </c>
      <c r="C2524" s="4" t="s">
        <v>151</v>
      </c>
      <c r="D2524" s="4" t="s">
        <v>154</v>
      </c>
      <c r="E2524" s="4">
        <v>1</v>
      </c>
      <c r="F2524" s="4">
        <v>12</v>
      </c>
      <c r="G2524" s="4">
        <v>3</v>
      </c>
      <c r="H2524" s="115">
        <v>0.18299999999999272</v>
      </c>
      <c r="I2524" s="115"/>
      <c r="J2524" s="115"/>
      <c r="K2524" s="115">
        <v>0.18299999999999272</v>
      </c>
      <c r="L2524" s="12">
        <f t="shared" si="164"/>
        <v>7.29847446279277E-2</v>
      </c>
      <c r="M2524" s="4">
        <f t="shared" si="165"/>
        <v>0</v>
      </c>
      <c r="N2524" s="4">
        <f t="shared" si="166"/>
        <v>0</v>
      </c>
      <c r="O2524" s="13">
        <f t="shared" si="167"/>
        <v>7.29847446279277E-2</v>
      </c>
    </row>
    <row r="2525" spans="2:15">
      <c r="B2525" s="12">
        <v>22</v>
      </c>
      <c r="C2525" s="4" t="s">
        <v>151</v>
      </c>
      <c r="D2525" s="4" t="s">
        <v>154</v>
      </c>
      <c r="E2525" s="4">
        <v>1</v>
      </c>
      <c r="F2525" s="4">
        <v>12</v>
      </c>
      <c r="G2525" s="4">
        <v>4</v>
      </c>
      <c r="H2525" s="115"/>
      <c r="I2525" s="115"/>
      <c r="J2525" s="115"/>
      <c r="K2525" s="115">
        <v>0</v>
      </c>
      <c r="L2525" s="12">
        <f t="shared" si="164"/>
        <v>0</v>
      </c>
      <c r="M2525" s="4">
        <f t="shared" si="165"/>
        <v>0</v>
      </c>
      <c r="N2525" s="4">
        <f t="shared" si="166"/>
        <v>0</v>
      </c>
      <c r="O2525" s="13">
        <f t="shared" si="167"/>
        <v>0</v>
      </c>
    </row>
    <row r="2526" spans="2:15">
      <c r="B2526" s="12">
        <v>22</v>
      </c>
      <c r="C2526" s="4" t="s">
        <v>151</v>
      </c>
      <c r="D2526" s="4" t="s">
        <v>154</v>
      </c>
      <c r="E2526" s="4">
        <v>1</v>
      </c>
      <c r="F2526" s="4">
        <v>12</v>
      </c>
      <c r="G2526" s="4">
        <v>5</v>
      </c>
      <c r="H2526" s="115"/>
      <c r="I2526" s="115"/>
      <c r="J2526" s="115"/>
      <c r="K2526" s="115">
        <v>0</v>
      </c>
      <c r="L2526" s="12">
        <f t="shared" si="164"/>
        <v>0</v>
      </c>
      <c r="M2526" s="4">
        <f t="shared" si="165"/>
        <v>0</v>
      </c>
      <c r="N2526" s="4">
        <f t="shared" si="166"/>
        <v>0</v>
      </c>
      <c r="O2526" s="13">
        <f t="shared" si="167"/>
        <v>0</v>
      </c>
    </row>
    <row r="2527" spans="2:15">
      <c r="B2527" s="12">
        <v>22</v>
      </c>
      <c r="C2527" s="4" t="s">
        <v>151</v>
      </c>
      <c r="D2527" s="4" t="s">
        <v>154</v>
      </c>
      <c r="E2527" s="4">
        <v>1</v>
      </c>
      <c r="F2527" s="4">
        <v>12</v>
      </c>
      <c r="G2527" s="4">
        <v>6</v>
      </c>
      <c r="H2527" s="115"/>
      <c r="I2527" s="115"/>
      <c r="J2527" s="115"/>
      <c r="K2527" s="115">
        <v>0</v>
      </c>
      <c r="L2527" s="12">
        <f t="shared" si="164"/>
        <v>0</v>
      </c>
      <c r="M2527" s="4">
        <f t="shared" si="165"/>
        <v>0</v>
      </c>
      <c r="N2527" s="4">
        <f t="shared" si="166"/>
        <v>0</v>
      </c>
      <c r="O2527" s="13">
        <f t="shared" si="167"/>
        <v>0</v>
      </c>
    </row>
    <row r="2528" spans="2:15">
      <c r="B2528" s="12">
        <v>22</v>
      </c>
      <c r="C2528" s="4" t="s">
        <v>151</v>
      </c>
      <c r="D2528" s="4" t="s">
        <v>154</v>
      </c>
      <c r="E2528" s="4">
        <v>1</v>
      </c>
      <c r="F2528" s="4">
        <v>12</v>
      </c>
      <c r="G2528" s="4">
        <v>7</v>
      </c>
      <c r="H2528" s="115"/>
      <c r="I2528" s="115"/>
      <c r="J2528" s="115"/>
      <c r="K2528" s="115">
        <v>0</v>
      </c>
      <c r="L2528" s="12">
        <f t="shared" si="164"/>
        <v>0</v>
      </c>
      <c r="M2528" s="4">
        <f t="shared" si="165"/>
        <v>0</v>
      </c>
      <c r="N2528" s="4">
        <f t="shared" si="166"/>
        <v>0</v>
      </c>
      <c r="O2528" s="13">
        <f t="shared" si="167"/>
        <v>0</v>
      </c>
    </row>
    <row r="2529" spans="2:15">
      <c r="B2529" s="12">
        <v>22</v>
      </c>
      <c r="C2529" s="4" t="s">
        <v>151</v>
      </c>
      <c r="D2529" s="4" t="s">
        <v>154</v>
      </c>
      <c r="E2529" s="4">
        <v>1</v>
      </c>
      <c r="F2529" s="4">
        <v>12</v>
      </c>
      <c r="G2529" s="4">
        <v>8</v>
      </c>
      <c r="H2529" s="115"/>
      <c r="I2529" s="115"/>
      <c r="J2529" s="115"/>
      <c r="K2529" s="115">
        <v>0</v>
      </c>
      <c r="L2529" s="12">
        <f t="shared" si="164"/>
        <v>0</v>
      </c>
      <c r="M2529" s="4">
        <f t="shared" si="165"/>
        <v>0</v>
      </c>
      <c r="N2529" s="4">
        <f t="shared" si="166"/>
        <v>0</v>
      </c>
      <c r="O2529" s="13">
        <f t="shared" si="167"/>
        <v>0</v>
      </c>
    </row>
    <row r="2530" spans="2:15">
      <c r="B2530" s="12">
        <v>22</v>
      </c>
      <c r="C2530" s="4" t="s">
        <v>151</v>
      </c>
      <c r="D2530" s="4" t="s">
        <v>154</v>
      </c>
      <c r="E2530" s="4">
        <v>1</v>
      </c>
      <c r="F2530" s="4">
        <v>12</v>
      </c>
      <c r="G2530" s="4">
        <v>9</v>
      </c>
      <c r="H2530" s="115"/>
      <c r="I2530" s="115"/>
      <c r="J2530" s="115"/>
      <c r="K2530" s="115">
        <v>0</v>
      </c>
      <c r="L2530" s="12">
        <f t="shared" si="164"/>
        <v>0</v>
      </c>
      <c r="M2530" s="4">
        <f t="shared" si="165"/>
        <v>0</v>
      </c>
      <c r="N2530" s="4">
        <f t="shared" si="166"/>
        <v>0</v>
      </c>
      <c r="O2530" s="13">
        <f t="shared" si="167"/>
        <v>0</v>
      </c>
    </row>
    <row r="2531" spans="2:15" ht="13.8" thickBot="1">
      <c r="B2531" s="14">
        <v>22</v>
      </c>
      <c r="C2531" s="15" t="s">
        <v>151</v>
      </c>
      <c r="D2531" s="15" t="s">
        <v>154</v>
      </c>
      <c r="E2531" s="15">
        <v>1</v>
      </c>
      <c r="F2531" s="15">
        <v>12</v>
      </c>
      <c r="G2531" s="15">
        <v>10</v>
      </c>
      <c r="H2531" s="121"/>
      <c r="I2531" s="121"/>
      <c r="J2531" s="121"/>
      <c r="K2531" s="121">
        <v>0</v>
      </c>
      <c r="L2531" s="14">
        <f t="shared" si="164"/>
        <v>0</v>
      </c>
      <c r="M2531" s="15">
        <f t="shared" si="165"/>
        <v>0</v>
      </c>
      <c r="N2531" s="15">
        <f t="shared" si="166"/>
        <v>0</v>
      </c>
      <c r="O2531" s="16">
        <f t="shared" si="167"/>
        <v>0</v>
      </c>
    </row>
    <row r="2532" spans="2:15">
      <c r="B2532" s="9">
        <v>22</v>
      </c>
      <c r="C2532" s="10" t="s">
        <v>151</v>
      </c>
      <c r="D2532" s="10" t="s">
        <v>150</v>
      </c>
      <c r="E2532" s="93">
        <v>2</v>
      </c>
      <c r="F2532" s="93">
        <v>8</v>
      </c>
      <c r="G2532" s="10">
        <v>1</v>
      </c>
      <c r="H2532" s="120"/>
      <c r="I2532" s="120"/>
      <c r="J2532" s="120">
        <v>0.68299999999999272</v>
      </c>
      <c r="K2532" s="120">
        <v>0.68299999999999272</v>
      </c>
      <c r="L2532" s="9">
        <f t="shared" si="164"/>
        <v>0</v>
      </c>
      <c r="M2532" s="10">
        <f t="shared" si="165"/>
        <v>0</v>
      </c>
      <c r="N2532" s="10">
        <f t="shared" si="166"/>
        <v>0.22608411597582195</v>
      </c>
      <c r="O2532" s="11">
        <f t="shared" si="167"/>
        <v>0.22608411597582195</v>
      </c>
    </row>
    <row r="2533" spans="2:15">
      <c r="B2533" s="12">
        <v>22</v>
      </c>
      <c r="C2533" s="4" t="s">
        <v>151</v>
      </c>
      <c r="D2533" s="4" t="s">
        <v>150</v>
      </c>
      <c r="E2533" s="4">
        <v>2</v>
      </c>
      <c r="F2533" s="4">
        <v>8</v>
      </c>
      <c r="G2533" s="4">
        <v>2</v>
      </c>
      <c r="H2533" s="115">
        <v>0.16700000000003001</v>
      </c>
      <c r="I2533" s="115"/>
      <c r="J2533" s="115">
        <v>2.6680000000000064</v>
      </c>
      <c r="K2533" s="115">
        <v>2.8350000000000364</v>
      </c>
      <c r="L2533" s="12">
        <f t="shared" si="164"/>
        <v>6.707085604538135E-2</v>
      </c>
      <c r="M2533" s="4">
        <f t="shared" si="165"/>
        <v>0</v>
      </c>
      <c r="N2533" s="4">
        <f t="shared" si="166"/>
        <v>0.5644293269979842</v>
      </c>
      <c r="O2533" s="13">
        <f t="shared" si="167"/>
        <v>0.58376536828500392</v>
      </c>
    </row>
    <row r="2534" spans="2:15">
      <c r="B2534" s="12">
        <v>22</v>
      </c>
      <c r="C2534" s="4" t="s">
        <v>151</v>
      </c>
      <c r="D2534" s="4" t="s">
        <v>150</v>
      </c>
      <c r="E2534" s="4">
        <v>2</v>
      </c>
      <c r="F2534" s="4">
        <v>8</v>
      </c>
      <c r="G2534" s="4">
        <v>3</v>
      </c>
      <c r="H2534" s="115">
        <v>0.45000000000004547</v>
      </c>
      <c r="I2534" s="115">
        <v>0.33400000000000318</v>
      </c>
      <c r="J2534" s="115">
        <v>2.4180000000001769</v>
      </c>
      <c r="K2534" s="115">
        <v>3.2020000000002256</v>
      </c>
      <c r="L2534" s="12">
        <f t="shared" si="164"/>
        <v>0.16136800223498851</v>
      </c>
      <c r="M2534" s="4">
        <f t="shared" si="165"/>
        <v>0.1251558295805312</v>
      </c>
      <c r="N2534" s="4">
        <f t="shared" si="166"/>
        <v>0.53377205838474051</v>
      </c>
      <c r="O2534" s="13">
        <f t="shared" si="167"/>
        <v>0.62345604806995714</v>
      </c>
    </row>
    <row r="2535" spans="2:15">
      <c r="B2535" s="12">
        <v>22</v>
      </c>
      <c r="C2535" s="4" t="s">
        <v>151</v>
      </c>
      <c r="D2535" s="4" t="s">
        <v>150</v>
      </c>
      <c r="E2535" s="4">
        <v>2</v>
      </c>
      <c r="F2535" s="4">
        <v>8</v>
      </c>
      <c r="G2535" s="4">
        <v>4</v>
      </c>
      <c r="H2535" s="115">
        <v>0.90000000000009095</v>
      </c>
      <c r="I2535" s="115">
        <v>0.28399999999999181</v>
      </c>
      <c r="J2535" s="115">
        <v>0.49900000000002365</v>
      </c>
      <c r="K2535" s="115">
        <v>1.6830000000001064</v>
      </c>
      <c r="L2535" s="12">
        <f t="shared" ref="L2535:L2598" si="168">LOG10(H2535+1)</f>
        <v>0.27875360095284973</v>
      </c>
      <c r="M2535" s="4">
        <f t="shared" ref="M2535:M2598" si="169">LOG10(I2535+1)</f>
        <v>0.10856502373283169</v>
      </c>
      <c r="N2535" s="4">
        <f t="shared" ref="N2535:N2598" si="170">LOG10(J2535+1)</f>
        <v>0.17580163284828632</v>
      </c>
      <c r="O2535" s="13">
        <f t="shared" ref="O2535:O2598" si="171">LOG10(K2535+1)</f>
        <v>0.42862067267195625</v>
      </c>
    </row>
    <row r="2536" spans="2:15">
      <c r="B2536" s="12">
        <v>22</v>
      </c>
      <c r="C2536" s="4" t="s">
        <v>151</v>
      </c>
      <c r="D2536" s="4" t="s">
        <v>150</v>
      </c>
      <c r="E2536" s="4">
        <v>2</v>
      </c>
      <c r="F2536" s="4">
        <v>8</v>
      </c>
      <c r="G2536" s="4">
        <v>5</v>
      </c>
      <c r="H2536" s="115"/>
      <c r="I2536" s="115"/>
      <c r="J2536" s="115"/>
      <c r="K2536" s="115">
        <v>0</v>
      </c>
      <c r="L2536" s="12">
        <f t="shared" si="168"/>
        <v>0</v>
      </c>
      <c r="M2536" s="4">
        <f t="shared" si="169"/>
        <v>0</v>
      </c>
      <c r="N2536" s="4">
        <f t="shared" si="170"/>
        <v>0</v>
      </c>
      <c r="O2536" s="13">
        <f t="shared" si="171"/>
        <v>0</v>
      </c>
    </row>
    <row r="2537" spans="2:15">
      <c r="B2537" s="12">
        <v>22</v>
      </c>
      <c r="C2537" s="4" t="s">
        <v>151</v>
      </c>
      <c r="D2537" s="4" t="s">
        <v>150</v>
      </c>
      <c r="E2537" s="4">
        <v>2</v>
      </c>
      <c r="F2537" s="4">
        <v>8</v>
      </c>
      <c r="G2537" s="4">
        <v>6</v>
      </c>
      <c r="H2537" s="115"/>
      <c r="I2537" s="115"/>
      <c r="J2537" s="115"/>
      <c r="K2537" s="115">
        <v>0</v>
      </c>
      <c r="L2537" s="12">
        <f t="shared" si="168"/>
        <v>0</v>
      </c>
      <c r="M2537" s="4">
        <f t="shared" si="169"/>
        <v>0</v>
      </c>
      <c r="N2537" s="4">
        <f t="shared" si="170"/>
        <v>0</v>
      </c>
      <c r="O2537" s="13">
        <f t="shared" si="171"/>
        <v>0</v>
      </c>
    </row>
    <row r="2538" spans="2:15">
      <c r="B2538" s="12">
        <v>22</v>
      </c>
      <c r="C2538" s="4" t="s">
        <v>151</v>
      </c>
      <c r="D2538" s="4" t="s">
        <v>150</v>
      </c>
      <c r="E2538" s="4">
        <v>2</v>
      </c>
      <c r="F2538" s="4">
        <v>8</v>
      </c>
      <c r="G2538" s="4">
        <v>7</v>
      </c>
      <c r="H2538" s="115"/>
      <c r="I2538" s="115"/>
      <c r="J2538" s="115"/>
      <c r="K2538" s="115">
        <v>0</v>
      </c>
      <c r="L2538" s="12">
        <f t="shared" si="168"/>
        <v>0</v>
      </c>
      <c r="M2538" s="4">
        <f t="shared" si="169"/>
        <v>0</v>
      </c>
      <c r="N2538" s="4">
        <f t="shared" si="170"/>
        <v>0</v>
      </c>
      <c r="O2538" s="13">
        <f t="shared" si="171"/>
        <v>0</v>
      </c>
    </row>
    <row r="2539" spans="2:15">
      <c r="B2539" s="12">
        <v>22</v>
      </c>
      <c r="C2539" s="4" t="s">
        <v>151</v>
      </c>
      <c r="D2539" s="4" t="s">
        <v>150</v>
      </c>
      <c r="E2539" s="4">
        <v>2</v>
      </c>
      <c r="F2539" s="4">
        <v>8</v>
      </c>
      <c r="G2539" s="4">
        <v>8</v>
      </c>
      <c r="H2539" s="115"/>
      <c r="I2539" s="115"/>
      <c r="J2539" s="115"/>
      <c r="K2539" s="115">
        <v>0</v>
      </c>
      <c r="L2539" s="12">
        <f t="shared" si="168"/>
        <v>0</v>
      </c>
      <c r="M2539" s="4">
        <f t="shared" si="169"/>
        <v>0</v>
      </c>
      <c r="N2539" s="4">
        <f t="shared" si="170"/>
        <v>0</v>
      </c>
      <c r="O2539" s="13">
        <f t="shared" si="171"/>
        <v>0</v>
      </c>
    </row>
    <row r="2540" spans="2:15">
      <c r="B2540" s="12">
        <v>22</v>
      </c>
      <c r="C2540" s="4" t="s">
        <v>151</v>
      </c>
      <c r="D2540" s="4" t="s">
        <v>150</v>
      </c>
      <c r="E2540" s="4">
        <v>2</v>
      </c>
      <c r="F2540" s="4">
        <v>8</v>
      </c>
      <c r="G2540" s="4">
        <v>9</v>
      </c>
      <c r="H2540" s="115"/>
      <c r="I2540" s="115"/>
      <c r="J2540" s="115"/>
      <c r="K2540" s="115">
        <v>0</v>
      </c>
      <c r="L2540" s="12">
        <f t="shared" si="168"/>
        <v>0</v>
      </c>
      <c r="M2540" s="4">
        <f t="shared" si="169"/>
        <v>0</v>
      </c>
      <c r="N2540" s="4">
        <f t="shared" si="170"/>
        <v>0</v>
      </c>
      <c r="O2540" s="13">
        <f t="shared" si="171"/>
        <v>0</v>
      </c>
    </row>
    <row r="2541" spans="2:15" ht="13.8" thickBot="1">
      <c r="B2541" s="14">
        <v>22</v>
      </c>
      <c r="C2541" s="15" t="s">
        <v>151</v>
      </c>
      <c r="D2541" s="15" t="s">
        <v>150</v>
      </c>
      <c r="E2541" s="15">
        <v>2</v>
      </c>
      <c r="F2541" s="15">
        <v>8</v>
      </c>
      <c r="G2541" s="15">
        <v>10</v>
      </c>
      <c r="H2541" s="121"/>
      <c r="I2541" s="121"/>
      <c r="J2541" s="121"/>
      <c r="K2541" s="121">
        <v>0</v>
      </c>
      <c r="L2541" s="14">
        <f t="shared" si="168"/>
        <v>0</v>
      </c>
      <c r="M2541" s="15">
        <f t="shared" si="169"/>
        <v>0</v>
      </c>
      <c r="N2541" s="15">
        <f t="shared" si="170"/>
        <v>0</v>
      </c>
      <c r="O2541" s="16">
        <f t="shared" si="171"/>
        <v>0</v>
      </c>
    </row>
    <row r="2542" spans="2:15">
      <c r="B2542" s="9">
        <v>22</v>
      </c>
      <c r="C2542" s="10" t="s">
        <v>151</v>
      </c>
      <c r="D2542" s="10" t="s">
        <v>149</v>
      </c>
      <c r="E2542" s="93">
        <v>3</v>
      </c>
      <c r="F2542" s="93">
        <v>4</v>
      </c>
      <c r="G2542" s="10">
        <v>1</v>
      </c>
      <c r="H2542" s="120">
        <v>0.76699999999999591</v>
      </c>
      <c r="I2542" s="120">
        <v>0.89900000000000091</v>
      </c>
      <c r="J2542" s="120">
        <v>0.6829999999999643</v>
      </c>
      <c r="K2542" s="120">
        <v>2.3489999999999611</v>
      </c>
      <c r="L2542" s="9">
        <f t="shared" si="168"/>
        <v>0.24723654950676308</v>
      </c>
      <c r="M2542" s="10">
        <f t="shared" si="169"/>
        <v>0.27852496473701777</v>
      </c>
      <c r="N2542" s="10">
        <f t="shared" si="170"/>
        <v>0.22608411597581463</v>
      </c>
      <c r="O2542" s="11">
        <f t="shared" si="171"/>
        <v>0.52491514753986179</v>
      </c>
    </row>
    <row r="2543" spans="2:15">
      <c r="B2543" s="12">
        <v>22</v>
      </c>
      <c r="C2543" s="4" t="s">
        <v>151</v>
      </c>
      <c r="D2543" s="4" t="s">
        <v>149</v>
      </c>
      <c r="E2543" s="4">
        <v>3</v>
      </c>
      <c r="F2543" s="4">
        <v>4</v>
      </c>
      <c r="G2543" s="4">
        <v>2</v>
      </c>
      <c r="H2543" s="115"/>
      <c r="I2543" s="115"/>
      <c r="J2543" s="115">
        <v>0.16700000000000159</v>
      </c>
      <c r="K2543" s="115">
        <v>0.16700000000000159</v>
      </c>
      <c r="L2543" s="12">
        <f t="shared" si="168"/>
        <v>0</v>
      </c>
      <c r="M2543" s="4">
        <f t="shared" si="169"/>
        <v>0</v>
      </c>
      <c r="N2543" s="4">
        <f t="shared" si="170"/>
        <v>6.7070856045370761E-2</v>
      </c>
      <c r="O2543" s="13">
        <f t="shared" si="171"/>
        <v>6.7070856045370761E-2</v>
      </c>
    </row>
    <row r="2544" spans="2:15">
      <c r="B2544" s="12">
        <v>22</v>
      </c>
      <c r="C2544" s="4" t="s">
        <v>151</v>
      </c>
      <c r="D2544" s="4" t="s">
        <v>149</v>
      </c>
      <c r="E2544" s="4">
        <v>3</v>
      </c>
      <c r="F2544" s="4">
        <v>4</v>
      </c>
      <c r="G2544" s="4">
        <v>3</v>
      </c>
      <c r="H2544" s="115"/>
      <c r="I2544" s="115"/>
      <c r="J2544" s="115"/>
      <c r="K2544" s="115">
        <v>0</v>
      </c>
      <c r="L2544" s="12">
        <f t="shared" si="168"/>
        <v>0</v>
      </c>
      <c r="M2544" s="4">
        <f t="shared" si="169"/>
        <v>0</v>
      </c>
      <c r="N2544" s="4">
        <f t="shared" si="170"/>
        <v>0</v>
      </c>
      <c r="O2544" s="13">
        <f t="shared" si="171"/>
        <v>0</v>
      </c>
    </row>
    <row r="2545" spans="2:15">
      <c r="B2545" s="12">
        <v>22</v>
      </c>
      <c r="C2545" s="4" t="s">
        <v>151</v>
      </c>
      <c r="D2545" s="4" t="s">
        <v>149</v>
      </c>
      <c r="E2545" s="4">
        <v>3</v>
      </c>
      <c r="F2545" s="4">
        <v>4</v>
      </c>
      <c r="G2545" s="4">
        <v>4</v>
      </c>
      <c r="H2545" s="115"/>
      <c r="I2545" s="115"/>
      <c r="J2545" s="115"/>
      <c r="K2545" s="115">
        <v>0</v>
      </c>
      <c r="L2545" s="12">
        <f t="shared" si="168"/>
        <v>0</v>
      </c>
      <c r="M2545" s="4">
        <f t="shared" si="169"/>
        <v>0</v>
      </c>
      <c r="N2545" s="4">
        <f t="shared" si="170"/>
        <v>0</v>
      </c>
      <c r="O2545" s="13">
        <f t="shared" si="171"/>
        <v>0</v>
      </c>
    </row>
    <row r="2546" spans="2:15">
      <c r="B2546" s="12">
        <v>22</v>
      </c>
      <c r="C2546" s="4" t="s">
        <v>151</v>
      </c>
      <c r="D2546" s="4" t="s">
        <v>149</v>
      </c>
      <c r="E2546" s="4">
        <v>3</v>
      </c>
      <c r="F2546" s="4">
        <v>4</v>
      </c>
      <c r="G2546" s="4">
        <v>5</v>
      </c>
      <c r="H2546" s="115"/>
      <c r="I2546" s="115"/>
      <c r="J2546" s="115"/>
      <c r="K2546" s="115">
        <v>0</v>
      </c>
      <c r="L2546" s="12">
        <f t="shared" si="168"/>
        <v>0</v>
      </c>
      <c r="M2546" s="4">
        <f t="shared" si="169"/>
        <v>0</v>
      </c>
      <c r="N2546" s="4">
        <f t="shared" si="170"/>
        <v>0</v>
      </c>
      <c r="O2546" s="13">
        <f t="shared" si="171"/>
        <v>0</v>
      </c>
    </row>
    <row r="2547" spans="2:15">
      <c r="B2547" s="12">
        <v>22</v>
      </c>
      <c r="C2547" s="4" t="s">
        <v>151</v>
      </c>
      <c r="D2547" s="4" t="s">
        <v>149</v>
      </c>
      <c r="E2547" s="4">
        <v>3</v>
      </c>
      <c r="F2547" s="4">
        <v>4</v>
      </c>
      <c r="G2547" s="4">
        <v>6</v>
      </c>
      <c r="H2547" s="115"/>
      <c r="I2547" s="115"/>
      <c r="J2547" s="115"/>
      <c r="K2547" s="115">
        <v>0</v>
      </c>
      <c r="L2547" s="12">
        <f t="shared" si="168"/>
        <v>0</v>
      </c>
      <c r="M2547" s="4">
        <f t="shared" si="169"/>
        <v>0</v>
      </c>
      <c r="N2547" s="4">
        <f t="shared" si="170"/>
        <v>0</v>
      </c>
      <c r="O2547" s="13">
        <f t="shared" si="171"/>
        <v>0</v>
      </c>
    </row>
    <row r="2548" spans="2:15">
      <c r="B2548" s="12">
        <v>22</v>
      </c>
      <c r="C2548" s="4" t="s">
        <v>151</v>
      </c>
      <c r="D2548" s="4" t="s">
        <v>149</v>
      </c>
      <c r="E2548" s="4">
        <v>3</v>
      </c>
      <c r="F2548" s="4">
        <v>4</v>
      </c>
      <c r="G2548" s="4">
        <v>7</v>
      </c>
      <c r="H2548" s="115"/>
      <c r="I2548" s="115"/>
      <c r="J2548" s="115"/>
      <c r="K2548" s="115">
        <v>0</v>
      </c>
      <c r="L2548" s="12">
        <f t="shared" si="168"/>
        <v>0</v>
      </c>
      <c r="M2548" s="4">
        <f t="shared" si="169"/>
        <v>0</v>
      </c>
      <c r="N2548" s="4">
        <f t="shared" si="170"/>
        <v>0</v>
      </c>
      <c r="O2548" s="13">
        <f t="shared" si="171"/>
        <v>0</v>
      </c>
    </row>
    <row r="2549" spans="2:15">
      <c r="B2549" s="12">
        <v>22</v>
      </c>
      <c r="C2549" s="4" t="s">
        <v>151</v>
      </c>
      <c r="D2549" s="4" t="s">
        <v>149</v>
      </c>
      <c r="E2549" s="4">
        <v>3</v>
      </c>
      <c r="F2549" s="4">
        <v>4</v>
      </c>
      <c r="G2549" s="4">
        <v>8</v>
      </c>
      <c r="H2549" s="115"/>
      <c r="I2549" s="115"/>
      <c r="J2549" s="115"/>
      <c r="K2549" s="115">
        <v>0</v>
      </c>
      <c r="L2549" s="12">
        <f t="shared" si="168"/>
        <v>0</v>
      </c>
      <c r="M2549" s="4">
        <f t="shared" si="169"/>
        <v>0</v>
      </c>
      <c r="N2549" s="4">
        <f t="shared" si="170"/>
        <v>0</v>
      </c>
      <c r="O2549" s="13">
        <f t="shared" si="171"/>
        <v>0</v>
      </c>
    </row>
    <row r="2550" spans="2:15">
      <c r="B2550" s="12">
        <v>22</v>
      </c>
      <c r="C2550" s="4" t="s">
        <v>151</v>
      </c>
      <c r="D2550" s="4" t="s">
        <v>149</v>
      </c>
      <c r="E2550" s="4">
        <v>3</v>
      </c>
      <c r="F2550" s="4">
        <v>4</v>
      </c>
      <c r="G2550" s="4">
        <v>9</v>
      </c>
      <c r="H2550" s="115"/>
      <c r="I2550" s="115"/>
      <c r="J2550" s="115"/>
      <c r="K2550" s="115">
        <v>0</v>
      </c>
      <c r="L2550" s="12">
        <f t="shared" si="168"/>
        <v>0</v>
      </c>
      <c r="M2550" s="4">
        <f t="shared" si="169"/>
        <v>0</v>
      </c>
      <c r="N2550" s="4">
        <f t="shared" si="170"/>
        <v>0</v>
      </c>
      <c r="O2550" s="13">
        <f t="shared" si="171"/>
        <v>0</v>
      </c>
    </row>
    <row r="2551" spans="2:15" ht="13.8" thickBot="1">
      <c r="B2551" s="14">
        <v>22</v>
      </c>
      <c r="C2551" s="15" t="s">
        <v>151</v>
      </c>
      <c r="D2551" s="15" t="s">
        <v>149</v>
      </c>
      <c r="E2551" s="15">
        <v>3</v>
      </c>
      <c r="F2551" s="15">
        <v>4</v>
      </c>
      <c r="G2551" s="15">
        <v>10</v>
      </c>
      <c r="H2551" s="121"/>
      <c r="I2551" s="121"/>
      <c r="J2551" s="121"/>
      <c r="K2551" s="121">
        <v>0</v>
      </c>
      <c r="L2551" s="14">
        <f t="shared" si="168"/>
        <v>0</v>
      </c>
      <c r="M2551" s="15">
        <f t="shared" si="169"/>
        <v>0</v>
      </c>
      <c r="N2551" s="15">
        <f t="shared" si="170"/>
        <v>0</v>
      </c>
      <c r="O2551" s="16">
        <f t="shared" si="171"/>
        <v>0</v>
      </c>
    </row>
    <row r="2552" spans="2:15">
      <c r="B2552" s="9">
        <v>22</v>
      </c>
      <c r="C2552" s="10" t="s">
        <v>151</v>
      </c>
      <c r="D2552" s="10" t="s">
        <v>154</v>
      </c>
      <c r="E2552" s="93">
        <v>4</v>
      </c>
      <c r="F2552" s="93">
        <v>10</v>
      </c>
      <c r="G2552" s="10">
        <v>1</v>
      </c>
      <c r="H2552" s="120">
        <v>0.96600000000006503</v>
      </c>
      <c r="I2552" s="120"/>
      <c r="J2552" s="120">
        <v>0.11599999999998545</v>
      </c>
      <c r="K2552" s="120">
        <v>1.0820000000000505</v>
      </c>
      <c r="L2552" s="9">
        <f t="shared" si="168"/>
        <v>0.29358351349613121</v>
      </c>
      <c r="M2552" s="10">
        <f t="shared" si="169"/>
        <v>0</v>
      </c>
      <c r="N2552" s="10">
        <f t="shared" si="170"/>
        <v>4.7664194601554279E-2</v>
      </c>
      <c r="O2552" s="11">
        <f t="shared" si="171"/>
        <v>0.31848072517452786</v>
      </c>
    </row>
    <row r="2553" spans="2:15">
      <c r="B2553" s="12">
        <v>22</v>
      </c>
      <c r="C2553" s="4" t="s">
        <v>151</v>
      </c>
      <c r="D2553" s="4" t="s">
        <v>154</v>
      </c>
      <c r="E2553" s="4">
        <v>4</v>
      </c>
      <c r="F2553" s="4">
        <v>10</v>
      </c>
      <c r="G2553" s="4">
        <v>2</v>
      </c>
      <c r="H2553" s="115">
        <v>1.0500000000000682</v>
      </c>
      <c r="I2553" s="115">
        <v>0.65000000000003411</v>
      </c>
      <c r="J2553" s="115">
        <v>1.0170000000001096</v>
      </c>
      <c r="K2553" s="115">
        <v>2.7170000000002119</v>
      </c>
      <c r="L2553" s="12">
        <f t="shared" si="168"/>
        <v>0.31175386105576874</v>
      </c>
      <c r="M2553" s="4">
        <f t="shared" si="169"/>
        <v>0.21748394421391526</v>
      </c>
      <c r="N2553" s="4">
        <f t="shared" si="170"/>
        <v>0.30470589821278904</v>
      </c>
      <c r="O2553" s="13">
        <f t="shared" si="171"/>
        <v>0.57019256109575067</v>
      </c>
    </row>
    <row r="2554" spans="2:15">
      <c r="B2554" s="12">
        <v>22</v>
      </c>
      <c r="C2554" s="4" t="s">
        <v>151</v>
      </c>
      <c r="D2554" s="4" t="s">
        <v>154</v>
      </c>
      <c r="E2554" s="4">
        <v>4</v>
      </c>
      <c r="F2554" s="4">
        <v>10</v>
      </c>
      <c r="G2554" s="4">
        <v>3</v>
      </c>
      <c r="H2554" s="115">
        <v>4.6970000000000027</v>
      </c>
      <c r="I2554" s="115">
        <v>0.9989999999999668</v>
      </c>
      <c r="J2554" s="115">
        <v>0.46599999999995134</v>
      </c>
      <c r="K2554" s="115">
        <v>6.1619999999999209</v>
      </c>
      <c r="L2554" s="12">
        <f t="shared" si="168"/>
        <v>0.7556462194566802</v>
      </c>
      <c r="M2554" s="4">
        <f t="shared" si="169"/>
        <v>0.30081279411810974</v>
      </c>
      <c r="N2554" s="4">
        <f t="shared" si="170"/>
        <v>0.16613397030509472</v>
      </c>
      <c r="O2554" s="13">
        <f t="shared" si="171"/>
        <v>0.85503431667587937</v>
      </c>
    </row>
    <row r="2555" spans="2:15">
      <c r="B2555" s="12">
        <v>22</v>
      </c>
      <c r="C2555" s="4" t="s">
        <v>151</v>
      </c>
      <c r="D2555" s="4" t="s">
        <v>154</v>
      </c>
      <c r="E2555" s="4">
        <v>4</v>
      </c>
      <c r="F2555" s="4">
        <v>10</v>
      </c>
      <c r="G2555" s="4">
        <v>4</v>
      </c>
      <c r="H2555" s="115">
        <v>2.5469999999998549</v>
      </c>
      <c r="I2555" s="115"/>
      <c r="J2555" s="115">
        <v>0.13299999999998136</v>
      </c>
      <c r="K2555" s="115">
        <v>2.6799999999998363</v>
      </c>
      <c r="L2555" s="12">
        <f t="shared" si="168"/>
        <v>0.549861188471925</v>
      </c>
      <c r="M2555" s="4">
        <f t="shared" si="169"/>
        <v>0</v>
      </c>
      <c r="N2555" s="4">
        <f t="shared" si="170"/>
        <v>5.4229909863390102E-2</v>
      </c>
      <c r="O2555" s="13">
        <f t="shared" si="171"/>
        <v>0.56584781867349832</v>
      </c>
    </row>
    <row r="2556" spans="2:15">
      <c r="B2556" s="12">
        <v>22</v>
      </c>
      <c r="C2556" s="4" t="s">
        <v>151</v>
      </c>
      <c r="D2556" s="4" t="s">
        <v>154</v>
      </c>
      <c r="E2556" s="4">
        <v>4</v>
      </c>
      <c r="F2556" s="4">
        <v>10</v>
      </c>
      <c r="G2556" s="4">
        <v>5</v>
      </c>
      <c r="H2556" s="115"/>
      <c r="I2556" s="115"/>
      <c r="J2556" s="115"/>
      <c r="K2556" s="115">
        <v>0</v>
      </c>
      <c r="L2556" s="12">
        <f t="shared" si="168"/>
        <v>0</v>
      </c>
      <c r="M2556" s="4">
        <f t="shared" si="169"/>
        <v>0</v>
      </c>
      <c r="N2556" s="4">
        <f t="shared" si="170"/>
        <v>0</v>
      </c>
      <c r="O2556" s="13">
        <f t="shared" si="171"/>
        <v>0</v>
      </c>
    </row>
    <row r="2557" spans="2:15">
      <c r="B2557" s="12">
        <v>22</v>
      </c>
      <c r="C2557" s="4" t="s">
        <v>151</v>
      </c>
      <c r="D2557" s="4" t="s">
        <v>154</v>
      </c>
      <c r="E2557" s="4">
        <v>4</v>
      </c>
      <c r="F2557" s="4">
        <v>10</v>
      </c>
      <c r="G2557" s="4">
        <v>6</v>
      </c>
      <c r="H2557" s="115"/>
      <c r="I2557" s="115"/>
      <c r="J2557" s="115"/>
      <c r="K2557" s="115">
        <v>0</v>
      </c>
      <c r="L2557" s="12">
        <f t="shared" si="168"/>
        <v>0</v>
      </c>
      <c r="M2557" s="4">
        <f t="shared" si="169"/>
        <v>0</v>
      </c>
      <c r="N2557" s="4">
        <f t="shared" si="170"/>
        <v>0</v>
      </c>
      <c r="O2557" s="13">
        <f t="shared" si="171"/>
        <v>0</v>
      </c>
    </row>
    <row r="2558" spans="2:15">
      <c r="B2558" s="12">
        <v>22</v>
      </c>
      <c r="C2558" s="4" t="s">
        <v>151</v>
      </c>
      <c r="D2558" s="4" t="s">
        <v>154</v>
      </c>
      <c r="E2558" s="4">
        <v>4</v>
      </c>
      <c r="F2558" s="4">
        <v>10</v>
      </c>
      <c r="G2558" s="4">
        <v>7</v>
      </c>
      <c r="H2558" s="115"/>
      <c r="I2558" s="115"/>
      <c r="J2558" s="115"/>
      <c r="K2558" s="115">
        <v>0</v>
      </c>
      <c r="L2558" s="12">
        <f t="shared" si="168"/>
        <v>0</v>
      </c>
      <c r="M2558" s="4">
        <f t="shared" si="169"/>
        <v>0</v>
      </c>
      <c r="N2558" s="4">
        <f t="shared" si="170"/>
        <v>0</v>
      </c>
      <c r="O2558" s="13">
        <f t="shared" si="171"/>
        <v>0</v>
      </c>
    </row>
    <row r="2559" spans="2:15">
      <c r="B2559" s="12">
        <v>22</v>
      </c>
      <c r="C2559" s="4" t="s">
        <v>151</v>
      </c>
      <c r="D2559" s="4" t="s">
        <v>154</v>
      </c>
      <c r="E2559" s="4">
        <v>4</v>
      </c>
      <c r="F2559" s="4">
        <v>10</v>
      </c>
      <c r="G2559" s="4">
        <v>8</v>
      </c>
      <c r="H2559" s="115"/>
      <c r="I2559" s="115"/>
      <c r="J2559" s="115"/>
      <c r="K2559" s="115">
        <v>0</v>
      </c>
      <c r="L2559" s="12">
        <f t="shared" si="168"/>
        <v>0</v>
      </c>
      <c r="M2559" s="4">
        <f t="shared" si="169"/>
        <v>0</v>
      </c>
      <c r="N2559" s="4">
        <f t="shared" si="170"/>
        <v>0</v>
      </c>
      <c r="O2559" s="13">
        <f t="shared" si="171"/>
        <v>0</v>
      </c>
    </row>
    <row r="2560" spans="2:15">
      <c r="B2560" s="12">
        <v>22</v>
      </c>
      <c r="C2560" s="4" t="s">
        <v>151</v>
      </c>
      <c r="D2560" s="4" t="s">
        <v>154</v>
      </c>
      <c r="E2560" s="4">
        <v>4</v>
      </c>
      <c r="F2560" s="4">
        <v>10</v>
      </c>
      <c r="G2560" s="4">
        <v>9</v>
      </c>
      <c r="H2560" s="115"/>
      <c r="I2560" s="115"/>
      <c r="J2560" s="115"/>
      <c r="K2560" s="115">
        <v>0</v>
      </c>
      <c r="L2560" s="12">
        <f t="shared" si="168"/>
        <v>0</v>
      </c>
      <c r="M2560" s="4">
        <f t="shared" si="169"/>
        <v>0</v>
      </c>
      <c r="N2560" s="4">
        <f t="shared" si="170"/>
        <v>0</v>
      </c>
      <c r="O2560" s="13">
        <f t="shared" si="171"/>
        <v>0</v>
      </c>
    </row>
    <row r="2561" spans="2:15" ht="13.8" thickBot="1">
      <c r="B2561" s="14">
        <v>22</v>
      </c>
      <c r="C2561" s="15" t="s">
        <v>151</v>
      </c>
      <c r="D2561" s="15" t="s">
        <v>154</v>
      </c>
      <c r="E2561" s="15">
        <v>4</v>
      </c>
      <c r="F2561" s="15">
        <v>10</v>
      </c>
      <c r="G2561" s="15">
        <v>10</v>
      </c>
      <c r="H2561" s="121"/>
      <c r="I2561" s="121"/>
      <c r="J2561" s="121"/>
      <c r="K2561" s="121">
        <v>0</v>
      </c>
      <c r="L2561" s="14">
        <f t="shared" si="168"/>
        <v>0</v>
      </c>
      <c r="M2561" s="15">
        <f t="shared" si="169"/>
        <v>0</v>
      </c>
      <c r="N2561" s="15">
        <f t="shared" si="170"/>
        <v>0</v>
      </c>
      <c r="O2561" s="16">
        <f t="shared" si="171"/>
        <v>0</v>
      </c>
    </row>
    <row r="2562" spans="2:15">
      <c r="B2562" s="9">
        <v>22</v>
      </c>
      <c r="C2562" s="10" t="s">
        <v>151</v>
      </c>
      <c r="D2562" s="10" t="s">
        <v>149</v>
      </c>
      <c r="E2562" s="93">
        <v>5</v>
      </c>
      <c r="F2562" s="93">
        <v>2</v>
      </c>
      <c r="G2562" s="10">
        <v>1</v>
      </c>
      <c r="H2562" s="120">
        <v>1.0670000000000215</v>
      </c>
      <c r="I2562" s="120">
        <v>0.50000000000001421</v>
      </c>
      <c r="J2562" s="120"/>
      <c r="K2562" s="120">
        <v>1.5670000000000357</v>
      </c>
      <c r="L2562" s="9">
        <f t="shared" si="168"/>
        <v>0.31534047662729275</v>
      </c>
      <c r="M2562" s="10">
        <f t="shared" si="169"/>
        <v>0.17609125905568535</v>
      </c>
      <c r="N2562" s="10">
        <f t="shared" si="170"/>
        <v>0</v>
      </c>
      <c r="O2562" s="11">
        <f t="shared" si="171"/>
        <v>0.40942586867144942</v>
      </c>
    </row>
    <row r="2563" spans="2:15">
      <c r="B2563" s="12">
        <v>22</v>
      </c>
      <c r="C2563" s="4" t="s">
        <v>151</v>
      </c>
      <c r="D2563" s="4" t="s">
        <v>149</v>
      </c>
      <c r="E2563" s="4">
        <v>5</v>
      </c>
      <c r="F2563" s="4">
        <v>2</v>
      </c>
      <c r="G2563" s="4">
        <v>2</v>
      </c>
      <c r="H2563" s="115">
        <v>1.5999999999999943</v>
      </c>
      <c r="I2563" s="115">
        <v>0.20000000000000284</v>
      </c>
      <c r="J2563" s="115">
        <v>0.83400000000000318</v>
      </c>
      <c r="K2563" s="115">
        <v>2.6340000000000003</v>
      </c>
      <c r="L2563" s="12">
        <f t="shared" si="168"/>
        <v>0.41497334797081703</v>
      </c>
      <c r="M2563" s="4">
        <f t="shared" si="169"/>
        <v>7.9181246047625858E-2</v>
      </c>
      <c r="N2563" s="4">
        <f t="shared" si="170"/>
        <v>0.26339933133400306</v>
      </c>
      <c r="O2563" s="13">
        <f t="shared" si="171"/>
        <v>0.56038492297201559</v>
      </c>
    </row>
    <row r="2564" spans="2:15">
      <c r="B2564" s="12">
        <v>22</v>
      </c>
      <c r="C2564" s="4" t="s">
        <v>151</v>
      </c>
      <c r="D2564" s="4" t="s">
        <v>149</v>
      </c>
      <c r="E2564" s="4">
        <v>5</v>
      </c>
      <c r="F2564" s="4">
        <v>2</v>
      </c>
      <c r="G2564" s="4">
        <v>3</v>
      </c>
      <c r="H2564" s="115">
        <v>2.6670000000000016</v>
      </c>
      <c r="I2564" s="115">
        <v>0.81699999999999307</v>
      </c>
      <c r="J2564" s="115">
        <v>2.1319999999999766</v>
      </c>
      <c r="K2564" s="115">
        <v>5.6159999999999712</v>
      </c>
      <c r="L2564" s="12">
        <f t="shared" si="168"/>
        <v>0.56431090996060296</v>
      </c>
      <c r="M2564" s="4">
        <f t="shared" si="169"/>
        <v>0.25935492730803267</v>
      </c>
      <c r="N2564" s="4">
        <f t="shared" si="170"/>
        <v>0.49582175338590256</v>
      </c>
      <c r="O2564" s="13">
        <f t="shared" si="171"/>
        <v>0.82059549654448838</v>
      </c>
    </row>
    <row r="2565" spans="2:15">
      <c r="B2565" s="12">
        <v>22</v>
      </c>
      <c r="C2565" s="4" t="s">
        <v>151</v>
      </c>
      <c r="D2565" s="4" t="s">
        <v>149</v>
      </c>
      <c r="E2565" s="4">
        <v>5</v>
      </c>
      <c r="F2565" s="4">
        <v>2</v>
      </c>
      <c r="G2565" s="4">
        <v>4</v>
      </c>
      <c r="H2565" s="115">
        <v>0.25</v>
      </c>
      <c r="I2565" s="115"/>
      <c r="J2565" s="115">
        <v>0.25</v>
      </c>
      <c r="K2565" s="115">
        <v>0.5</v>
      </c>
      <c r="L2565" s="12">
        <f t="shared" si="168"/>
        <v>9.691001300805642E-2</v>
      </c>
      <c r="M2565" s="4">
        <f t="shared" si="169"/>
        <v>0</v>
      </c>
      <c r="N2565" s="4">
        <f t="shared" si="170"/>
        <v>9.691001300805642E-2</v>
      </c>
      <c r="O2565" s="13">
        <f t="shared" si="171"/>
        <v>0.17609125905568124</v>
      </c>
    </row>
    <row r="2566" spans="2:15">
      <c r="B2566" s="12">
        <v>22</v>
      </c>
      <c r="C2566" s="4" t="s">
        <v>151</v>
      </c>
      <c r="D2566" s="4" t="s">
        <v>149</v>
      </c>
      <c r="E2566" s="4">
        <v>5</v>
      </c>
      <c r="F2566" s="4">
        <v>2</v>
      </c>
      <c r="G2566" s="4">
        <v>5</v>
      </c>
      <c r="H2566" s="115"/>
      <c r="I2566" s="115">
        <v>0.33399999999998897</v>
      </c>
      <c r="J2566" s="115"/>
      <c r="K2566" s="115">
        <v>0.33399999999998897</v>
      </c>
      <c r="L2566" s="12">
        <f t="shared" si="168"/>
        <v>0</v>
      </c>
      <c r="M2566" s="4">
        <f t="shared" si="169"/>
        <v>0.12515582958052657</v>
      </c>
      <c r="N2566" s="4">
        <f t="shared" si="170"/>
        <v>0</v>
      </c>
      <c r="O2566" s="13">
        <f t="shared" si="171"/>
        <v>0.12515582958052657</v>
      </c>
    </row>
    <row r="2567" spans="2:15">
      <c r="B2567" s="12">
        <v>22</v>
      </c>
      <c r="C2567" s="4" t="s">
        <v>151</v>
      </c>
      <c r="D2567" s="4" t="s">
        <v>149</v>
      </c>
      <c r="E2567" s="4">
        <v>5</v>
      </c>
      <c r="F2567" s="4">
        <v>2</v>
      </c>
      <c r="G2567" s="4">
        <v>6</v>
      </c>
      <c r="H2567" s="115"/>
      <c r="I2567" s="115"/>
      <c r="J2567" s="115"/>
      <c r="K2567" s="115">
        <v>0</v>
      </c>
      <c r="L2567" s="12">
        <f t="shared" si="168"/>
        <v>0</v>
      </c>
      <c r="M2567" s="4">
        <f t="shared" si="169"/>
        <v>0</v>
      </c>
      <c r="N2567" s="4">
        <f t="shared" si="170"/>
        <v>0</v>
      </c>
      <c r="O2567" s="13">
        <f t="shared" si="171"/>
        <v>0</v>
      </c>
    </row>
    <row r="2568" spans="2:15">
      <c r="B2568" s="12">
        <v>22</v>
      </c>
      <c r="C2568" s="4" t="s">
        <v>151</v>
      </c>
      <c r="D2568" s="4" t="s">
        <v>149</v>
      </c>
      <c r="E2568" s="4">
        <v>5</v>
      </c>
      <c r="F2568" s="4">
        <v>2</v>
      </c>
      <c r="G2568" s="4">
        <v>7</v>
      </c>
      <c r="H2568" s="115"/>
      <c r="I2568" s="115"/>
      <c r="J2568" s="115"/>
      <c r="K2568" s="115">
        <v>0</v>
      </c>
      <c r="L2568" s="12">
        <f t="shared" si="168"/>
        <v>0</v>
      </c>
      <c r="M2568" s="4">
        <f t="shared" si="169"/>
        <v>0</v>
      </c>
      <c r="N2568" s="4">
        <f t="shared" si="170"/>
        <v>0</v>
      </c>
      <c r="O2568" s="13">
        <f t="shared" si="171"/>
        <v>0</v>
      </c>
    </row>
    <row r="2569" spans="2:15">
      <c r="B2569" s="12">
        <v>22</v>
      </c>
      <c r="C2569" s="4" t="s">
        <v>151</v>
      </c>
      <c r="D2569" s="4" t="s">
        <v>149</v>
      </c>
      <c r="E2569" s="4">
        <v>5</v>
      </c>
      <c r="F2569" s="4">
        <v>2</v>
      </c>
      <c r="G2569" s="4">
        <v>8</v>
      </c>
      <c r="H2569" s="115"/>
      <c r="I2569" s="115"/>
      <c r="J2569" s="115"/>
      <c r="K2569" s="115">
        <v>0</v>
      </c>
      <c r="L2569" s="12">
        <f t="shared" si="168"/>
        <v>0</v>
      </c>
      <c r="M2569" s="4">
        <f t="shared" si="169"/>
        <v>0</v>
      </c>
      <c r="N2569" s="4">
        <f t="shared" si="170"/>
        <v>0</v>
      </c>
      <c r="O2569" s="13">
        <f t="shared" si="171"/>
        <v>0</v>
      </c>
    </row>
    <row r="2570" spans="2:15">
      <c r="B2570" s="12">
        <v>22</v>
      </c>
      <c r="C2570" s="4" t="s">
        <v>151</v>
      </c>
      <c r="D2570" s="4" t="s">
        <v>149</v>
      </c>
      <c r="E2570" s="4">
        <v>5</v>
      </c>
      <c r="F2570" s="4">
        <v>2</v>
      </c>
      <c r="G2570" s="4">
        <v>9</v>
      </c>
      <c r="H2570" s="115"/>
      <c r="I2570" s="115"/>
      <c r="J2570" s="115"/>
      <c r="K2570" s="115">
        <v>0</v>
      </c>
      <c r="L2570" s="12">
        <f t="shared" si="168"/>
        <v>0</v>
      </c>
      <c r="M2570" s="4">
        <f t="shared" si="169"/>
        <v>0</v>
      </c>
      <c r="N2570" s="4">
        <f t="shared" si="170"/>
        <v>0</v>
      </c>
      <c r="O2570" s="13">
        <f t="shared" si="171"/>
        <v>0</v>
      </c>
    </row>
    <row r="2571" spans="2:15" ht="13.8" thickBot="1">
      <c r="B2571" s="14">
        <v>22</v>
      </c>
      <c r="C2571" s="15" t="s">
        <v>151</v>
      </c>
      <c r="D2571" s="15" t="s">
        <v>149</v>
      </c>
      <c r="E2571" s="15">
        <v>5</v>
      </c>
      <c r="F2571" s="15">
        <v>2</v>
      </c>
      <c r="G2571" s="15">
        <v>10</v>
      </c>
      <c r="H2571" s="121"/>
      <c r="I2571" s="121"/>
      <c r="J2571" s="121"/>
      <c r="K2571" s="121">
        <v>0</v>
      </c>
      <c r="L2571" s="14">
        <f t="shared" si="168"/>
        <v>0</v>
      </c>
      <c r="M2571" s="15">
        <f t="shared" si="169"/>
        <v>0</v>
      </c>
      <c r="N2571" s="15">
        <f t="shared" si="170"/>
        <v>0</v>
      </c>
      <c r="O2571" s="16">
        <f t="shared" si="171"/>
        <v>0</v>
      </c>
    </row>
    <row r="2572" spans="2:15">
      <c r="B2572" s="9">
        <v>22</v>
      </c>
      <c r="C2572" s="10" t="s">
        <v>151</v>
      </c>
      <c r="D2572" s="10" t="s">
        <v>150</v>
      </c>
      <c r="E2572" s="93">
        <v>6</v>
      </c>
      <c r="F2572" s="93">
        <v>6</v>
      </c>
      <c r="G2572" s="10">
        <v>1</v>
      </c>
      <c r="H2572" s="120">
        <v>0.50000000000005684</v>
      </c>
      <c r="I2572" s="120">
        <v>0.11599999999998545</v>
      </c>
      <c r="J2572" s="120">
        <v>2.5980000000000132</v>
      </c>
      <c r="K2572" s="120">
        <v>3.2140000000000555</v>
      </c>
      <c r="L2572" s="9">
        <f t="shared" si="168"/>
        <v>0.1760912590556977</v>
      </c>
      <c r="M2572" s="10">
        <f t="shared" si="169"/>
        <v>4.7664194601554279E-2</v>
      </c>
      <c r="N2572" s="10">
        <f t="shared" si="170"/>
        <v>0.55606115900953412</v>
      </c>
      <c r="O2572" s="11">
        <f t="shared" si="171"/>
        <v>0.62469453127208707</v>
      </c>
    </row>
    <row r="2573" spans="2:15">
      <c r="B2573" s="12">
        <v>22</v>
      </c>
      <c r="C2573" s="4" t="s">
        <v>151</v>
      </c>
      <c r="D2573" s="4" t="s">
        <v>150</v>
      </c>
      <c r="E2573" s="4">
        <v>6</v>
      </c>
      <c r="F2573" s="4">
        <v>6</v>
      </c>
      <c r="G2573" s="4">
        <v>2</v>
      </c>
      <c r="H2573" s="115">
        <v>0.19999999999998863</v>
      </c>
      <c r="I2573" s="115">
        <v>0.10000000000002274</v>
      </c>
      <c r="J2573" s="115">
        <v>1.3170000000000073</v>
      </c>
      <c r="K2573" s="115">
        <v>1.6170000000000186</v>
      </c>
      <c r="L2573" s="12">
        <f t="shared" si="168"/>
        <v>7.918124604762071E-2</v>
      </c>
      <c r="M2573" s="4">
        <f t="shared" si="169"/>
        <v>4.1392685158234015E-2</v>
      </c>
      <c r="N2573" s="4">
        <f t="shared" si="170"/>
        <v>0.36492603378997696</v>
      </c>
      <c r="O2573" s="13">
        <f t="shared" si="171"/>
        <v>0.41780372263988408</v>
      </c>
    </row>
    <row r="2574" spans="2:15">
      <c r="B2574" s="12">
        <v>22</v>
      </c>
      <c r="C2574" s="4" t="s">
        <v>151</v>
      </c>
      <c r="D2574" s="4" t="s">
        <v>150</v>
      </c>
      <c r="E2574" s="4">
        <v>6</v>
      </c>
      <c r="F2574" s="4">
        <v>6</v>
      </c>
      <c r="G2574" s="4">
        <v>3</v>
      </c>
      <c r="H2574" s="115">
        <v>0.33199999999999363</v>
      </c>
      <c r="I2574" s="115"/>
      <c r="J2574" s="115"/>
      <c r="K2574" s="115">
        <v>0.33199999999999363</v>
      </c>
      <c r="L2574" s="12">
        <f t="shared" si="168"/>
        <v>0.12450422483428018</v>
      </c>
      <c r="M2574" s="4">
        <f t="shared" si="169"/>
        <v>0</v>
      </c>
      <c r="N2574" s="4">
        <f t="shared" si="170"/>
        <v>0</v>
      </c>
      <c r="O2574" s="13">
        <f t="shared" si="171"/>
        <v>0.12450422483428018</v>
      </c>
    </row>
    <row r="2575" spans="2:15">
      <c r="B2575" s="12">
        <v>22</v>
      </c>
      <c r="C2575" s="4" t="s">
        <v>151</v>
      </c>
      <c r="D2575" s="4" t="s">
        <v>150</v>
      </c>
      <c r="E2575" s="4">
        <v>6</v>
      </c>
      <c r="F2575" s="4">
        <v>6</v>
      </c>
      <c r="G2575" s="4">
        <v>4</v>
      </c>
      <c r="H2575" s="115"/>
      <c r="I2575" s="115"/>
      <c r="J2575" s="115"/>
      <c r="K2575" s="115">
        <v>0</v>
      </c>
      <c r="L2575" s="12">
        <f t="shared" si="168"/>
        <v>0</v>
      </c>
      <c r="M2575" s="4">
        <f t="shared" si="169"/>
        <v>0</v>
      </c>
      <c r="N2575" s="4">
        <f t="shared" si="170"/>
        <v>0</v>
      </c>
      <c r="O2575" s="13">
        <f t="shared" si="171"/>
        <v>0</v>
      </c>
    </row>
    <row r="2576" spans="2:15">
      <c r="B2576" s="12">
        <v>22</v>
      </c>
      <c r="C2576" s="4" t="s">
        <v>151</v>
      </c>
      <c r="D2576" s="4" t="s">
        <v>150</v>
      </c>
      <c r="E2576" s="4">
        <v>6</v>
      </c>
      <c r="F2576" s="4">
        <v>6</v>
      </c>
      <c r="G2576" s="4">
        <v>5</v>
      </c>
      <c r="H2576" s="115"/>
      <c r="I2576" s="115"/>
      <c r="J2576" s="115"/>
      <c r="K2576" s="115">
        <v>0</v>
      </c>
      <c r="L2576" s="12">
        <f t="shared" si="168"/>
        <v>0</v>
      </c>
      <c r="M2576" s="4">
        <f t="shared" si="169"/>
        <v>0</v>
      </c>
      <c r="N2576" s="4">
        <f t="shared" si="170"/>
        <v>0</v>
      </c>
      <c r="O2576" s="13">
        <f t="shared" si="171"/>
        <v>0</v>
      </c>
    </row>
    <row r="2577" spans="2:15">
      <c r="B2577" s="12">
        <v>22</v>
      </c>
      <c r="C2577" s="4" t="s">
        <v>151</v>
      </c>
      <c r="D2577" s="4" t="s">
        <v>150</v>
      </c>
      <c r="E2577" s="4">
        <v>6</v>
      </c>
      <c r="F2577" s="4">
        <v>6</v>
      </c>
      <c r="G2577" s="4">
        <v>6</v>
      </c>
      <c r="H2577" s="115"/>
      <c r="I2577" s="115"/>
      <c r="J2577" s="115"/>
      <c r="K2577" s="115">
        <v>0</v>
      </c>
      <c r="L2577" s="12">
        <f t="shared" si="168"/>
        <v>0</v>
      </c>
      <c r="M2577" s="4">
        <f t="shared" si="169"/>
        <v>0</v>
      </c>
      <c r="N2577" s="4">
        <f t="shared" si="170"/>
        <v>0</v>
      </c>
      <c r="O2577" s="13">
        <f t="shared" si="171"/>
        <v>0</v>
      </c>
    </row>
    <row r="2578" spans="2:15">
      <c r="B2578" s="12">
        <v>22</v>
      </c>
      <c r="C2578" s="4" t="s">
        <v>151</v>
      </c>
      <c r="D2578" s="4" t="s">
        <v>150</v>
      </c>
      <c r="E2578" s="4">
        <v>6</v>
      </c>
      <c r="F2578" s="4">
        <v>6</v>
      </c>
      <c r="G2578" s="4">
        <v>7</v>
      </c>
      <c r="H2578" s="115"/>
      <c r="I2578" s="115"/>
      <c r="J2578" s="115"/>
      <c r="K2578" s="115">
        <v>0</v>
      </c>
      <c r="L2578" s="12">
        <f t="shared" si="168"/>
        <v>0</v>
      </c>
      <c r="M2578" s="4">
        <f t="shared" si="169"/>
        <v>0</v>
      </c>
      <c r="N2578" s="4">
        <f t="shared" si="170"/>
        <v>0</v>
      </c>
      <c r="O2578" s="13">
        <f t="shared" si="171"/>
        <v>0</v>
      </c>
    </row>
    <row r="2579" spans="2:15">
      <c r="B2579" s="12">
        <v>22</v>
      </c>
      <c r="C2579" s="4" t="s">
        <v>151</v>
      </c>
      <c r="D2579" s="4" t="s">
        <v>150</v>
      </c>
      <c r="E2579" s="4">
        <v>6</v>
      </c>
      <c r="F2579" s="4">
        <v>6</v>
      </c>
      <c r="G2579" s="4">
        <v>8</v>
      </c>
      <c r="H2579" s="115"/>
      <c r="I2579" s="115"/>
      <c r="J2579" s="115"/>
      <c r="K2579" s="115">
        <v>0</v>
      </c>
      <c r="L2579" s="12">
        <f t="shared" si="168"/>
        <v>0</v>
      </c>
      <c r="M2579" s="4">
        <f t="shared" si="169"/>
        <v>0</v>
      </c>
      <c r="N2579" s="4">
        <f t="shared" si="170"/>
        <v>0</v>
      </c>
      <c r="O2579" s="13">
        <f t="shared" si="171"/>
        <v>0</v>
      </c>
    </row>
    <row r="2580" spans="2:15">
      <c r="B2580" s="12">
        <v>22</v>
      </c>
      <c r="C2580" s="4" t="s">
        <v>151</v>
      </c>
      <c r="D2580" s="4" t="s">
        <v>150</v>
      </c>
      <c r="E2580" s="4">
        <v>6</v>
      </c>
      <c r="F2580" s="4">
        <v>6</v>
      </c>
      <c r="G2580" s="4">
        <v>9</v>
      </c>
      <c r="H2580" s="115"/>
      <c r="I2580" s="115"/>
      <c r="J2580" s="115"/>
      <c r="K2580" s="115">
        <v>0</v>
      </c>
      <c r="L2580" s="12">
        <f t="shared" si="168"/>
        <v>0</v>
      </c>
      <c r="M2580" s="4">
        <f t="shared" si="169"/>
        <v>0</v>
      </c>
      <c r="N2580" s="4">
        <f t="shared" si="170"/>
        <v>0</v>
      </c>
      <c r="O2580" s="13">
        <f t="shared" si="171"/>
        <v>0</v>
      </c>
    </row>
    <row r="2581" spans="2:15" ht="13.8" thickBot="1">
      <c r="B2581" s="14">
        <v>22</v>
      </c>
      <c r="C2581" s="15" t="s">
        <v>151</v>
      </c>
      <c r="D2581" s="15" t="s">
        <v>150</v>
      </c>
      <c r="E2581" s="15">
        <v>6</v>
      </c>
      <c r="F2581" s="15">
        <v>6</v>
      </c>
      <c r="G2581" s="15">
        <v>10</v>
      </c>
      <c r="H2581" s="121"/>
      <c r="I2581" s="121"/>
      <c r="J2581" s="121"/>
      <c r="K2581" s="121">
        <v>0</v>
      </c>
      <c r="L2581" s="14">
        <f t="shared" si="168"/>
        <v>0</v>
      </c>
      <c r="M2581" s="15">
        <f t="shared" si="169"/>
        <v>0</v>
      </c>
      <c r="N2581" s="15">
        <f t="shared" si="170"/>
        <v>0</v>
      </c>
      <c r="O2581" s="16">
        <f t="shared" si="171"/>
        <v>0</v>
      </c>
    </row>
    <row r="2582" spans="2:15">
      <c r="B2582" s="9">
        <v>22</v>
      </c>
      <c r="C2582" s="10" t="s">
        <v>152</v>
      </c>
      <c r="D2582" s="10" t="s">
        <v>150</v>
      </c>
      <c r="E2582" s="93">
        <v>7</v>
      </c>
      <c r="F2582" s="93">
        <v>7</v>
      </c>
      <c r="G2582" s="10">
        <v>1</v>
      </c>
      <c r="H2582" s="120">
        <v>0.10000000000002274</v>
      </c>
      <c r="I2582" s="120"/>
      <c r="J2582" s="120">
        <v>0.5010000000000332</v>
      </c>
      <c r="K2582" s="120">
        <v>0.60100000000005593</v>
      </c>
      <c r="L2582" s="9">
        <f t="shared" si="168"/>
        <v>4.1392685158234015E-2</v>
      </c>
      <c r="M2582" s="10">
        <f t="shared" si="169"/>
        <v>0</v>
      </c>
      <c r="N2582" s="10">
        <f t="shared" si="170"/>
        <v>0.17638069224327999</v>
      </c>
      <c r="O2582" s="11">
        <f t="shared" si="171"/>
        <v>0.20439133191931491</v>
      </c>
    </row>
    <row r="2583" spans="2:15">
      <c r="B2583" s="12">
        <v>22</v>
      </c>
      <c r="C2583" s="4" t="s">
        <v>152</v>
      </c>
      <c r="D2583" s="4" t="s">
        <v>150</v>
      </c>
      <c r="E2583" s="4">
        <v>7</v>
      </c>
      <c r="F2583" s="4">
        <v>7</v>
      </c>
      <c r="G2583" s="4">
        <v>2</v>
      </c>
      <c r="H2583" s="115">
        <v>0.75</v>
      </c>
      <c r="I2583" s="115">
        <v>0.55000000000001137</v>
      </c>
      <c r="J2583" s="115">
        <v>1.8189999999997895</v>
      </c>
      <c r="K2583" s="115">
        <v>3.1189999999998008</v>
      </c>
      <c r="L2583" s="12">
        <f t="shared" si="168"/>
        <v>0.24303804868629444</v>
      </c>
      <c r="M2583" s="4">
        <f t="shared" si="169"/>
        <v>0.19033169817029466</v>
      </c>
      <c r="N2583" s="4">
        <f t="shared" si="170"/>
        <v>0.45009507587156988</v>
      </c>
      <c r="O2583" s="13">
        <f t="shared" si="171"/>
        <v>0.61479179195639655</v>
      </c>
    </row>
    <row r="2584" spans="2:15">
      <c r="B2584" s="12">
        <v>22</v>
      </c>
      <c r="C2584" s="4" t="s">
        <v>152</v>
      </c>
      <c r="D2584" s="4" t="s">
        <v>150</v>
      </c>
      <c r="E2584" s="4">
        <v>7</v>
      </c>
      <c r="F2584" s="4">
        <v>7</v>
      </c>
      <c r="G2584" s="4">
        <v>3</v>
      </c>
      <c r="H2584" s="115">
        <v>0.38399999999995771</v>
      </c>
      <c r="I2584" s="115">
        <v>0.10000000000002274</v>
      </c>
      <c r="J2584" s="115">
        <v>0.10000000000002274</v>
      </c>
      <c r="K2584" s="115">
        <v>0.58400000000000318</v>
      </c>
      <c r="L2584" s="12">
        <f t="shared" si="168"/>
        <v>0.14113609012072573</v>
      </c>
      <c r="M2584" s="4">
        <f t="shared" si="169"/>
        <v>4.1392685158234015E-2</v>
      </c>
      <c r="N2584" s="4">
        <f t="shared" si="170"/>
        <v>4.1392685158234015E-2</v>
      </c>
      <c r="O2584" s="13">
        <f t="shared" si="171"/>
        <v>0.19975517725347558</v>
      </c>
    </row>
    <row r="2585" spans="2:15">
      <c r="B2585" s="12">
        <v>22</v>
      </c>
      <c r="C2585" s="4" t="s">
        <v>152</v>
      </c>
      <c r="D2585" s="4" t="s">
        <v>150</v>
      </c>
      <c r="E2585" s="4">
        <v>7</v>
      </c>
      <c r="F2585" s="4">
        <v>7</v>
      </c>
      <c r="G2585" s="4">
        <v>4</v>
      </c>
      <c r="H2585" s="115">
        <v>0.10000000000002274</v>
      </c>
      <c r="I2585" s="115">
        <v>0.35099999999999909</v>
      </c>
      <c r="J2585" s="115">
        <v>0.61499999999995225</v>
      </c>
      <c r="K2585" s="115">
        <v>1.0659999999999741</v>
      </c>
      <c r="L2585" s="12">
        <f t="shared" si="168"/>
        <v>4.1392685158234015E-2</v>
      </c>
      <c r="M2585" s="4">
        <f t="shared" si="169"/>
        <v>0.1306553490220303</v>
      </c>
      <c r="N2585" s="4">
        <f t="shared" si="170"/>
        <v>0.20817252666710886</v>
      </c>
      <c r="O2585" s="13">
        <f t="shared" si="171"/>
        <v>0.3151303171835963</v>
      </c>
    </row>
    <row r="2586" spans="2:15">
      <c r="B2586" s="12">
        <v>22</v>
      </c>
      <c r="C2586" s="4" t="s">
        <v>152</v>
      </c>
      <c r="D2586" s="4" t="s">
        <v>150</v>
      </c>
      <c r="E2586" s="4">
        <v>7</v>
      </c>
      <c r="F2586" s="4">
        <v>7</v>
      </c>
      <c r="G2586" s="4">
        <v>5</v>
      </c>
      <c r="H2586" s="115"/>
      <c r="I2586" s="115"/>
      <c r="J2586" s="115"/>
      <c r="K2586" s="115">
        <v>0</v>
      </c>
      <c r="L2586" s="12">
        <f t="shared" si="168"/>
        <v>0</v>
      </c>
      <c r="M2586" s="4">
        <f t="shared" si="169"/>
        <v>0</v>
      </c>
      <c r="N2586" s="4">
        <f t="shared" si="170"/>
        <v>0</v>
      </c>
      <c r="O2586" s="13">
        <f t="shared" si="171"/>
        <v>0</v>
      </c>
    </row>
    <row r="2587" spans="2:15">
      <c r="B2587" s="12">
        <v>22</v>
      </c>
      <c r="C2587" s="4" t="s">
        <v>152</v>
      </c>
      <c r="D2587" s="4" t="s">
        <v>150</v>
      </c>
      <c r="E2587" s="4">
        <v>7</v>
      </c>
      <c r="F2587" s="4">
        <v>7</v>
      </c>
      <c r="G2587" s="4">
        <v>6</v>
      </c>
      <c r="H2587" s="115"/>
      <c r="I2587" s="115"/>
      <c r="J2587" s="115"/>
      <c r="K2587" s="115">
        <v>0</v>
      </c>
      <c r="L2587" s="12">
        <f t="shared" si="168"/>
        <v>0</v>
      </c>
      <c r="M2587" s="4">
        <f t="shared" si="169"/>
        <v>0</v>
      </c>
      <c r="N2587" s="4">
        <f t="shared" si="170"/>
        <v>0</v>
      </c>
      <c r="O2587" s="13">
        <f t="shared" si="171"/>
        <v>0</v>
      </c>
    </row>
    <row r="2588" spans="2:15">
      <c r="B2588" s="12">
        <v>22</v>
      </c>
      <c r="C2588" s="4" t="s">
        <v>152</v>
      </c>
      <c r="D2588" s="4" t="s">
        <v>150</v>
      </c>
      <c r="E2588" s="4">
        <v>7</v>
      </c>
      <c r="F2588" s="4">
        <v>7</v>
      </c>
      <c r="G2588" s="4">
        <v>7</v>
      </c>
      <c r="H2588" s="115"/>
      <c r="I2588" s="115"/>
      <c r="J2588" s="115"/>
      <c r="K2588" s="115">
        <v>0</v>
      </c>
      <c r="L2588" s="12">
        <f t="shared" si="168"/>
        <v>0</v>
      </c>
      <c r="M2588" s="4">
        <f t="shared" si="169"/>
        <v>0</v>
      </c>
      <c r="N2588" s="4">
        <f t="shared" si="170"/>
        <v>0</v>
      </c>
      <c r="O2588" s="13">
        <f t="shared" si="171"/>
        <v>0</v>
      </c>
    </row>
    <row r="2589" spans="2:15">
      <c r="B2589" s="12">
        <v>22</v>
      </c>
      <c r="C2589" s="4" t="s">
        <v>152</v>
      </c>
      <c r="D2589" s="4" t="s">
        <v>150</v>
      </c>
      <c r="E2589" s="4">
        <v>7</v>
      </c>
      <c r="F2589" s="4">
        <v>7</v>
      </c>
      <c r="G2589" s="4">
        <v>8</v>
      </c>
      <c r="H2589" s="115"/>
      <c r="I2589" s="115"/>
      <c r="J2589" s="115"/>
      <c r="K2589" s="115">
        <v>0</v>
      </c>
      <c r="L2589" s="12">
        <f t="shared" si="168"/>
        <v>0</v>
      </c>
      <c r="M2589" s="4">
        <f t="shared" si="169"/>
        <v>0</v>
      </c>
      <c r="N2589" s="4">
        <f t="shared" si="170"/>
        <v>0</v>
      </c>
      <c r="O2589" s="13">
        <f t="shared" si="171"/>
        <v>0</v>
      </c>
    </row>
    <row r="2590" spans="2:15">
      <c r="B2590" s="12">
        <v>22</v>
      </c>
      <c r="C2590" s="4" t="s">
        <v>152</v>
      </c>
      <c r="D2590" s="4" t="s">
        <v>150</v>
      </c>
      <c r="E2590" s="4">
        <v>7</v>
      </c>
      <c r="F2590" s="4">
        <v>7</v>
      </c>
      <c r="G2590" s="4">
        <v>9</v>
      </c>
      <c r="H2590" s="115"/>
      <c r="I2590" s="115"/>
      <c r="J2590" s="115"/>
      <c r="K2590" s="115">
        <v>0</v>
      </c>
      <c r="L2590" s="12">
        <f t="shared" si="168"/>
        <v>0</v>
      </c>
      <c r="M2590" s="4">
        <f t="shared" si="169"/>
        <v>0</v>
      </c>
      <c r="N2590" s="4">
        <f t="shared" si="170"/>
        <v>0</v>
      </c>
      <c r="O2590" s="13">
        <f t="shared" si="171"/>
        <v>0</v>
      </c>
    </row>
    <row r="2591" spans="2:15" ht="13.8" thickBot="1">
      <c r="B2591" s="14">
        <v>22</v>
      </c>
      <c r="C2591" s="15" t="s">
        <v>152</v>
      </c>
      <c r="D2591" s="15" t="s">
        <v>150</v>
      </c>
      <c r="E2591" s="15">
        <v>7</v>
      </c>
      <c r="F2591" s="15">
        <v>7</v>
      </c>
      <c r="G2591" s="15">
        <v>10</v>
      </c>
      <c r="H2591" s="121"/>
      <c r="I2591" s="121"/>
      <c r="J2591" s="121"/>
      <c r="K2591" s="121">
        <v>0</v>
      </c>
      <c r="L2591" s="14">
        <f t="shared" si="168"/>
        <v>0</v>
      </c>
      <c r="M2591" s="15">
        <f t="shared" si="169"/>
        <v>0</v>
      </c>
      <c r="N2591" s="15">
        <f t="shared" si="170"/>
        <v>0</v>
      </c>
      <c r="O2591" s="16">
        <f t="shared" si="171"/>
        <v>0</v>
      </c>
    </row>
    <row r="2592" spans="2:15">
      <c r="B2592" s="9">
        <v>22</v>
      </c>
      <c r="C2592" s="10" t="s">
        <v>152</v>
      </c>
      <c r="D2592" s="10" t="s">
        <v>149</v>
      </c>
      <c r="E2592" s="93">
        <v>8</v>
      </c>
      <c r="F2592" s="93">
        <v>3</v>
      </c>
      <c r="G2592" s="10">
        <v>1</v>
      </c>
      <c r="H2592" s="120">
        <v>3.2669999999999959</v>
      </c>
      <c r="I2592" s="120">
        <v>0.96600000000000819</v>
      </c>
      <c r="J2592" s="120">
        <v>1.2669999999999675</v>
      </c>
      <c r="K2592" s="120">
        <v>5.4999999999999716</v>
      </c>
      <c r="L2592" s="9">
        <f t="shared" si="168"/>
        <v>0.63012264285931163</v>
      </c>
      <c r="M2592" s="10">
        <f t="shared" si="169"/>
        <v>0.29358351349611861</v>
      </c>
      <c r="N2592" s="10">
        <f t="shared" si="170"/>
        <v>0.35545152012651116</v>
      </c>
      <c r="O2592" s="11">
        <f t="shared" si="171"/>
        <v>0.81291335664285369</v>
      </c>
    </row>
    <row r="2593" spans="2:15">
      <c r="B2593" s="12">
        <v>22</v>
      </c>
      <c r="C2593" s="4" t="s">
        <v>152</v>
      </c>
      <c r="D2593" s="4" t="s">
        <v>149</v>
      </c>
      <c r="E2593" s="4">
        <v>8</v>
      </c>
      <c r="F2593" s="4">
        <v>3</v>
      </c>
      <c r="G2593" s="4">
        <v>2</v>
      </c>
      <c r="H2593" s="115"/>
      <c r="I2593" s="115"/>
      <c r="J2593" s="115">
        <v>0.15000000000000568</v>
      </c>
      <c r="K2593" s="115">
        <v>0.15000000000000568</v>
      </c>
      <c r="L2593" s="12">
        <f t="shared" si="168"/>
        <v>0</v>
      </c>
      <c r="M2593" s="4">
        <f t="shared" si="169"/>
        <v>0</v>
      </c>
      <c r="N2593" s="4">
        <f t="shared" si="170"/>
        <v>6.0697840353613829E-2</v>
      </c>
      <c r="O2593" s="13">
        <f t="shared" si="171"/>
        <v>6.0697840353613829E-2</v>
      </c>
    </row>
    <row r="2594" spans="2:15">
      <c r="B2594" s="12">
        <v>22</v>
      </c>
      <c r="C2594" s="4" t="s">
        <v>152</v>
      </c>
      <c r="D2594" s="4" t="s">
        <v>149</v>
      </c>
      <c r="E2594" s="4">
        <v>8</v>
      </c>
      <c r="F2594" s="4">
        <v>3</v>
      </c>
      <c r="G2594" s="4">
        <v>3</v>
      </c>
      <c r="H2594" s="115"/>
      <c r="I2594" s="115"/>
      <c r="J2594" s="115"/>
      <c r="K2594" s="115">
        <v>0</v>
      </c>
      <c r="L2594" s="12">
        <f t="shared" si="168"/>
        <v>0</v>
      </c>
      <c r="M2594" s="4">
        <f t="shared" si="169"/>
        <v>0</v>
      </c>
      <c r="N2594" s="4">
        <f t="shared" si="170"/>
        <v>0</v>
      </c>
      <c r="O2594" s="13">
        <f t="shared" si="171"/>
        <v>0</v>
      </c>
    </row>
    <row r="2595" spans="2:15">
      <c r="B2595" s="12">
        <v>22</v>
      </c>
      <c r="C2595" s="4" t="s">
        <v>152</v>
      </c>
      <c r="D2595" s="4" t="s">
        <v>149</v>
      </c>
      <c r="E2595" s="4">
        <v>8</v>
      </c>
      <c r="F2595" s="4">
        <v>3</v>
      </c>
      <c r="G2595" s="4">
        <v>4</v>
      </c>
      <c r="H2595" s="115"/>
      <c r="I2595" s="115"/>
      <c r="J2595" s="115"/>
      <c r="K2595" s="115">
        <v>0</v>
      </c>
      <c r="L2595" s="12">
        <f t="shared" si="168"/>
        <v>0</v>
      </c>
      <c r="M2595" s="4">
        <f t="shared" si="169"/>
        <v>0</v>
      </c>
      <c r="N2595" s="4">
        <f t="shared" si="170"/>
        <v>0</v>
      </c>
      <c r="O2595" s="13">
        <f t="shared" si="171"/>
        <v>0</v>
      </c>
    </row>
    <row r="2596" spans="2:15">
      <c r="B2596" s="12">
        <v>22</v>
      </c>
      <c r="C2596" s="4" t="s">
        <v>152</v>
      </c>
      <c r="D2596" s="4" t="s">
        <v>149</v>
      </c>
      <c r="E2596" s="4">
        <v>8</v>
      </c>
      <c r="F2596" s="4">
        <v>3</v>
      </c>
      <c r="G2596" s="4">
        <v>5</v>
      </c>
      <c r="H2596" s="115"/>
      <c r="I2596" s="115"/>
      <c r="J2596" s="115"/>
      <c r="K2596" s="115">
        <v>0</v>
      </c>
      <c r="L2596" s="12">
        <f t="shared" si="168"/>
        <v>0</v>
      </c>
      <c r="M2596" s="4">
        <f t="shared" si="169"/>
        <v>0</v>
      </c>
      <c r="N2596" s="4">
        <f t="shared" si="170"/>
        <v>0</v>
      </c>
      <c r="O2596" s="13">
        <f t="shared" si="171"/>
        <v>0</v>
      </c>
    </row>
    <row r="2597" spans="2:15">
      <c r="B2597" s="12">
        <v>22</v>
      </c>
      <c r="C2597" s="4" t="s">
        <v>152</v>
      </c>
      <c r="D2597" s="4" t="s">
        <v>149</v>
      </c>
      <c r="E2597" s="4">
        <v>8</v>
      </c>
      <c r="F2597" s="4">
        <v>3</v>
      </c>
      <c r="G2597" s="4">
        <v>6</v>
      </c>
      <c r="H2597" s="115"/>
      <c r="I2597" s="115"/>
      <c r="J2597" s="115"/>
      <c r="K2597" s="115">
        <v>0</v>
      </c>
      <c r="L2597" s="12">
        <f t="shared" si="168"/>
        <v>0</v>
      </c>
      <c r="M2597" s="4">
        <f t="shared" si="169"/>
        <v>0</v>
      </c>
      <c r="N2597" s="4">
        <f t="shared" si="170"/>
        <v>0</v>
      </c>
      <c r="O2597" s="13">
        <f t="shared" si="171"/>
        <v>0</v>
      </c>
    </row>
    <row r="2598" spans="2:15">
      <c r="B2598" s="12">
        <v>22</v>
      </c>
      <c r="C2598" s="4" t="s">
        <v>152</v>
      </c>
      <c r="D2598" s="4" t="s">
        <v>149</v>
      </c>
      <c r="E2598" s="4">
        <v>8</v>
      </c>
      <c r="F2598" s="4">
        <v>3</v>
      </c>
      <c r="G2598" s="4">
        <v>7</v>
      </c>
      <c r="H2598" s="115"/>
      <c r="I2598" s="115"/>
      <c r="J2598" s="115"/>
      <c r="K2598" s="115">
        <v>0</v>
      </c>
      <c r="L2598" s="12">
        <f t="shared" si="168"/>
        <v>0</v>
      </c>
      <c r="M2598" s="4">
        <f t="shared" si="169"/>
        <v>0</v>
      </c>
      <c r="N2598" s="4">
        <f t="shared" si="170"/>
        <v>0</v>
      </c>
      <c r="O2598" s="13">
        <f t="shared" si="171"/>
        <v>0</v>
      </c>
    </row>
    <row r="2599" spans="2:15">
      <c r="B2599" s="12">
        <v>22</v>
      </c>
      <c r="C2599" s="4" t="s">
        <v>152</v>
      </c>
      <c r="D2599" s="4" t="s">
        <v>149</v>
      </c>
      <c r="E2599" s="4">
        <v>8</v>
      </c>
      <c r="F2599" s="4">
        <v>3</v>
      </c>
      <c r="G2599" s="4">
        <v>8</v>
      </c>
      <c r="H2599" s="115"/>
      <c r="I2599" s="115"/>
      <c r="J2599" s="115"/>
      <c r="K2599" s="115">
        <v>0</v>
      </c>
      <c r="L2599" s="12">
        <f t="shared" ref="L2599:L2662" si="172">LOG10(H2599+1)</f>
        <v>0</v>
      </c>
      <c r="M2599" s="4">
        <f t="shared" ref="M2599:M2662" si="173">LOG10(I2599+1)</f>
        <v>0</v>
      </c>
      <c r="N2599" s="4">
        <f t="shared" ref="N2599:N2662" si="174">LOG10(J2599+1)</f>
        <v>0</v>
      </c>
      <c r="O2599" s="13">
        <f t="shared" ref="O2599:O2662" si="175">LOG10(K2599+1)</f>
        <v>0</v>
      </c>
    </row>
    <row r="2600" spans="2:15">
      <c r="B2600" s="12">
        <v>22</v>
      </c>
      <c r="C2600" s="4" t="s">
        <v>152</v>
      </c>
      <c r="D2600" s="4" t="s">
        <v>149</v>
      </c>
      <c r="E2600" s="4">
        <v>8</v>
      </c>
      <c r="F2600" s="4">
        <v>3</v>
      </c>
      <c r="G2600" s="4">
        <v>9</v>
      </c>
      <c r="H2600" s="115"/>
      <c r="I2600" s="115"/>
      <c r="J2600" s="115"/>
      <c r="K2600" s="115">
        <v>0</v>
      </c>
      <c r="L2600" s="12">
        <f t="shared" si="172"/>
        <v>0</v>
      </c>
      <c r="M2600" s="4">
        <f t="shared" si="173"/>
        <v>0</v>
      </c>
      <c r="N2600" s="4">
        <f t="shared" si="174"/>
        <v>0</v>
      </c>
      <c r="O2600" s="13">
        <f t="shared" si="175"/>
        <v>0</v>
      </c>
    </row>
    <row r="2601" spans="2:15" ht="13.8" thickBot="1">
      <c r="B2601" s="14">
        <v>22</v>
      </c>
      <c r="C2601" s="15" t="s">
        <v>152</v>
      </c>
      <c r="D2601" s="15" t="s">
        <v>149</v>
      </c>
      <c r="E2601" s="15">
        <v>8</v>
      </c>
      <c r="F2601" s="15">
        <v>3</v>
      </c>
      <c r="G2601" s="15">
        <v>10</v>
      </c>
      <c r="H2601" s="121"/>
      <c r="I2601" s="121"/>
      <c r="J2601" s="121"/>
      <c r="K2601" s="121">
        <v>0</v>
      </c>
      <c r="L2601" s="14">
        <f t="shared" si="172"/>
        <v>0</v>
      </c>
      <c r="M2601" s="15">
        <f t="shared" si="173"/>
        <v>0</v>
      </c>
      <c r="N2601" s="15">
        <f t="shared" si="174"/>
        <v>0</v>
      </c>
      <c r="O2601" s="16">
        <f t="shared" si="175"/>
        <v>0</v>
      </c>
    </row>
    <row r="2602" spans="2:15">
      <c r="B2602" s="9">
        <v>22</v>
      </c>
      <c r="C2602" s="10" t="s">
        <v>152</v>
      </c>
      <c r="D2602" s="10" t="s">
        <v>154</v>
      </c>
      <c r="E2602" s="93">
        <v>9</v>
      </c>
      <c r="F2602" s="93">
        <v>9</v>
      </c>
      <c r="G2602" s="10">
        <v>1</v>
      </c>
      <c r="H2602" s="120">
        <v>1.0009999999999764</v>
      </c>
      <c r="I2602" s="120"/>
      <c r="J2602" s="120">
        <v>0.10000000000002274</v>
      </c>
      <c r="K2602" s="120">
        <v>1.1009999999999991</v>
      </c>
      <c r="L2602" s="9">
        <f t="shared" si="172"/>
        <v>0.30124708863620625</v>
      </c>
      <c r="M2602" s="10">
        <f t="shared" si="173"/>
        <v>0</v>
      </c>
      <c r="N2602" s="10">
        <f t="shared" si="174"/>
        <v>4.1392685158234015E-2</v>
      </c>
      <c r="O2602" s="11">
        <f t="shared" si="175"/>
        <v>0.3224260524059524</v>
      </c>
    </row>
    <row r="2603" spans="2:15">
      <c r="B2603" s="12">
        <v>22</v>
      </c>
      <c r="C2603" s="4" t="s">
        <v>152</v>
      </c>
      <c r="D2603" s="4" t="s">
        <v>154</v>
      </c>
      <c r="E2603" s="4">
        <v>9</v>
      </c>
      <c r="F2603" s="4">
        <v>9</v>
      </c>
      <c r="G2603" s="4">
        <v>2</v>
      </c>
      <c r="H2603" s="115"/>
      <c r="I2603" s="115"/>
      <c r="J2603" s="115"/>
      <c r="K2603" s="115">
        <v>0</v>
      </c>
      <c r="L2603" s="12">
        <f t="shared" si="172"/>
        <v>0</v>
      </c>
      <c r="M2603" s="4">
        <f t="shared" si="173"/>
        <v>0</v>
      </c>
      <c r="N2603" s="4">
        <f t="shared" si="174"/>
        <v>0</v>
      </c>
      <c r="O2603" s="13">
        <f t="shared" si="175"/>
        <v>0</v>
      </c>
    </row>
    <row r="2604" spans="2:15">
      <c r="B2604" s="12">
        <v>22</v>
      </c>
      <c r="C2604" s="4" t="s">
        <v>152</v>
      </c>
      <c r="D2604" s="4" t="s">
        <v>154</v>
      </c>
      <c r="E2604" s="4">
        <v>9</v>
      </c>
      <c r="F2604" s="4">
        <v>9</v>
      </c>
      <c r="G2604" s="4">
        <v>3</v>
      </c>
      <c r="H2604" s="115"/>
      <c r="I2604" s="115"/>
      <c r="J2604" s="115"/>
      <c r="K2604" s="115">
        <v>0</v>
      </c>
      <c r="L2604" s="12">
        <f t="shared" si="172"/>
        <v>0</v>
      </c>
      <c r="M2604" s="4">
        <f t="shared" si="173"/>
        <v>0</v>
      </c>
      <c r="N2604" s="4">
        <f t="shared" si="174"/>
        <v>0</v>
      </c>
      <c r="O2604" s="13">
        <f t="shared" si="175"/>
        <v>0</v>
      </c>
    </row>
    <row r="2605" spans="2:15">
      <c r="B2605" s="12">
        <v>22</v>
      </c>
      <c r="C2605" s="4" t="s">
        <v>152</v>
      </c>
      <c r="D2605" s="4" t="s">
        <v>154</v>
      </c>
      <c r="E2605" s="4">
        <v>9</v>
      </c>
      <c r="F2605" s="4">
        <v>9</v>
      </c>
      <c r="G2605" s="4">
        <v>4</v>
      </c>
      <c r="H2605" s="115"/>
      <c r="I2605" s="115"/>
      <c r="J2605" s="115"/>
      <c r="K2605" s="115">
        <v>0</v>
      </c>
      <c r="L2605" s="12">
        <f t="shared" si="172"/>
        <v>0</v>
      </c>
      <c r="M2605" s="4">
        <f t="shared" si="173"/>
        <v>0</v>
      </c>
      <c r="N2605" s="4">
        <f t="shared" si="174"/>
        <v>0</v>
      </c>
      <c r="O2605" s="13">
        <f t="shared" si="175"/>
        <v>0</v>
      </c>
    </row>
    <row r="2606" spans="2:15">
      <c r="B2606" s="12">
        <v>22</v>
      </c>
      <c r="C2606" s="4" t="s">
        <v>152</v>
      </c>
      <c r="D2606" s="4" t="s">
        <v>154</v>
      </c>
      <c r="E2606" s="4">
        <v>9</v>
      </c>
      <c r="F2606" s="4">
        <v>9</v>
      </c>
      <c r="G2606" s="4">
        <v>5</v>
      </c>
      <c r="H2606" s="115"/>
      <c r="I2606" s="115"/>
      <c r="J2606" s="115"/>
      <c r="K2606" s="115">
        <v>0</v>
      </c>
      <c r="L2606" s="12">
        <f t="shared" si="172"/>
        <v>0</v>
      </c>
      <c r="M2606" s="4">
        <f t="shared" si="173"/>
        <v>0</v>
      </c>
      <c r="N2606" s="4">
        <f t="shared" si="174"/>
        <v>0</v>
      </c>
      <c r="O2606" s="13">
        <f t="shared" si="175"/>
        <v>0</v>
      </c>
    </row>
    <row r="2607" spans="2:15">
      <c r="B2607" s="12">
        <v>22</v>
      </c>
      <c r="C2607" s="4" t="s">
        <v>152</v>
      </c>
      <c r="D2607" s="4" t="s">
        <v>154</v>
      </c>
      <c r="E2607" s="4">
        <v>9</v>
      </c>
      <c r="F2607" s="4">
        <v>9</v>
      </c>
      <c r="G2607" s="4">
        <v>6</v>
      </c>
      <c r="H2607" s="115"/>
      <c r="I2607" s="115"/>
      <c r="J2607" s="115"/>
      <c r="K2607" s="115">
        <v>0</v>
      </c>
      <c r="L2607" s="12">
        <f t="shared" si="172"/>
        <v>0</v>
      </c>
      <c r="M2607" s="4">
        <f t="shared" si="173"/>
        <v>0</v>
      </c>
      <c r="N2607" s="4">
        <f t="shared" si="174"/>
        <v>0</v>
      </c>
      <c r="O2607" s="13">
        <f t="shared" si="175"/>
        <v>0</v>
      </c>
    </row>
    <row r="2608" spans="2:15">
      <c r="B2608" s="12">
        <v>22</v>
      </c>
      <c r="C2608" s="4" t="s">
        <v>152</v>
      </c>
      <c r="D2608" s="4" t="s">
        <v>154</v>
      </c>
      <c r="E2608" s="4">
        <v>9</v>
      </c>
      <c r="F2608" s="4">
        <v>9</v>
      </c>
      <c r="G2608" s="4">
        <v>7</v>
      </c>
      <c r="H2608" s="115"/>
      <c r="I2608" s="115"/>
      <c r="J2608" s="115"/>
      <c r="K2608" s="115">
        <v>0</v>
      </c>
      <c r="L2608" s="12">
        <f t="shared" si="172"/>
        <v>0</v>
      </c>
      <c r="M2608" s="4">
        <f t="shared" si="173"/>
        <v>0</v>
      </c>
      <c r="N2608" s="4">
        <f t="shared" si="174"/>
        <v>0</v>
      </c>
      <c r="O2608" s="13">
        <f t="shared" si="175"/>
        <v>0</v>
      </c>
    </row>
    <row r="2609" spans="2:15">
      <c r="B2609" s="12">
        <v>22</v>
      </c>
      <c r="C2609" s="4" t="s">
        <v>152</v>
      </c>
      <c r="D2609" s="4" t="s">
        <v>154</v>
      </c>
      <c r="E2609" s="4">
        <v>9</v>
      </c>
      <c r="F2609" s="4">
        <v>9</v>
      </c>
      <c r="G2609" s="4">
        <v>8</v>
      </c>
      <c r="H2609" s="115"/>
      <c r="I2609" s="115"/>
      <c r="J2609" s="115"/>
      <c r="K2609" s="115">
        <v>0</v>
      </c>
      <c r="L2609" s="12">
        <f t="shared" si="172"/>
        <v>0</v>
      </c>
      <c r="M2609" s="4">
        <f t="shared" si="173"/>
        <v>0</v>
      </c>
      <c r="N2609" s="4">
        <f t="shared" si="174"/>
        <v>0</v>
      </c>
      <c r="O2609" s="13">
        <f t="shared" si="175"/>
        <v>0</v>
      </c>
    </row>
    <row r="2610" spans="2:15">
      <c r="B2610" s="12">
        <v>22</v>
      </c>
      <c r="C2610" s="4" t="s">
        <v>152</v>
      </c>
      <c r="D2610" s="4" t="s">
        <v>154</v>
      </c>
      <c r="E2610" s="4">
        <v>9</v>
      </c>
      <c r="F2610" s="4">
        <v>9</v>
      </c>
      <c r="G2610" s="4">
        <v>9</v>
      </c>
      <c r="H2610" s="115"/>
      <c r="I2610" s="115"/>
      <c r="J2610" s="115"/>
      <c r="K2610" s="115">
        <v>0</v>
      </c>
      <c r="L2610" s="12">
        <f t="shared" si="172"/>
        <v>0</v>
      </c>
      <c r="M2610" s="4">
        <f t="shared" si="173"/>
        <v>0</v>
      </c>
      <c r="N2610" s="4">
        <f t="shared" si="174"/>
        <v>0</v>
      </c>
      <c r="O2610" s="13">
        <f t="shared" si="175"/>
        <v>0</v>
      </c>
    </row>
    <row r="2611" spans="2:15" ht="13.8" thickBot="1">
      <c r="B2611" s="14">
        <v>22</v>
      </c>
      <c r="C2611" s="15" t="s">
        <v>152</v>
      </c>
      <c r="D2611" s="15" t="s">
        <v>154</v>
      </c>
      <c r="E2611" s="15">
        <v>9</v>
      </c>
      <c r="F2611" s="15">
        <v>9</v>
      </c>
      <c r="G2611" s="15">
        <v>10</v>
      </c>
      <c r="H2611" s="121"/>
      <c r="I2611" s="121"/>
      <c r="J2611" s="121"/>
      <c r="K2611" s="121">
        <v>0</v>
      </c>
      <c r="L2611" s="14">
        <f t="shared" si="172"/>
        <v>0</v>
      </c>
      <c r="M2611" s="15">
        <f t="shared" si="173"/>
        <v>0</v>
      </c>
      <c r="N2611" s="15">
        <f t="shared" si="174"/>
        <v>0</v>
      </c>
      <c r="O2611" s="16">
        <f t="shared" si="175"/>
        <v>0</v>
      </c>
    </row>
    <row r="2612" spans="2:15">
      <c r="B2612" s="9">
        <v>22</v>
      </c>
      <c r="C2612" s="10" t="s">
        <v>152</v>
      </c>
      <c r="D2612" s="10" t="s">
        <v>149</v>
      </c>
      <c r="E2612" s="93">
        <v>10</v>
      </c>
      <c r="F2612" s="93">
        <v>1</v>
      </c>
      <c r="G2612" s="10">
        <v>1</v>
      </c>
      <c r="H2612" s="120">
        <v>2.3999999999999915</v>
      </c>
      <c r="I2612" s="120">
        <v>1.0499999999999829</v>
      </c>
      <c r="J2612" s="120">
        <v>0.98299999999999699</v>
      </c>
      <c r="K2612" s="120">
        <v>4.4329999999999714</v>
      </c>
      <c r="L2612" s="9">
        <f t="shared" si="172"/>
        <v>0.53147891704225403</v>
      </c>
      <c r="M2612" s="10">
        <f t="shared" si="173"/>
        <v>0.3117538610557507</v>
      </c>
      <c r="N2612" s="10">
        <f t="shared" si="174"/>
        <v>0.29732271420530204</v>
      </c>
      <c r="O2612" s="11">
        <f t="shared" si="175"/>
        <v>0.73503970503371852</v>
      </c>
    </row>
    <row r="2613" spans="2:15">
      <c r="B2613" s="12">
        <v>22</v>
      </c>
      <c r="C2613" s="4" t="s">
        <v>152</v>
      </c>
      <c r="D2613" s="4" t="s">
        <v>149</v>
      </c>
      <c r="E2613" s="4">
        <v>10</v>
      </c>
      <c r="F2613" s="4">
        <v>1</v>
      </c>
      <c r="G2613" s="4">
        <v>2</v>
      </c>
      <c r="H2613" s="115"/>
      <c r="I2613" s="115"/>
      <c r="J2613" s="115"/>
      <c r="K2613" s="115">
        <v>0</v>
      </c>
      <c r="L2613" s="12">
        <f t="shared" si="172"/>
        <v>0</v>
      </c>
      <c r="M2613" s="4">
        <f t="shared" si="173"/>
        <v>0</v>
      </c>
      <c r="N2613" s="4">
        <f t="shared" si="174"/>
        <v>0</v>
      </c>
      <c r="O2613" s="13">
        <f t="shared" si="175"/>
        <v>0</v>
      </c>
    </row>
    <row r="2614" spans="2:15">
      <c r="B2614" s="12">
        <v>22</v>
      </c>
      <c r="C2614" s="4" t="s">
        <v>152</v>
      </c>
      <c r="D2614" s="4" t="s">
        <v>149</v>
      </c>
      <c r="E2614" s="4">
        <v>10</v>
      </c>
      <c r="F2614" s="4">
        <v>1</v>
      </c>
      <c r="G2614" s="4">
        <v>3</v>
      </c>
      <c r="H2614" s="115"/>
      <c r="I2614" s="115">
        <v>0.10000000000000142</v>
      </c>
      <c r="J2614" s="115"/>
      <c r="K2614" s="115">
        <v>0.10000000000000142</v>
      </c>
      <c r="L2614" s="12">
        <f t="shared" si="172"/>
        <v>0</v>
      </c>
      <c r="M2614" s="4">
        <f t="shared" si="173"/>
        <v>4.1392685158225605E-2</v>
      </c>
      <c r="N2614" s="4">
        <f t="shared" si="174"/>
        <v>0</v>
      </c>
      <c r="O2614" s="13">
        <f t="shared" si="175"/>
        <v>4.1392685158225605E-2</v>
      </c>
    </row>
    <row r="2615" spans="2:15">
      <c r="B2615" s="12">
        <v>22</v>
      </c>
      <c r="C2615" s="4" t="s">
        <v>152</v>
      </c>
      <c r="D2615" s="4" t="s">
        <v>149</v>
      </c>
      <c r="E2615" s="4">
        <v>10</v>
      </c>
      <c r="F2615" s="4">
        <v>1</v>
      </c>
      <c r="G2615" s="4">
        <v>4</v>
      </c>
      <c r="H2615" s="115"/>
      <c r="I2615" s="115"/>
      <c r="J2615" s="115"/>
      <c r="K2615" s="115">
        <v>0</v>
      </c>
      <c r="L2615" s="12">
        <f t="shared" si="172"/>
        <v>0</v>
      </c>
      <c r="M2615" s="4">
        <f t="shared" si="173"/>
        <v>0</v>
      </c>
      <c r="N2615" s="4">
        <f t="shared" si="174"/>
        <v>0</v>
      </c>
      <c r="O2615" s="13">
        <f t="shared" si="175"/>
        <v>0</v>
      </c>
    </row>
    <row r="2616" spans="2:15">
      <c r="B2616" s="12">
        <v>22</v>
      </c>
      <c r="C2616" s="4" t="s">
        <v>152</v>
      </c>
      <c r="D2616" s="4" t="s">
        <v>149</v>
      </c>
      <c r="E2616" s="4">
        <v>10</v>
      </c>
      <c r="F2616" s="4">
        <v>1</v>
      </c>
      <c r="G2616" s="4">
        <v>5</v>
      </c>
      <c r="H2616" s="115"/>
      <c r="I2616" s="115"/>
      <c r="J2616" s="115"/>
      <c r="K2616" s="115">
        <v>0</v>
      </c>
      <c r="L2616" s="12">
        <f t="shared" si="172"/>
        <v>0</v>
      </c>
      <c r="M2616" s="4">
        <f t="shared" si="173"/>
        <v>0</v>
      </c>
      <c r="N2616" s="4">
        <f t="shared" si="174"/>
        <v>0</v>
      </c>
      <c r="O2616" s="13">
        <f t="shared" si="175"/>
        <v>0</v>
      </c>
    </row>
    <row r="2617" spans="2:15">
      <c r="B2617" s="12">
        <v>22</v>
      </c>
      <c r="C2617" s="4" t="s">
        <v>152</v>
      </c>
      <c r="D2617" s="4" t="s">
        <v>149</v>
      </c>
      <c r="E2617" s="4">
        <v>10</v>
      </c>
      <c r="F2617" s="4">
        <v>1</v>
      </c>
      <c r="G2617" s="4">
        <v>6</v>
      </c>
      <c r="H2617" s="115"/>
      <c r="I2617" s="115"/>
      <c r="J2617" s="115"/>
      <c r="K2617" s="115">
        <v>0</v>
      </c>
      <c r="L2617" s="12">
        <f t="shared" si="172"/>
        <v>0</v>
      </c>
      <c r="M2617" s="4">
        <f t="shared" si="173"/>
        <v>0</v>
      </c>
      <c r="N2617" s="4">
        <f t="shared" si="174"/>
        <v>0</v>
      </c>
      <c r="O2617" s="13">
        <f t="shared" si="175"/>
        <v>0</v>
      </c>
    </row>
    <row r="2618" spans="2:15">
      <c r="B2618" s="12">
        <v>22</v>
      </c>
      <c r="C2618" s="4" t="s">
        <v>152</v>
      </c>
      <c r="D2618" s="4" t="s">
        <v>149</v>
      </c>
      <c r="E2618" s="4">
        <v>10</v>
      </c>
      <c r="F2618" s="4">
        <v>1</v>
      </c>
      <c r="G2618" s="4">
        <v>7</v>
      </c>
      <c r="H2618" s="115"/>
      <c r="I2618" s="115"/>
      <c r="J2618" s="115"/>
      <c r="K2618" s="115">
        <v>0</v>
      </c>
      <c r="L2618" s="12">
        <f t="shared" si="172"/>
        <v>0</v>
      </c>
      <c r="M2618" s="4">
        <f t="shared" si="173"/>
        <v>0</v>
      </c>
      <c r="N2618" s="4">
        <f t="shared" si="174"/>
        <v>0</v>
      </c>
      <c r="O2618" s="13">
        <f t="shared" si="175"/>
        <v>0</v>
      </c>
    </row>
    <row r="2619" spans="2:15">
      <c r="B2619" s="12">
        <v>22</v>
      </c>
      <c r="C2619" s="4" t="s">
        <v>152</v>
      </c>
      <c r="D2619" s="4" t="s">
        <v>149</v>
      </c>
      <c r="E2619" s="4">
        <v>10</v>
      </c>
      <c r="F2619" s="4">
        <v>1</v>
      </c>
      <c r="G2619" s="4">
        <v>8</v>
      </c>
      <c r="H2619" s="115"/>
      <c r="I2619" s="115"/>
      <c r="J2619" s="115"/>
      <c r="K2619" s="115">
        <v>0</v>
      </c>
      <c r="L2619" s="12">
        <f t="shared" si="172"/>
        <v>0</v>
      </c>
      <c r="M2619" s="4">
        <f t="shared" si="173"/>
        <v>0</v>
      </c>
      <c r="N2619" s="4">
        <f t="shared" si="174"/>
        <v>0</v>
      </c>
      <c r="O2619" s="13">
        <f t="shared" si="175"/>
        <v>0</v>
      </c>
    </row>
    <row r="2620" spans="2:15">
      <c r="B2620" s="12">
        <v>22</v>
      </c>
      <c r="C2620" s="4" t="s">
        <v>152</v>
      </c>
      <c r="D2620" s="4" t="s">
        <v>149</v>
      </c>
      <c r="E2620" s="4">
        <v>10</v>
      </c>
      <c r="F2620" s="4">
        <v>1</v>
      </c>
      <c r="G2620" s="4">
        <v>9</v>
      </c>
      <c r="H2620" s="115"/>
      <c r="I2620" s="115"/>
      <c r="J2620" s="115"/>
      <c r="K2620" s="115">
        <v>0</v>
      </c>
      <c r="L2620" s="12">
        <f t="shared" si="172"/>
        <v>0</v>
      </c>
      <c r="M2620" s="4">
        <f t="shared" si="173"/>
        <v>0</v>
      </c>
      <c r="N2620" s="4">
        <f t="shared" si="174"/>
        <v>0</v>
      </c>
      <c r="O2620" s="13">
        <f t="shared" si="175"/>
        <v>0</v>
      </c>
    </row>
    <row r="2621" spans="2:15" ht="13.8" thickBot="1">
      <c r="B2621" s="14">
        <v>22</v>
      </c>
      <c r="C2621" s="15" t="s">
        <v>152</v>
      </c>
      <c r="D2621" s="15" t="s">
        <v>149</v>
      </c>
      <c r="E2621" s="15">
        <v>10</v>
      </c>
      <c r="F2621" s="15">
        <v>1</v>
      </c>
      <c r="G2621" s="15">
        <v>10</v>
      </c>
      <c r="H2621" s="121"/>
      <c r="I2621" s="121"/>
      <c r="J2621" s="121"/>
      <c r="K2621" s="121">
        <v>0</v>
      </c>
      <c r="L2621" s="14">
        <f t="shared" si="172"/>
        <v>0</v>
      </c>
      <c r="M2621" s="15">
        <f t="shared" si="173"/>
        <v>0</v>
      </c>
      <c r="N2621" s="15">
        <f t="shared" si="174"/>
        <v>0</v>
      </c>
      <c r="O2621" s="16">
        <f t="shared" si="175"/>
        <v>0</v>
      </c>
    </row>
    <row r="2622" spans="2:15">
      <c r="B2622" s="9">
        <v>22</v>
      </c>
      <c r="C2622" s="10" t="s">
        <v>152</v>
      </c>
      <c r="D2622" s="10" t="s">
        <v>150</v>
      </c>
      <c r="E2622" s="93">
        <v>11</v>
      </c>
      <c r="F2622" s="93">
        <v>5</v>
      </c>
      <c r="G2622" s="10">
        <v>1</v>
      </c>
      <c r="H2622" s="120">
        <v>0.76700000000005275</v>
      </c>
      <c r="I2622" s="120"/>
      <c r="J2622" s="120">
        <v>0.56599999999997408</v>
      </c>
      <c r="K2622" s="120">
        <v>1.3330000000000268</v>
      </c>
      <c r="L2622" s="9">
        <f t="shared" si="172"/>
        <v>0.24723654950677704</v>
      </c>
      <c r="M2622" s="10">
        <f t="shared" si="173"/>
        <v>0</v>
      </c>
      <c r="N2622" s="10">
        <f t="shared" si="174"/>
        <v>0.1947917577219174</v>
      </c>
      <c r="O2622" s="11">
        <f t="shared" si="175"/>
        <v>0.36791473879375763</v>
      </c>
    </row>
    <row r="2623" spans="2:15">
      <c r="B2623" s="12">
        <v>22</v>
      </c>
      <c r="C2623" s="4" t="s">
        <v>152</v>
      </c>
      <c r="D2623" s="4" t="s">
        <v>150</v>
      </c>
      <c r="E2623" s="4">
        <v>11</v>
      </c>
      <c r="F2623" s="4">
        <v>5</v>
      </c>
      <c r="G2623" s="4">
        <v>2</v>
      </c>
      <c r="H2623" s="115"/>
      <c r="I2623" s="115">
        <v>0.21699999999998454</v>
      </c>
      <c r="J2623" s="115">
        <v>2.7819999999999823</v>
      </c>
      <c r="K2623" s="115">
        <v>2.9989999999999668</v>
      </c>
      <c r="L2623" s="12">
        <f t="shared" si="172"/>
        <v>0</v>
      </c>
      <c r="M2623" s="4">
        <f t="shared" si="173"/>
        <v>8.5290578230059477E-2</v>
      </c>
      <c r="N2623" s="4">
        <f t="shared" si="174"/>
        <v>0.57772152450901892</v>
      </c>
      <c r="O2623" s="13">
        <f t="shared" si="175"/>
        <v>0.601951404133518</v>
      </c>
    </row>
    <row r="2624" spans="2:15">
      <c r="B2624" s="12">
        <v>22</v>
      </c>
      <c r="C2624" s="4" t="s">
        <v>152</v>
      </c>
      <c r="D2624" s="4" t="s">
        <v>150</v>
      </c>
      <c r="E2624" s="4">
        <v>11</v>
      </c>
      <c r="F2624" s="4">
        <v>5</v>
      </c>
      <c r="G2624" s="4">
        <v>3</v>
      </c>
      <c r="H2624" s="115"/>
      <c r="I2624" s="115"/>
      <c r="J2624" s="115"/>
      <c r="K2624" s="115">
        <v>0</v>
      </c>
      <c r="L2624" s="12">
        <f t="shared" si="172"/>
        <v>0</v>
      </c>
      <c r="M2624" s="4">
        <f t="shared" si="173"/>
        <v>0</v>
      </c>
      <c r="N2624" s="4">
        <f t="shared" si="174"/>
        <v>0</v>
      </c>
      <c r="O2624" s="13">
        <f t="shared" si="175"/>
        <v>0</v>
      </c>
    </row>
    <row r="2625" spans="2:15">
      <c r="B2625" s="12">
        <v>22</v>
      </c>
      <c r="C2625" s="4" t="s">
        <v>152</v>
      </c>
      <c r="D2625" s="4" t="s">
        <v>150</v>
      </c>
      <c r="E2625" s="4">
        <v>11</v>
      </c>
      <c r="F2625" s="4">
        <v>5</v>
      </c>
      <c r="G2625" s="4">
        <v>4</v>
      </c>
      <c r="H2625" s="115"/>
      <c r="I2625" s="115"/>
      <c r="J2625" s="115"/>
      <c r="K2625" s="115">
        <v>0</v>
      </c>
      <c r="L2625" s="12">
        <f t="shared" si="172"/>
        <v>0</v>
      </c>
      <c r="M2625" s="4">
        <f t="shared" si="173"/>
        <v>0</v>
      </c>
      <c r="N2625" s="4">
        <f t="shared" si="174"/>
        <v>0</v>
      </c>
      <c r="O2625" s="13">
        <f t="shared" si="175"/>
        <v>0</v>
      </c>
    </row>
    <row r="2626" spans="2:15">
      <c r="B2626" s="12">
        <v>22</v>
      </c>
      <c r="C2626" s="4" t="s">
        <v>152</v>
      </c>
      <c r="D2626" s="4" t="s">
        <v>150</v>
      </c>
      <c r="E2626" s="4">
        <v>11</v>
      </c>
      <c r="F2626" s="4">
        <v>5</v>
      </c>
      <c r="G2626" s="4">
        <v>5</v>
      </c>
      <c r="H2626" s="115"/>
      <c r="I2626" s="115"/>
      <c r="J2626" s="115"/>
      <c r="K2626" s="115">
        <v>0</v>
      </c>
      <c r="L2626" s="12">
        <f t="shared" si="172"/>
        <v>0</v>
      </c>
      <c r="M2626" s="4">
        <f t="shared" si="173"/>
        <v>0</v>
      </c>
      <c r="N2626" s="4">
        <f t="shared" si="174"/>
        <v>0</v>
      </c>
      <c r="O2626" s="13">
        <f t="shared" si="175"/>
        <v>0</v>
      </c>
    </row>
    <row r="2627" spans="2:15">
      <c r="B2627" s="12">
        <v>22</v>
      </c>
      <c r="C2627" s="4" t="s">
        <v>152</v>
      </c>
      <c r="D2627" s="4" t="s">
        <v>150</v>
      </c>
      <c r="E2627" s="4">
        <v>11</v>
      </c>
      <c r="F2627" s="4">
        <v>5</v>
      </c>
      <c r="G2627" s="4">
        <v>6</v>
      </c>
      <c r="H2627" s="115"/>
      <c r="I2627" s="115"/>
      <c r="J2627" s="115"/>
      <c r="K2627" s="115">
        <v>0</v>
      </c>
      <c r="L2627" s="12">
        <f t="shared" si="172"/>
        <v>0</v>
      </c>
      <c r="M2627" s="4">
        <f t="shared" si="173"/>
        <v>0</v>
      </c>
      <c r="N2627" s="4">
        <f t="shared" si="174"/>
        <v>0</v>
      </c>
      <c r="O2627" s="13">
        <f t="shared" si="175"/>
        <v>0</v>
      </c>
    </row>
    <row r="2628" spans="2:15">
      <c r="B2628" s="12">
        <v>22</v>
      </c>
      <c r="C2628" s="4" t="s">
        <v>152</v>
      </c>
      <c r="D2628" s="4" t="s">
        <v>150</v>
      </c>
      <c r="E2628" s="4">
        <v>11</v>
      </c>
      <c r="F2628" s="4">
        <v>5</v>
      </c>
      <c r="G2628" s="4">
        <v>7</v>
      </c>
      <c r="H2628" s="115"/>
      <c r="I2628" s="115"/>
      <c r="J2628" s="115"/>
      <c r="K2628" s="115">
        <v>0</v>
      </c>
      <c r="L2628" s="12">
        <f t="shared" si="172"/>
        <v>0</v>
      </c>
      <c r="M2628" s="4">
        <f t="shared" si="173"/>
        <v>0</v>
      </c>
      <c r="N2628" s="4">
        <f t="shared" si="174"/>
        <v>0</v>
      </c>
      <c r="O2628" s="13">
        <f t="shared" si="175"/>
        <v>0</v>
      </c>
    </row>
    <row r="2629" spans="2:15">
      <c r="B2629" s="12">
        <v>22</v>
      </c>
      <c r="C2629" s="4" t="s">
        <v>152</v>
      </c>
      <c r="D2629" s="4" t="s">
        <v>150</v>
      </c>
      <c r="E2629" s="4">
        <v>11</v>
      </c>
      <c r="F2629" s="4">
        <v>5</v>
      </c>
      <c r="G2629" s="4">
        <v>8</v>
      </c>
      <c r="H2629" s="115"/>
      <c r="I2629" s="115"/>
      <c r="J2629" s="115"/>
      <c r="K2629" s="115">
        <v>0</v>
      </c>
      <c r="L2629" s="12">
        <f t="shared" si="172"/>
        <v>0</v>
      </c>
      <c r="M2629" s="4">
        <f t="shared" si="173"/>
        <v>0</v>
      </c>
      <c r="N2629" s="4">
        <f t="shared" si="174"/>
        <v>0</v>
      </c>
      <c r="O2629" s="13">
        <f t="shared" si="175"/>
        <v>0</v>
      </c>
    </row>
    <row r="2630" spans="2:15">
      <c r="B2630" s="12">
        <v>22</v>
      </c>
      <c r="C2630" s="4" t="s">
        <v>152</v>
      </c>
      <c r="D2630" s="4" t="s">
        <v>150</v>
      </c>
      <c r="E2630" s="4">
        <v>11</v>
      </c>
      <c r="F2630" s="4">
        <v>5</v>
      </c>
      <c r="G2630" s="4">
        <v>9</v>
      </c>
      <c r="H2630" s="115"/>
      <c r="I2630" s="115"/>
      <c r="J2630" s="115"/>
      <c r="K2630" s="115">
        <v>0</v>
      </c>
      <c r="L2630" s="12">
        <f t="shared" si="172"/>
        <v>0</v>
      </c>
      <c r="M2630" s="4">
        <f t="shared" si="173"/>
        <v>0</v>
      </c>
      <c r="N2630" s="4">
        <f t="shared" si="174"/>
        <v>0</v>
      </c>
      <c r="O2630" s="13">
        <f t="shared" si="175"/>
        <v>0</v>
      </c>
    </row>
    <row r="2631" spans="2:15" ht="13.8" thickBot="1">
      <c r="B2631" s="14">
        <v>22</v>
      </c>
      <c r="C2631" s="15" t="s">
        <v>152</v>
      </c>
      <c r="D2631" s="15" t="s">
        <v>150</v>
      </c>
      <c r="E2631" s="15">
        <v>11</v>
      </c>
      <c r="F2631" s="15">
        <v>5</v>
      </c>
      <c r="G2631" s="15">
        <v>10</v>
      </c>
      <c r="H2631" s="121"/>
      <c r="I2631" s="121"/>
      <c r="J2631" s="121"/>
      <c r="K2631" s="121">
        <v>0</v>
      </c>
      <c r="L2631" s="14">
        <f t="shared" si="172"/>
        <v>0</v>
      </c>
      <c r="M2631" s="15">
        <f t="shared" si="173"/>
        <v>0</v>
      </c>
      <c r="N2631" s="15">
        <f t="shared" si="174"/>
        <v>0</v>
      </c>
      <c r="O2631" s="16">
        <f t="shared" si="175"/>
        <v>0</v>
      </c>
    </row>
    <row r="2632" spans="2:15">
      <c r="B2632" s="9">
        <v>22</v>
      </c>
      <c r="C2632" s="10" t="s">
        <v>152</v>
      </c>
      <c r="D2632" s="10" t="s">
        <v>154</v>
      </c>
      <c r="E2632" s="93">
        <v>12</v>
      </c>
      <c r="F2632" s="93">
        <v>11</v>
      </c>
      <c r="G2632" s="10">
        <v>1</v>
      </c>
      <c r="H2632" s="120">
        <v>1.7169999999998709</v>
      </c>
      <c r="I2632" s="120">
        <v>0.19999999999993179</v>
      </c>
      <c r="J2632" s="120">
        <v>0.61599999999998545</v>
      </c>
      <c r="K2632" s="120">
        <v>2.5329999999997881</v>
      </c>
      <c r="L2632" s="9">
        <f t="shared" si="172"/>
        <v>0.43408963841787013</v>
      </c>
      <c r="M2632" s="10">
        <f t="shared" si="173"/>
        <v>7.9181246047600143E-2</v>
      </c>
      <c r="N2632" s="10">
        <f t="shared" si="174"/>
        <v>0.20844135643856346</v>
      </c>
      <c r="O2632" s="11">
        <f t="shared" si="175"/>
        <v>0.54814363743481942</v>
      </c>
    </row>
    <row r="2633" spans="2:15">
      <c r="B2633" s="12">
        <v>22</v>
      </c>
      <c r="C2633" s="4" t="s">
        <v>152</v>
      </c>
      <c r="D2633" s="4" t="s">
        <v>154</v>
      </c>
      <c r="E2633" s="4">
        <v>12</v>
      </c>
      <c r="F2633" s="4">
        <v>11</v>
      </c>
      <c r="G2633" s="4">
        <v>2</v>
      </c>
      <c r="H2633" s="115">
        <v>0.38400000000001455</v>
      </c>
      <c r="I2633" s="115">
        <v>0.64900000000000091</v>
      </c>
      <c r="J2633" s="115"/>
      <c r="K2633" s="115">
        <v>1.0330000000000155</v>
      </c>
      <c r="L2633" s="12">
        <f t="shared" si="172"/>
        <v>0.14113609012074357</v>
      </c>
      <c r="M2633" s="4">
        <f t="shared" si="173"/>
        <v>0.21722065564451901</v>
      </c>
      <c r="N2633" s="4">
        <f t="shared" si="174"/>
        <v>0</v>
      </c>
      <c r="O2633" s="13">
        <f t="shared" si="175"/>
        <v>0.30813737863804191</v>
      </c>
    </row>
    <row r="2634" spans="2:15">
      <c r="B2634" s="12">
        <v>22</v>
      </c>
      <c r="C2634" s="4" t="s">
        <v>152</v>
      </c>
      <c r="D2634" s="4" t="s">
        <v>154</v>
      </c>
      <c r="E2634" s="4">
        <v>12</v>
      </c>
      <c r="F2634" s="4">
        <v>11</v>
      </c>
      <c r="G2634" s="4">
        <v>3</v>
      </c>
      <c r="H2634" s="115">
        <v>0.10000000000002274</v>
      </c>
      <c r="I2634" s="115"/>
      <c r="J2634" s="115"/>
      <c r="K2634" s="115">
        <v>0.10000000000002274</v>
      </c>
      <c r="L2634" s="12">
        <f t="shared" si="172"/>
        <v>4.1392685158234015E-2</v>
      </c>
      <c r="M2634" s="4">
        <f t="shared" si="173"/>
        <v>0</v>
      </c>
      <c r="N2634" s="4">
        <f t="shared" si="174"/>
        <v>0</v>
      </c>
      <c r="O2634" s="13">
        <f t="shared" si="175"/>
        <v>4.1392685158234015E-2</v>
      </c>
    </row>
    <row r="2635" spans="2:15">
      <c r="B2635" s="12">
        <v>22</v>
      </c>
      <c r="C2635" s="4" t="s">
        <v>152</v>
      </c>
      <c r="D2635" s="4" t="s">
        <v>154</v>
      </c>
      <c r="E2635" s="4">
        <v>12</v>
      </c>
      <c r="F2635" s="4">
        <v>11</v>
      </c>
      <c r="G2635" s="4">
        <v>4</v>
      </c>
      <c r="H2635" s="115"/>
      <c r="I2635" s="115"/>
      <c r="J2635" s="115"/>
      <c r="K2635" s="115">
        <v>0</v>
      </c>
      <c r="L2635" s="12">
        <f t="shared" si="172"/>
        <v>0</v>
      </c>
      <c r="M2635" s="4">
        <f t="shared" si="173"/>
        <v>0</v>
      </c>
      <c r="N2635" s="4">
        <f t="shared" si="174"/>
        <v>0</v>
      </c>
      <c r="O2635" s="13">
        <f t="shared" si="175"/>
        <v>0</v>
      </c>
    </row>
    <row r="2636" spans="2:15">
      <c r="B2636" s="12">
        <v>22</v>
      </c>
      <c r="C2636" s="4" t="s">
        <v>152</v>
      </c>
      <c r="D2636" s="4" t="s">
        <v>154</v>
      </c>
      <c r="E2636" s="4">
        <v>12</v>
      </c>
      <c r="F2636" s="4">
        <v>11</v>
      </c>
      <c r="G2636" s="4">
        <v>5</v>
      </c>
      <c r="H2636" s="115"/>
      <c r="I2636" s="115"/>
      <c r="J2636" s="115"/>
      <c r="K2636" s="115">
        <v>0</v>
      </c>
      <c r="L2636" s="12">
        <f t="shared" si="172"/>
        <v>0</v>
      </c>
      <c r="M2636" s="4">
        <f t="shared" si="173"/>
        <v>0</v>
      </c>
      <c r="N2636" s="4">
        <f t="shared" si="174"/>
        <v>0</v>
      </c>
      <c r="O2636" s="13">
        <f t="shared" si="175"/>
        <v>0</v>
      </c>
    </row>
    <row r="2637" spans="2:15">
      <c r="B2637" s="12">
        <v>22</v>
      </c>
      <c r="C2637" s="4" t="s">
        <v>152</v>
      </c>
      <c r="D2637" s="4" t="s">
        <v>154</v>
      </c>
      <c r="E2637" s="4">
        <v>12</v>
      </c>
      <c r="F2637" s="4">
        <v>11</v>
      </c>
      <c r="G2637" s="4">
        <v>6</v>
      </c>
      <c r="H2637" s="115"/>
      <c r="I2637" s="115"/>
      <c r="J2637" s="115"/>
      <c r="K2637" s="115">
        <v>0</v>
      </c>
      <c r="L2637" s="12">
        <f t="shared" si="172"/>
        <v>0</v>
      </c>
      <c r="M2637" s="4">
        <f t="shared" si="173"/>
        <v>0</v>
      </c>
      <c r="N2637" s="4">
        <f t="shared" si="174"/>
        <v>0</v>
      </c>
      <c r="O2637" s="13">
        <f t="shared" si="175"/>
        <v>0</v>
      </c>
    </row>
    <row r="2638" spans="2:15">
      <c r="B2638" s="12">
        <v>22</v>
      </c>
      <c r="C2638" s="4" t="s">
        <v>152</v>
      </c>
      <c r="D2638" s="4" t="s">
        <v>154</v>
      </c>
      <c r="E2638" s="4">
        <v>12</v>
      </c>
      <c r="F2638" s="4">
        <v>11</v>
      </c>
      <c r="G2638" s="4">
        <v>7</v>
      </c>
      <c r="H2638" s="115"/>
      <c r="I2638" s="115"/>
      <c r="J2638" s="115"/>
      <c r="K2638" s="115">
        <v>0</v>
      </c>
      <c r="L2638" s="12">
        <f t="shared" si="172"/>
        <v>0</v>
      </c>
      <c r="M2638" s="4">
        <f t="shared" si="173"/>
        <v>0</v>
      </c>
      <c r="N2638" s="4">
        <f t="shared" si="174"/>
        <v>0</v>
      </c>
      <c r="O2638" s="13">
        <f t="shared" si="175"/>
        <v>0</v>
      </c>
    </row>
    <row r="2639" spans="2:15">
      <c r="B2639" s="12">
        <v>22</v>
      </c>
      <c r="C2639" s="4" t="s">
        <v>152</v>
      </c>
      <c r="D2639" s="4" t="s">
        <v>154</v>
      </c>
      <c r="E2639" s="4">
        <v>12</v>
      </c>
      <c r="F2639" s="4">
        <v>11</v>
      </c>
      <c r="G2639" s="4">
        <v>8</v>
      </c>
      <c r="H2639" s="115"/>
      <c r="I2639" s="115"/>
      <c r="J2639" s="115"/>
      <c r="K2639" s="115">
        <v>0</v>
      </c>
      <c r="L2639" s="12">
        <f t="shared" si="172"/>
        <v>0</v>
      </c>
      <c r="M2639" s="4">
        <f t="shared" si="173"/>
        <v>0</v>
      </c>
      <c r="N2639" s="4">
        <f t="shared" si="174"/>
        <v>0</v>
      </c>
      <c r="O2639" s="13">
        <f t="shared" si="175"/>
        <v>0</v>
      </c>
    </row>
    <row r="2640" spans="2:15">
      <c r="B2640" s="12">
        <v>22</v>
      </c>
      <c r="C2640" s="4" t="s">
        <v>152</v>
      </c>
      <c r="D2640" s="4" t="s">
        <v>154</v>
      </c>
      <c r="E2640" s="4">
        <v>12</v>
      </c>
      <c r="F2640" s="4">
        <v>11</v>
      </c>
      <c r="G2640" s="4">
        <v>9</v>
      </c>
      <c r="H2640" s="115"/>
      <c r="I2640" s="115"/>
      <c r="J2640" s="115"/>
      <c r="K2640" s="115">
        <v>0</v>
      </c>
      <c r="L2640" s="12">
        <f t="shared" si="172"/>
        <v>0</v>
      </c>
      <c r="M2640" s="4">
        <f t="shared" si="173"/>
        <v>0</v>
      </c>
      <c r="N2640" s="4">
        <f t="shared" si="174"/>
        <v>0</v>
      </c>
      <c r="O2640" s="13">
        <f t="shared" si="175"/>
        <v>0</v>
      </c>
    </row>
    <row r="2641" spans="2:15" ht="13.8" thickBot="1">
      <c r="B2641" s="14">
        <v>22</v>
      </c>
      <c r="C2641" s="15" t="s">
        <v>152</v>
      </c>
      <c r="D2641" s="15" t="s">
        <v>154</v>
      </c>
      <c r="E2641" s="15">
        <v>12</v>
      </c>
      <c r="F2641" s="15">
        <v>11</v>
      </c>
      <c r="G2641" s="15">
        <v>10</v>
      </c>
      <c r="H2641" s="121"/>
      <c r="I2641" s="121"/>
      <c r="J2641" s="121"/>
      <c r="K2641" s="121">
        <v>0</v>
      </c>
      <c r="L2641" s="14">
        <f t="shared" si="172"/>
        <v>0</v>
      </c>
      <c r="M2641" s="15">
        <f t="shared" si="173"/>
        <v>0</v>
      </c>
      <c r="N2641" s="15">
        <f t="shared" si="174"/>
        <v>0</v>
      </c>
      <c r="O2641" s="16">
        <f t="shared" si="175"/>
        <v>0</v>
      </c>
    </row>
    <row r="2642" spans="2:15">
      <c r="B2642" s="9">
        <v>23</v>
      </c>
      <c r="C2642" s="10" t="s">
        <v>151</v>
      </c>
      <c r="D2642" s="10" t="s">
        <v>149</v>
      </c>
      <c r="E2642" s="93">
        <v>1</v>
      </c>
      <c r="F2642" s="93">
        <v>10</v>
      </c>
      <c r="G2642" s="10">
        <v>1</v>
      </c>
      <c r="H2642" s="120">
        <v>5.6849999999998317</v>
      </c>
      <c r="I2642" s="120">
        <v>1.7859999999998308</v>
      </c>
      <c r="J2642" s="120">
        <v>0.60000000000002274</v>
      </c>
      <c r="K2642" s="120">
        <v>8.0709999999996853</v>
      </c>
      <c r="L2642" s="9">
        <f t="shared" si="172"/>
        <v>0.82510141159799222</v>
      </c>
      <c r="M2642" s="10">
        <f t="shared" si="173"/>
        <v>0.4449811120879183</v>
      </c>
      <c r="N2642" s="10">
        <f t="shared" si="174"/>
        <v>0.20411998265593095</v>
      </c>
      <c r="O2642" s="11">
        <f t="shared" si="175"/>
        <v>0.95765516694347619</v>
      </c>
    </row>
    <row r="2643" spans="2:15">
      <c r="B2643" s="12">
        <v>23</v>
      </c>
      <c r="C2643" s="4" t="s">
        <v>151</v>
      </c>
      <c r="D2643" s="4" t="s">
        <v>149</v>
      </c>
      <c r="E2643" s="4">
        <v>1</v>
      </c>
      <c r="F2643" s="4">
        <v>10</v>
      </c>
      <c r="G2643" s="4">
        <v>2</v>
      </c>
      <c r="H2643" s="115">
        <v>1.8979999999999109</v>
      </c>
      <c r="I2643" s="115"/>
      <c r="J2643" s="115">
        <v>0.69900000000006912</v>
      </c>
      <c r="K2643" s="115">
        <v>2.59699999999998</v>
      </c>
      <c r="L2643" s="12">
        <f t="shared" si="172"/>
        <v>0.4620983811351424</v>
      </c>
      <c r="M2643" s="4">
        <f t="shared" si="173"/>
        <v>0</v>
      </c>
      <c r="N2643" s="4">
        <f t="shared" si="174"/>
        <v>0.23019337886906327</v>
      </c>
      <c r="O2643" s="13">
        <f t="shared" si="175"/>
        <v>0.55594043781850866</v>
      </c>
    </row>
    <row r="2644" spans="2:15">
      <c r="B2644" s="12">
        <v>23</v>
      </c>
      <c r="C2644" s="4" t="s">
        <v>151</v>
      </c>
      <c r="D2644" s="4" t="s">
        <v>149</v>
      </c>
      <c r="E2644" s="4">
        <v>1</v>
      </c>
      <c r="F2644" s="4">
        <v>10</v>
      </c>
      <c r="G2644" s="4">
        <v>3</v>
      </c>
      <c r="H2644" s="115">
        <v>0.38299999999992451</v>
      </c>
      <c r="I2644" s="115"/>
      <c r="J2644" s="115">
        <v>0.14999999999997726</v>
      </c>
      <c r="K2644" s="115">
        <v>0.53299999999990177</v>
      </c>
      <c r="L2644" s="12">
        <f t="shared" si="172"/>
        <v>0.14082218010928688</v>
      </c>
      <c r="M2644" s="4">
        <f t="shared" si="173"/>
        <v>0</v>
      </c>
      <c r="N2644" s="4">
        <f t="shared" si="174"/>
        <v>6.0697840353603094E-2</v>
      </c>
      <c r="O2644" s="13">
        <f t="shared" si="175"/>
        <v>0.18554215485434733</v>
      </c>
    </row>
    <row r="2645" spans="2:15">
      <c r="B2645" s="12">
        <v>23</v>
      </c>
      <c r="C2645" s="4" t="s">
        <v>151</v>
      </c>
      <c r="D2645" s="4" t="s">
        <v>149</v>
      </c>
      <c r="E2645" s="4">
        <v>1</v>
      </c>
      <c r="F2645" s="4">
        <v>10</v>
      </c>
      <c r="G2645" s="4">
        <v>4</v>
      </c>
      <c r="H2645" s="115">
        <v>2.415000000000191</v>
      </c>
      <c r="I2645" s="115">
        <v>0.20000000000004547</v>
      </c>
      <c r="J2645" s="115"/>
      <c r="K2645" s="115">
        <v>2.6150000000002365</v>
      </c>
      <c r="L2645" s="12">
        <f t="shared" si="172"/>
        <v>0.53339070801757571</v>
      </c>
      <c r="M2645" s="4">
        <f t="shared" si="173"/>
        <v>7.918124604764129E-2</v>
      </c>
      <c r="N2645" s="4">
        <f t="shared" si="174"/>
        <v>0</v>
      </c>
      <c r="O2645" s="13">
        <f t="shared" si="175"/>
        <v>0.55810830163057801</v>
      </c>
    </row>
    <row r="2646" spans="2:15">
      <c r="B2646" s="12">
        <v>23</v>
      </c>
      <c r="C2646" s="4" t="s">
        <v>151</v>
      </c>
      <c r="D2646" s="4" t="s">
        <v>149</v>
      </c>
      <c r="E2646" s="4">
        <v>1</v>
      </c>
      <c r="F2646" s="4">
        <v>10</v>
      </c>
      <c r="G2646" s="4">
        <v>5</v>
      </c>
      <c r="H2646" s="115"/>
      <c r="I2646" s="115"/>
      <c r="J2646" s="115"/>
      <c r="K2646" s="115">
        <v>0</v>
      </c>
      <c r="L2646" s="12">
        <f t="shared" si="172"/>
        <v>0</v>
      </c>
      <c r="M2646" s="4">
        <f t="shared" si="173"/>
        <v>0</v>
      </c>
      <c r="N2646" s="4">
        <f t="shared" si="174"/>
        <v>0</v>
      </c>
      <c r="O2646" s="13">
        <f t="shared" si="175"/>
        <v>0</v>
      </c>
    </row>
    <row r="2647" spans="2:15">
      <c r="B2647" s="12">
        <v>23</v>
      </c>
      <c r="C2647" s="4" t="s">
        <v>151</v>
      </c>
      <c r="D2647" s="4" t="s">
        <v>149</v>
      </c>
      <c r="E2647" s="4">
        <v>1</v>
      </c>
      <c r="F2647" s="4">
        <v>10</v>
      </c>
      <c r="G2647" s="4">
        <v>6</v>
      </c>
      <c r="H2647" s="115"/>
      <c r="I2647" s="115"/>
      <c r="J2647" s="115"/>
      <c r="K2647" s="115">
        <v>0</v>
      </c>
      <c r="L2647" s="12">
        <f t="shared" si="172"/>
        <v>0</v>
      </c>
      <c r="M2647" s="4">
        <f t="shared" si="173"/>
        <v>0</v>
      </c>
      <c r="N2647" s="4">
        <f t="shared" si="174"/>
        <v>0</v>
      </c>
      <c r="O2647" s="13">
        <f t="shared" si="175"/>
        <v>0</v>
      </c>
    </row>
    <row r="2648" spans="2:15">
      <c r="B2648" s="12">
        <v>23</v>
      </c>
      <c r="C2648" s="4" t="s">
        <v>151</v>
      </c>
      <c r="D2648" s="4" t="s">
        <v>149</v>
      </c>
      <c r="E2648" s="4">
        <v>1</v>
      </c>
      <c r="F2648" s="4">
        <v>10</v>
      </c>
      <c r="G2648" s="4">
        <v>7</v>
      </c>
      <c r="H2648" s="115"/>
      <c r="I2648" s="115"/>
      <c r="J2648" s="115"/>
      <c r="K2648" s="115">
        <v>0</v>
      </c>
      <c r="L2648" s="12">
        <f t="shared" si="172"/>
        <v>0</v>
      </c>
      <c r="M2648" s="4">
        <f t="shared" si="173"/>
        <v>0</v>
      </c>
      <c r="N2648" s="4">
        <f t="shared" si="174"/>
        <v>0</v>
      </c>
      <c r="O2648" s="13">
        <f t="shared" si="175"/>
        <v>0</v>
      </c>
    </row>
    <row r="2649" spans="2:15">
      <c r="B2649" s="12">
        <v>23</v>
      </c>
      <c r="C2649" s="4" t="s">
        <v>151</v>
      </c>
      <c r="D2649" s="4" t="s">
        <v>149</v>
      </c>
      <c r="E2649" s="4">
        <v>1</v>
      </c>
      <c r="F2649" s="4">
        <v>10</v>
      </c>
      <c r="G2649" s="4">
        <v>8</v>
      </c>
      <c r="H2649" s="115"/>
      <c r="I2649" s="115"/>
      <c r="J2649" s="115"/>
      <c r="K2649" s="115">
        <v>0</v>
      </c>
      <c r="L2649" s="12">
        <f t="shared" si="172"/>
        <v>0</v>
      </c>
      <c r="M2649" s="4">
        <f t="shared" si="173"/>
        <v>0</v>
      </c>
      <c r="N2649" s="4">
        <f t="shared" si="174"/>
        <v>0</v>
      </c>
      <c r="O2649" s="13">
        <f t="shared" si="175"/>
        <v>0</v>
      </c>
    </row>
    <row r="2650" spans="2:15">
      <c r="B2650" s="12">
        <v>23</v>
      </c>
      <c r="C2650" s="4" t="s">
        <v>151</v>
      </c>
      <c r="D2650" s="4" t="s">
        <v>149</v>
      </c>
      <c r="E2650" s="4">
        <v>1</v>
      </c>
      <c r="F2650" s="4">
        <v>10</v>
      </c>
      <c r="G2650" s="4">
        <v>9</v>
      </c>
      <c r="H2650" s="115"/>
      <c r="I2650" s="115"/>
      <c r="J2650" s="115"/>
      <c r="K2650" s="115">
        <v>0</v>
      </c>
      <c r="L2650" s="12">
        <f t="shared" si="172"/>
        <v>0</v>
      </c>
      <c r="M2650" s="4">
        <f t="shared" si="173"/>
        <v>0</v>
      </c>
      <c r="N2650" s="4">
        <f t="shared" si="174"/>
        <v>0</v>
      </c>
      <c r="O2650" s="13">
        <f t="shared" si="175"/>
        <v>0</v>
      </c>
    </row>
    <row r="2651" spans="2:15" ht="13.8" thickBot="1">
      <c r="B2651" s="14">
        <v>23</v>
      </c>
      <c r="C2651" s="15" t="s">
        <v>151</v>
      </c>
      <c r="D2651" s="15" t="s">
        <v>149</v>
      </c>
      <c r="E2651" s="15">
        <v>1</v>
      </c>
      <c r="F2651" s="15">
        <v>10</v>
      </c>
      <c r="G2651" s="15">
        <v>10</v>
      </c>
      <c r="H2651" s="121"/>
      <c r="I2651" s="121"/>
      <c r="J2651" s="121"/>
      <c r="K2651" s="121">
        <v>0</v>
      </c>
      <c r="L2651" s="14">
        <f t="shared" si="172"/>
        <v>0</v>
      </c>
      <c r="M2651" s="15">
        <f t="shared" si="173"/>
        <v>0</v>
      </c>
      <c r="N2651" s="15">
        <f t="shared" si="174"/>
        <v>0</v>
      </c>
      <c r="O2651" s="16">
        <f t="shared" si="175"/>
        <v>0</v>
      </c>
    </row>
    <row r="2652" spans="2:15">
      <c r="B2652" s="9">
        <v>23</v>
      </c>
      <c r="C2652" s="10" t="s">
        <v>151</v>
      </c>
      <c r="D2652" s="10" t="s">
        <v>150</v>
      </c>
      <c r="E2652" s="93">
        <v>2</v>
      </c>
      <c r="F2652" s="93">
        <v>2</v>
      </c>
      <c r="G2652" s="10">
        <v>1</v>
      </c>
      <c r="H2652" s="120">
        <v>5.2989999999999213</v>
      </c>
      <c r="I2652" s="120">
        <v>1.4809999999999945</v>
      </c>
      <c r="J2652" s="120">
        <v>3.8950000000000955</v>
      </c>
      <c r="K2652" s="120">
        <v>10.675000000000011</v>
      </c>
      <c r="L2652" s="9">
        <f t="shared" si="172"/>
        <v>0.79927160834986721</v>
      </c>
      <c r="M2652" s="10">
        <f t="shared" si="173"/>
        <v>0.39462676427220816</v>
      </c>
      <c r="N2652" s="10">
        <f t="shared" si="174"/>
        <v>0.68975269613916512</v>
      </c>
      <c r="O2652" s="11">
        <f t="shared" si="175"/>
        <v>1.0672568892381502</v>
      </c>
    </row>
    <row r="2653" spans="2:15">
      <c r="B2653" s="12">
        <v>23</v>
      </c>
      <c r="C2653" s="4" t="s">
        <v>151</v>
      </c>
      <c r="D2653" s="4" t="s">
        <v>150</v>
      </c>
      <c r="E2653" s="4">
        <v>2</v>
      </c>
      <c r="F2653" s="4">
        <v>2</v>
      </c>
      <c r="G2653" s="4">
        <v>2</v>
      </c>
      <c r="H2653" s="115">
        <v>1.867999999999995</v>
      </c>
      <c r="I2653" s="115">
        <v>1.0479999999999734</v>
      </c>
      <c r="J2653" s="115">
        <v>2.58299999999997</v>
      </c>
      <c r="K2653" s="115">
        <v>5.4989999999999384</v>
      </c>
      <c r="L2653" s="12">
        <f t="shared" si="172"/>
        <v>0.45757914699576174</v>
      </c>
      <c r="M2653" s="4">
        <f t="shared" si="173"/>
        <v>0.31132995230378752</v>
      </c>
      <c r="N2653" s="4">
        <f t="shared" si="174"/>
        <v>0.55424680816610694</v>
      </c>
      <c r="O2653" s="13">
        <f t="shared" si="175"/>
        <v>0.81284653696706721</v>
      </c>
    </row>
    <row r="2654" spans="2:15">
      <c r="B2654" s="12">
        <v>23</v>
      </c>
      <c r="C2654" s="4" t="s">
        <v>151</v>
      </c>
      <c r="D2654" s="4" t="s">
        <v>150</v>
      </c>
      <c r="E2654" s="4">
        <v>2</v>
      </c>
      <c r="F2654" s="4">
        <v>2</v>
      </c>
      <c r="G2654" s="4">
        <v>3</v>
      </c>
      <c r="H2654" s="115">
        <v>2.1990000000000123</v>
      </c>
      <c r="I2654" s="115">
        <v>0.4339999999999975</v>
      </c>
      <c r="J2654" s="115">
        <v>0.15000000000000568</v>
      </c>
      <c r="K2654" s="115">
        <v>2.7830000000000155</v>
      </c>
      <c r="L2654" s="12">
        <f t="shared" si="172"/>
        <v>0.50501424008410867</v>
      </c>
      <c r="M2654" s="4">
        <f t="shared" si="173"/>
        <v>0.15654915133178057</v>
      </c>
      <c r="N2654" s="4">
        <f t="shared" si="174"/>
        <v>6.0697840353613829E-2</v>
      </c>
      <c r="O2654" s="13">
        <f t="shared" si="175"/>
        <v>0.57783634129274586</v>
      </c>
    </row>
    <row r="2655" spans="2:15">
      <c r="B2655" s="12">
        <v>23</v>
      </c>
      <c r="C2655" s="4" t="s">
        <v>151</v>
      </c>
      <c r="D2655" s="4" t="s">
        <v>150</v>
      </c>
      <c r="E2655" s="4">
        <v>2</v>
      </c>
      <c r="F2655" s="4">
        <v>2</v>
      </c>
      <c r="G2655" s="4">
        <v>4</v>
      </c>
      <c r="H2655" s="115"/>
      <c r="I2655" s="115"/>
      <c r="J2655" s="115"/>
      <c r="K2655" s="115">
        <v>0</v>
      </c>
      <c r="L2655" s="12">
        <f t="shared" si="172"/>
        <v>0</v>
      </c>
      <c r="M2655" s="4">
        <f t="shared" si="173"/>
        <v>0</v>
      </c>
      <c r="N2655" s="4">
        <f t="shared" si="174"/>
        <v>0</v>
      </c>
      <c r="O2655" s="13">
        <f t="shared" si="175"/>
        <v>0</v>
      </c>
    </row>
    <row r="2656" spans="2:15">
      <c r="B2656" s="12">
        <v>23</v>
      </c>
      <c r="C2656" s="4" t="s">
        <v>151</v>
      </c>
      <c r="D2656" s="4" t="s">
        <v>150</v>
      </c>
      <c r="E2656" s="4">
        <v>2</v>
      </c>
      <c r="F2656" s="4">
        <v>2</v>
      </c>
      <c r="G2656" s="4">
        <v>5</v>
      </c>
      <c r="H2656" s="115"/>
      <c r="I2656" s="115"/>
      <c r="J2656" s="115"/>
      <c r="K2656" s="115">
        <v>0</v>
      </c>
      <c r="L2656" s="12">
        <f t="shared" si="172"/>
        <v>0</v>
      </c>
      <c r="M2656" s="4">
        <f t="shared" si="173"/>
        <v>0</v>
      </c>
      <c r="N2656" s="4">
        <f t="shared" si="174"/>
        <v>0</v>
      </c>
      <c r="O2656" s="13">
        <f t="shared" si="175"/>
        <v>0</v>
      </c>
    </row>
    <row r="2657" spans="2:15">
      <c r="B2657" s="12">
        <v>23</v>
      </c>
      <c r="C2657" s="4" t="s">
        <v>151</v>
      </c>
      <c r="D2657" s="4" t="s">
        <v>150</v>
      </c>
      <c r="E2657" s="4">
        <v>2</v>
      </c>
      <c r="F2657" s="4">
        <v>2</v>
      </c>
      <c r="G2657" s="4">
        <v>6</v>
      </c>
      <c r="H2657" s="115"/>
      <c r="I2657" s="115"/>
      <c r="J2657" s="115"/>
      <c r="K2657" s="115">
        <v>0</v>
      </c>
      <c r="L2657" s="12">
        <f t="shared" si="172"/>
        <v>0</v>
      </c>
      <c r="M2657" s="4">
        <f t="shared" si="173"/>
        <v>0</v>
      </c>
      <c r="N2657" s="4">
        <f t="shared" si="174"/>
        <v>0</v>
      </c>
      <c r="O2657" s="13">
        <f t="shared" si="175"/>
        <v>0</v>
      </c>
    </row>
    <row r="2658" spans="2:15">
      <c r="B2658" s="12">
        <v>23</v>
      </c>
      <c r="C2658" s="4" t="s">
        <v>151</v>
      </c>
      <c r="D2658" s="4" t="s">
        <v>150</v>
      </c>
      <c r="E2658" s="4">
        <v>2</v>
      </c>
      <c r="F2658" s="4">
        <v>2</v>
      </c>
      <c r="G2658" s="4">
        <v>7</v>
      </c>
      <c r="H2658" s="115"/>
      <c r="I2658" s="115"/>
      <c r="J2658" s="115"/>
      <c r="K2658" s="115">
        <v>0</v>
      </c>
      <c r="L2658" s="12">
        <f t="shared" si="172"/>
        <v>0</v>
      </c>
      <c r="M2658" s="4">
        <f t="shared" si="173"/>
        <v>0</v>
      </c>
      <c r="N2658" s="4">
        <f t="shared" si="174"/>
        <v>0</v>
      </c>
      <c r="O2658" s="13">
        <f t="shared" si="175"/>
        <v>0</v>
      </c>
    </row>
    <row r="2659" spans="2:15">
      <c r="B2659" s="12">
        <v>23</v>
      </c>
      <c r="C2659" s="4" t="s">
        <v>151</v>
      </c>
      <c r="D2659" s="4" t="s">
        <v>150</v>
      </c>
      <c r="E2659" s="4">
        <v>2</v>
      </c>
      <c r="F2659" s="4">
        <v>2</v>
      </c>
      <c r="G2659" s="4">
        <v>8</v>
      </c>
      <c r="H2659" s="115"/>
      <c r="I2659" s="115"/>
      <c r="J2659" s="115"/>
      <c r="K2659" s="115">
        <v>0</v>
      </c>
      <c r="L2659" s="12">
        <f t="shared" si="172"/>
        <v>0</v>
      </c>
      <c r="M2659" s="4">
        <f t="shared" si="173"/>
        <v>0</v>
      </c>
      <c r="N2659" s="4">
        <f t="shared" si="174"/>
        <v>0</v>
      </c>
      <c r="O2659" s="13">
        <f t="shared" si="175"/>
        <v>0</v>
      </c>
    </row>
    <row r="2660" spans="2:15">
      <c r="B2660" s="12">
        <v>23</v>
      </c>
      <c r="C2660" s="4" t="s">
        <v>151</v>
      </c>
      <c r="D2660" s="4" t="s">
        <v>150</v>
      </c>
      <c r="E2660" s="4">
        <v>2</v>
      </c>
      <c r="F2660" s="4">
        <v>2</v>
      </c>
      <c r="G2660" s="4">
        <v>9</v>
      </c>
      <c r="H2660" s="115"/>
      <c r="I2660" s="115"/>
      <c r="J2660" s="115"/>
      <c r="K2660" s="115">
        <v>0</v>
      </c>
      <c r="L2660" s="12">
        <f t="shared" si="172"/>
        <v>0</v>
      </c>
      <c r="M2660" s="4">
        <f t="shared" si="173"/>
        <v>0</v>
      </c>
      <c r="N2660" s="4">
        <f t="shared" si="174"/>
        <v>0</v>
      </c>
      <c r="O2660" s="13">
        <f t="shared" si="175"/>
        <v>0</v>
      </c>
    </row>
    <row r="2661" spans="2:15" ht="13.8" thickBot="1">
      <c r="B2661" s="14">
        <v>23</v>
      </c>
      <c r="C2661" s="15" t="s">
        <v>151</v>
      </c>
      <c r="D2661" s="15" t="s">
        <v>150</v>
      </c>
      <c r="E2661" s="15">
        <v>2</v>
      </c>
      <c r="F2661" s="15">
        <v>2</v>
      </c>
      <c r="G2661" s="15">
        <v>10</v>
      </c>
      <c r="H2661" s="121"/>
      <c r="I2661" s="121"/>
      <c r="J2661" s="121"/>
      <c r="K2661" s="121">
        <v>0</v>
      </c>
      <c r="L2661" s="14">
        <f t="shared" si="172"/>
        <v>0</v>
      </c>
      <c r="M2661" s="15">
        <f t="shared" si="173"/>
        <v>0</v>
      </c>
      <c r="N2661" s="15">
        <f t="shared" si="174"/>
        <v>0</v>
      </c>
      <c r="O2661" s="16">
        <f t="shared" si="175"/>
        <v>0</v>
      </c>
    </row>
    <row r="2662" spans="2:15">
      <c r="B2662" s="9">
        <v>23</v>
      </c>
      <c r="C2662" s="10" t="s">
        <v>151</v>
      </c>
      <c r="D2662" s="10" t="s">
        <v>154</v>
      </c>
      <c r="E2662" s="93">
        <v>3</v>
      </c>
      <c r="F2662" s="93">
        <v>8</v>
      </c>
      <c r="G2662" s="10">
        <v>1</v>
      </c>
      <c r="H2662" s="120">
        <v>0.20000000000004547</v>
      </c>
      <c r="I2662" s="120">
        <v>1.3680000000000518</v>
      </c>
      <c r="J2662" s="120">
        <v>0.88400000000012824</v>
      </c>
      <c r="K2662" s="120">
        <v>2.4520000000002256</v>
      </c>
      <c r="L2662" s="9">
        <f t="shared" si="172"/>
        <v>7.918124604764129E-2</v>
      </c>
      <c r="M2662" s="10">
        <f t="shared" si="173"/>
        <v>0.37438169805089166</v>
      </c>
      <c r="N2662" s="10">
        <f t="shared" si="174"/>
        <v>0.2750808984568881</v>
      </c>
      <c r="O2662" s="11">
        <f t="shared" si="175"/>
        <v>0.53807078704320033</v>
      </c>
    </row>
    <row r="2663" spans="2:15">
      <c r="B2663" s="12">
        <v>23</v>
      </c>
      <c r="C2663" s="4" t="s">
        <v>151</v>
      </c>
      <c r="D2663" s="4" t="s">
        <v>154</v>
      </c>
      <c r="E2663" s="4">
        <v>3</v>
      </c>
      <c r="F2663" s="4">
        <v>8</v>
      </c>
      <c r="G2663" s="4">
        <v>2</v>
      </c>
      <c r="H2663" s="115">
        <v>1.2989999999999782</v>
      </c>
      <c r="I2663" s="115">
        <v>0.79900000000009186</v>
      </c>
      <c r="J2663" s="115"/>
      <c r="K2663" s="115">
        <v>2.09800000000007</v>
      </c>
      <c r="L2663" s="12">
        <f t="shared" ref="L2663:L2726" si="176">LOG10(H2663+1)</f>
        <v>0.36153897126927492</v>
      </c>
      <c r="M2663" s="4">
        <f t="shared" ref="M2663:M2726" si="177">LOG10(I2663+1)</f>
        <v>0.25503116334557352</v>
      </c>
      <c r="N2663" s="4">
        <f t="shared" ref="N2663:N2726" si="178">LOG10(J2663+1)</f>
        <v>0</v>
      </c>
      <c r="O2663" s="13">
        <f t="shared" ref="O2663:O2726" si="179">LOG10(K2663+1)</f>
        <v>0.491081413423197</v>
      </c>
    </row>
    <row r="2664" spans="2:15">
      <c r="B2664" s="12">
        <v>23</v>
      </c>
      <c r="C2664" s="4" t="s">
        <v>151</v>
      </c>
      <c r="D2664" s="4" t="s">
        <v>154</v>
      </c>
      <c r="E2664" s="4">
        <v>3</v>
      </c>
      <c r="F2664" s="4">
        <v>8</v>
      </c>
      <c r="G2664" s="4">
        <v>3</v>
      </c>
      <c r="H2664" s="115"/>
      <c r="I2664" s="115"/>
      <c r="J2664" s="115"/>
      <c r="K2664" s="115">
        <v>0</v>
      </c>
      <c r="L2664" s="12">
        <f t="shared" si="176"/>
        <v>0</v>
      </c>
      <c r="M2664" s="4">
        <f t="shared" si="177"/>
        <v>0</v>
      </c>
      <c r="N2664" s="4">
        <f t="shared" si="178"/>
        <v>0</v>
      </c>
      <c r="O2664" s="13">
        <f t="shared" si="179"/>
        <v>0</v>
      </c>
    </row>
    <row r="2665" spans="2:15">
      <c r="B2665" s="12">
        <v>23</v>
      </c>
      <c r="C2665" s="4" t="s">
        <v>151</v>
      </c>
      <c r="D2665" s="4" t="s">
        <v>154</v>
      </c>
      <c r="E2665" s="4">
        <v>3</v>
      </c>
      <c r="F2665" s="4">
        <v>8</v>
      </c>
      <c r="G2665" s="4">
        <v>4</v>
      </c>
      <c r="H2665" s="115"/>
      <c r="I2665" s="115"/>
      <c r="J2665" s="115"/>
      <c r="K2665" s="115">
        <v>0</v>
      </c>
      <c r="L2665" s="12">
        <f t="shared" si="176"/>
        <v>0</v>
      </c>
      <c r="M2665" s="4">
        <f t="shared" si="177"/>
        <v>0</v>
      </c>
      <c r="N2665" s="4">
        <f t="shared" si="178"/>
        <v>0</v>
      </c>
      <c r="O2665" s="13">
        <f t="shared" si="179"/>
        <v>0</v>
      </c>
    </row>
    <row r="2666" spans="2:15">
      <c r="B2666" s="12">
        <v>23</v>
      </c>
      <c r="C2666" s="4" t="s">
        <v>151</v>
      </c>
      <c r="D2666" s="4" t="s">
        <v>154</v>
      </c>
      <c r="E2666" s="4">
        <v>3</v>
      </c>
      <c r="F2666" s="4">
        <v>8</v>
      </c>
      <c r="G2666" s="4">
        <v>5</v>
      </c>
      <c r="H2666" s="115"/>
      <c r="I2666" s="115"/>
      <c r="J2666" s="115"/>
      <c r="K2666" s="115">
        <v>0</v>
      </c>
      <c r="L2666" s="12">
        <f t="shared" si="176"/>
        <v>0</v>
      </c>
      <c r="M2666" s="4">
        <f t="shared" si="177"/>
        <v>0</v>
      </c>
      <c r="N2666" s="4">
        <f t="shared" si="178"/>
        <v>0</v>
      </c>
      <c r="O2666" s="13">
        <f t="shared" si="179"/>
        <v>0</v>
      </c>
    </row>
    <row r="2667" spans="2:15">
      <c r="B2667" s="12">
        <v>23</v>
      </c>
      <c r="C2667" s="4" t="s">
        <v>151</v>
      </c>
      <c r="D2667" s="4" t="s">
        <v>154</v>
      </c>
      <c r="E2667" s="4">
        <v>3</v>
      </c>
      <c r="F2667" s="4">
        <v>8</v>
      </c>
      <c r="G2667" s="4">
        <v>6</v>
      </c>
      <c r="H2667" s="115"/>
      <c r="I2667" s="115"/>
      <c r="J2667" s="115"/>
      <c r="K2667" s="115">
        <v>0</v>
      </c>
      <c r="L2667" s="12">
        <f t="shared" si="176"/>
        <v>0</v>
      </c>
      <c r="M2667" s="4">
        <f t="shared" si="177"/>
        <v>0</v>
      </c>
      <c r="N2667" s="4">
        <f t="shared" si="178"/>
        <v>0</v>
      </c>
      <c r="O2667" s="13">
        <f t="shared" si="179"/>
        <v>0</v>
      </c>
    </row>
    <row r="2668" spans="2:15">
      <c r="B2668" s="12">
        <v>23</v>
      </c>
      <c r="C2668" s="4" t="s">
        <v>151</v>
      </c>
      <c r="D2668" s="4" t="s">
        <v>154</v>
      </c>
      <c r="E2668" s="4">
        <v>3</v>
      </c>
      <c r="F2668" s="4">
        <v>8</v>
      </c>
      <c r="G2668" s="4">
        <v>7</v>
      </c>
      <c r="H2668" s="115"/>
      <c r="I2668" s="115"/>
      <c r="J2668" s="115"/>
      <c r="K2668" s="115">
        <v>0</v>
      </c>
      <c r="L2668" s="12">
        <f t="shared" si="176"/>
        <v>0</v>
      </c>
      <c r="M2668" s="4">
        <f t="shared" si="177"/>
        <v>0</v>
      </c>
      <c r="N2668" s="4">
        <f t="shared" si="178"/>
        <v>0</v>
      </c>
      <c r="O2668" s="13">
        <f t="shared" si="179"/>
        <v>0</v>
      </c>
    </row>
    <row r="2669" spans="2:15">
      <c r="B2669" s="12">
        <v>23</v>
      </c>
      <c r="C2669" s="4" t="s">
        <v>151</v>
      </c>
      <c r="D2669" s="4" t="s">
        <v>154</v>
      </c>
      <c r="E2669" s="4">
        <v>3</v>
      </c>
      <c r="F2669" s="4">
        <v>8</v>
      </c>
      <c r="G2669" s="4">
        <v>8</v>
      </c>
      <c r="H2669" s="115"/>
      <c r="I2669" s="115"/>
      <c r="J2669" s="115"/>
      <c r="K2669" s="115">
        <v>0</v>
      </c>
      <c r="L2669" s="12">
        <f t="shared" si="176"/>
        <v>0</v>
      </c>
      <c r="M2669" s="4">
        <f t="shared" si="177"/>
        <v>0</v>
      </c>
      <c r="N2669" s="4">
        <f t="shared" si="178"/>
        <v>0</v>
      </c>
      <c r="O2669" s="13">
        <f t="shared" si="179"/>
        <v>0</v>
      </c>
    </row>
    <row r="2670" spans="2:15">
      <c r="B2670" s="12">
        <v>23</v>
      </c>
      <c r="C2670" s="4" t="s">
        <v>151</v>
      </c>
      <c r="D2670" s="4" t="s">
        <v>154</v>
      </c>
      <c r="E2670" s="4">
        <v>3</v>
      </c>
      <c r="F2670" s="4">
        <v>8</v>
      </c>
      <c r="G2670" s="4">
        <v>9</v>
      </c>
      <c r="H2670" s="115"/>
      <c r="I2670" s="115"/>
      <c r="J2670" s="115"/>
      <c r="K2670" s="115">
        <v>0</v>
      </c>
      <c r="L2670" s="12">
        <f t="shared" si="176"/>
        <v>0</v>
      </c>
      <c r="M2670" s="4">
        <f t="shared" si="177"/>
        <v>0</v>
      </c>
      <c r="N2670" s="4">
        <f t="shared" si="178"/>
        <v>0</v>
      </c>
      <c r="O2670" s="13">
        <f t="shared" si="179"/>
        <v>0</v>
      </c>
    </row>
    <row r="2671" spans="2:15" ht="13.8" thickBot="1">
      <c r="B2671" s="14">
        <v>23</v>
      </c>
      <c r="C2671" s="15" t="s">
        <v>151</v>
      </c>
      <c r="D2671" s="15" t="s">
        <v>154</v>
      </c>
      <c r="E2671" s="15">
        <v>3</v>
      </c>
      <c r="F2671" s="15">
        <v>8</v>
      </c>
      <c r="G2671" s="15">
        <v>10</v>
      </c>
      <c r="H2671" s="121"/>
      <c r="I2671" s="121"/>
      <c r="J2671" s="121"/>
      <c r="K2671" s="121">
        <v>0</v>
      </c>
      <c r="L2671" s="14">
        <f t="shared" si="176"/>
        <v>0</v>
      </c>
      <c r="M2671" s="15">
        <f t="shared" si="177"/>
        <v>0</v>
      </c>
      <c r="N2671" s="15">
        <f t="shared" si="178"/>
        <v>0</v>
      </c>
      <c r="O2671" s="16">
        <f t="shared" si="179"/>
        <v>0</v>
      </c>
    </row>
    <row r="2672" spans="2:15">
      <c r="B2672" s="9">
        <v>23</v>
      </c>
      <c r="C2672" s="10" t="s">
        <v>151</v>
      </c>
      <c r="D2672" s="10" t="s">
        <v>150</v>
      </c>
      <c r="E2672" s="93">
        <v>4</v>
      </c>
      <c r="F2672" s="93">
        <v>4</v>
      </c>
      <c r="G2672" s="10">
        <v>1</v>
      </c>
      <c r="H2672" s="120">
        <v>5.3709999999999809</v>
      </c>
      <c r="I2672" s="120">
        <v>4.2479999999999905</v>
      </c>
      <c r="J2672" s="120">
        <v>5.3339999999999463</v>
      </c>
      <c r="K2672" s="120">
        <v>14.952999999999918</v>
      </c>
      <c r="L2672" s="9">
        <f t="shared" si="176"/>
        <v>0.80420760508204014</v>
      </c>
      <c r="M2672" s="10">
        <f t="shared" si="177"/>
        <v>0.71999382636760312</v>
      </c>
      <c r="N2672" s="10">
        <f t="shared" si="178"/>
        <v>0.80167805903588951</v>
      </c>
      <c r="O2672" s="11">
        <f t="shared" si="179"/>
        <v>1.2028423651946301</v>
      </c>
    </row>
    <row r="2673" spans="2:15">
      <c r="B2673" s="12">
        <v>23</v>
      </c>
      <c r="C2673" s="4" t="s">
        <v>151</v>
      </c>
      <c r="D2673" s="4" t="s">
        <v>150</v>
      </c>
      <c r="E2673" s="4">
        <v>4</v>
      </c>
      <c r="F2673" s="4">
        <v>4</v>
      </c>
      <c r="G2673" s="4">
        <v>2</v>
      </c>
      <c r="H2673" s="115">
        <v>1.8160000000000309</v>
      </c>
      <c r="I2673" s="115">
        <v>0.45100000000002183</v>
      </c>
      <c r="J2673" s="115">
        <v>0.93299999999993588</v>
      </c>
      <c r="K2673" s="115">
        <v>3.1999999999999886</v>
      </c>
      <c r="L2673" s="12">
        <f t="shared" si="176"/>
        <v>0.44963265047007939</v>
      </c>
      <c r="M2673" s="4">
        <f t="shared" si="177"/>
        <v>0.16166741243774241</v>
      </c>
      <c r="N2673" s="4">
        <f t="shared" si="178"/>
        <v>0.28623185402853862</v>
      </c>
      <c r="O2673" s="13">
        <f t="shared" si="179"/>
        <v>0.62324929039789934</v>
      </c>
    </row>
    <row r="2674" spans="2:15">
      <c r="B2674" s="12">
        <v>23</v>
      </c>
      <c r="C2674" s="4" t="s">
        <v>151</v>
      </c>
      <c r="D2674" s="4" t="s">
        <v>150</v>
      </c>
      <c r="E2674" s="4">
        <v>4</v>
      </c>
      <c r="F2674" s="4">
        <v>4</v>
      </c>
      <c r="G2674" s="4">
        <v>3</v>
      </c>
      <c r="H2674" s="115">
        <v>0.30100000000004457</v>
      </c>
      <c r="I2674" s="115"/>
      <c r="J2674" s="115"/>
      <c r="K2674" s="115">
        <v>0.30100000000004457</v>
      </c>
      <c r="L2674" s="12">
        <f t="shared" si="176"/>
        <v>0.11427729656160113</v>
      </c>
      <c r="M2674" s="4">
        <f t="shared" si="177"/>
        <v>0</v>
      </c>
      <c r="N2674" s="4">
        <f t="shared" si="178"/>
        <v>0</v>
      </c>
      <c r="O2674" s="13">
        <f t="shared" si="179"/>
        <v>0.11427729656160113</v>
      </c>
    </row>
    <row r="2675" spans="2:15">
      <c r="B2675" s="12">
        <v>23</v>
      </c>
      <c r="C2675" s="4" t="s">
        <v>151</v>
      </c>
      <c r="D2675" s="4" t="s">
        <v>150</v>
      </c>
      <c r="E2675" s="4">
        <v>4</v>
      </c>
      <c r="F2675" s="4">
        <v>4</v>
      </c>
      <c r="G2675" s="4">
        <v>4</v>
      </c>
      <c r="H2675" s="115"/>
      <c r="I2675" s="115"/>
      <c r="J2675" s="115"/>
      <c r="K2675" s="115">
        <v>0</v>
      </c>
      <c r="L2675" s="12">
        <f t="shared" si="176"/>
        <v>0</v>
      </c>
      <c r="M2675" s="4">
        <f t="shared" si="177"/>
        <v>0</v>
      </c>
      <c r="N2675" s="4">
        <f t="shared" si="178"/>
        <v>0</v>
      </c>
      <c r="O2675" s="13">
        <f t="shared" si="179"/>
        <v>0</v>
      </c>
    </row>
    <row r="2676" spans="2:15">
      <c r="B2676" s="12">
        <v>23</v>
      </c>
      <c r="C2676" s="4" t="s">
        <v>151</v>
      </c>
      <c r="D2676" s="4" t="s">
        <v>150</v>
      </c>
      <c r="E2676" s="4">
        <v>4</v>
      </c>
      <c r="F2676" s="4">
        <v>4</v>
      </c>
      <c r="G2676" s="4">
        <v>5</v>
      </c>
      <c r="H2676" s="115"/>
      <c r="I2676" s="115"/>
      <c r="J2676" s="115"/>
      <c r="K2676" s="115">
        <v>0</v>
      </c>
      <c r="L2676" s="12">
        <f t="shared" si="176"/>
        <v>0</v>
      </c>
      <c r="M2676" s="4">
        <f t="shared" si="177"/>
        <v>0</v>
      </c>
      <c r="N2676" s="4">
        <f t="shared" si="178"/>
        <v>0</v>
      </c>
      <c r="O2676" s="13">
        <f t="shared" si="179"/>
        <v>0</v>
      </c>
    </row>
    <row r="2677" spans="2:15">
      <c r="B2677" s="12">
        <v>23</v>
      </c>
      <c r="C2677" s="4" t="s">
        <v>151</v>
      </c>
      <c r="D2677" s="4" t="s">
        <v>150</v>
      </c>
      <c r="E2677" s="4">
        <v>4</v>
      </c>
      <c r="F2677" s="4">
        <v>4</v>
      </c>
      <c r="G2677" s="4">
        <v>6</v>
      </c>
      <c r="H2677" s="115"/>
      <c r="I2677" s="115"/>
      <c r="J2677" s="115"/>
      <c r="K2677" s="115">
        <v>0</v>
      </c>
      <c r="L2677" s="12">
        <f t="shared" si="176"/>
        <v>0</v>
      </c>
      <c r="M2677" s="4">
        <f t="shared" si="177"/>
        <v>0</v>
      </c>
      <c r="N2677" s="4">
        <f t="shared" si="178"/>
        <v>0</v>
      </c>
      <c r="O2677" s="13">
        <f t="shared" si="179"/>
        <v>0</v>
      </c>
    </row>
    <row r="2678" spans="2:15">
      <c r="B2678" s="12">
        <v>23</v>
      </c>
      <c r="C2678" s="4" t="s">
        <v>151</v>
      </c>
      <c r="D2678" s="4" t="s">
        <v>150</v>
      </c>
      <c r="E2678" s="4">
        <v>4</v>
      </c>
      <c r="F2678" s="4">
        <v>4</v>
      </c>
      <c r="G2678" s="4">
        <v>7</v>
      </c>
      <c r="H2678" s="115"/>
      <c r="I2678" s="115"/>
      <c r="J2678" s="115"/>
      <c r="K2678" s="115">
        <v>0</v>
      </c>
      <c r="L2678" s="12">
        <f t="shared" si="176"/>
        <v>0</v>
      </c>
      <c r="M2678" s="4">
        <f t="shared" si="177"/>
        <v>0</v>
      </c>
      <c r="N2678" s="4">
        <f t="shared" si="178"/>
        <v>0</v>
      </c>
      <c r="O2678" s="13">
        <f t="shared" si="179"/>
        <v>0</v>
      </c>
    </row>
    <row r="2679" spans="2:15">
      <c r="B2679" s="12">
        <v>23</v>
      </c>
      <c r="C2679" s="4" t="s">
        <v>151</v>
      </c>
      <c r="D2679" s="4" t="s">
        <v>150</v>
      </c>
      <c r="E2679" s="4">
        <v>4</v>
      </c>
      <c r="F2679" s="4">
        <v>4</v>
      </c>
      <c r="G2679" s="4">
        <v>8</v>
      </c>
      <c r="H2679" s="115"/>
      <c r="I2679" s="115"/>
      <c r="J2679" s="115"/>
      <c r="K2679" s="115">
        <v>0</v>
      </c>
      <c r="L2679" s="12">
        <f t="shared" si="176"/>
        <v>0</v>
      </c>
      <c r="M2679" s="4">
        <f t="shared" si="177"/>
        <v>0</v>
      </c>
      <c r="N2679" s="4">
        <f t="shared" si="178"/>
        <v>0</v>
      </c>
      <c r="O2679" s="13">
        <f t="shared" si="179"/>
        <v>0</v>
      </c>
    </row>
    <row r="2680" spans="2:15">
      <c r="B2680" s="12">
        <v>23</v>
      </c>
      <c r="C2680" s="4" t="s">
        <v>151</v>
      </c>
      <c r="D2680" s="4" t="s">
        <v>150</v>
      </c>
      <c r="E2680" s="4">
        <v>4</v>
      </c>
      <c r="F2680" s="4">
        <v>4</v>
      </c>
      <c r="G2680" s="4">
        <v>9</v>
      </c>
      <c r="H2680" s="115"/>
      <c r="I2680" s="115"/>
      <c r="J2680" s="115"/>
      <c r="K2680" s="115">
        <v>0</v>
      </c>
      <c r="L2680" s="12">
        <f t="shared" si="176"/>
        <v>0</v>
      </c>
      <c r="M2680" s="4">
        <f t="shared" si="177"/>
        <v>0</v>
      </c>
      <c r="N2680" s="4">
        <f t="shared" si="178"/>
        <v>0</v>
      </c>
      <c r="O2680" s="13">
        <f t="shared" si="179"/>
        <v>0</v>
      </c>
    </row>
    <row r="2681" spans="2:15" ht="13.8" thickBot="1">
      <c r="B2681" s="14">
        <v>23</v>
      </c>
      <c r="C2681" s="15" t="s">
        <v>151</v>
      </c>
      <c r="D2681" s="15" t="s">
        <v>150</v>
      </c>
      <c r="E2681" s="15">
        <v>4</v>
      </c>
      <c r="F2681" s="15">
        <v>4</v>
      </c>
      <c r="G2681" s="15">
        <v>10</v>
      </c>
      <c r="H2681" s="121"/>
      <c r="I2681" s="121"/>
      <c r="J2681" s="121"/>
      <c r="K2681" s="121">
        <v>0</v>
      </c>
      <c r="L2681" s="14">
        <f t="shared" si="176"/>
        <v>0</v>
      </c>
      <c r="M2681" s="15">
        <f t="shared" si="177"/>
        <v>0</v>
      </c>
      <c r="N2681" s="15">
        <f t="shared" si="178"/>
        <v>0</v>
      </c>
      <c r="O2681" s="16">
        <f t="shared" si="179"/>
        <v>0</v>
      </c>
    </row>
    <row r="2682" spans="2:15">
      <c r="B2682" s="9">
        <v>23</v>
      </c>
      <c r="C2682" s="10" t="s">
        <v>151</v>
      </c>
      <c r="D2682" s="10" t="s">
        <v>149</v>
      </c>
      <c r="E2682" s="93">
        <v>5</v>
      </c>
      <c r="F2682" s="93">
        <v>12</v>
      </c>
      <c r="G2682" s="10">
        <v>1</v>
      </c>
      <c r="H2682" s="120">
        <v>2.3699999999997772</v>
      </c>
      <c r="I2682" s="120">
        <v>0.56800000000009732</v>
      </c>
      <c r="J2682" s="120">
        <v>0.93399999999996908</v>
      </c>
      <c r="K2682" s="120">
        <v>3.8719999999998436</v>
      </c>
      <c r="L2682" s="9">
        <f t="shared" si="176"/>
        <v>0.5276299008713099</v>
      </c>
      <c r="M2682" s="10">
        <f t="shared" si="177"/>
        <v>0.19534605834844659</v>
      </c>
      <c r="N2682" s="10">
        <f t="shared" si="178"/>
        <v>0.28645646974697592</v>
      </c>
      <c r="O2682" s="11">
        <f t="shared" si="179"/>
        <v>0.68770727962480505</v>
      </c>
    </row>
    <row r="2683" spans="2:15">
      <c r="B2683" s="12">
        <v>23</v>
      </c>
      <c r="C2683" s="4" t="s">
        <v>151</v>
      </c>
      <c r="D2683" s="4" t="s">
        <v>149</v>
      </c>
      <c r="E2683" s="4">
        <v>5</v>
      </c>
      <c r="F2683" s="4">
        <v>12</v>
      </c>
      <c r="G2683" s="4">
        <v>2</v>
      </c>
      <c r="H2683" s="115">
        <v>2.2819999999999254</v>
      </c>
      <c r="I2683" s="115"/>
      <c r="J2683" s="115"/>
      <c r="K2683" s="115">
        <v>2.2819999999999254</v>
      </c>
      <c r="L2683" s="12">
        <f t="shared" si="176"/>
        <v>0.51613857671706453</v>
      </c>
      <c r="M2683" s="4">
        <f t="shared" si="177"/>
        <v>0</v>
      </c>
      <c r="N2683" s="4">
        <f t="shared" si="178"/>
        <v>0</v>
      </c>
      <c r="O2683" s="13">
        <f t="shared" si="179"/>
        <v>0.51613857671706453</v>
      </c>
    </row>
    <row r="2684" spans="2:15">
      <c r="B2684" s="12">
        <v>23</v>
      </c>
      <c r="C2684" s="4" t="s">
        <v>151</v>
      </c>
      <c r="D2684" s="4" t="s">
        <v>149</v>
      </c>
      <c r="E2684" s="4">
        <v>5</v>
      </c>
      <c r="F2684" s="4">
        <v>12</v>
      </c>
      <c r="G2684" s="4">
        <v>3</v>
      </c>
      <c r="H2684" s="115">
        <v>0.80000000000006821</v>
      </c>
      <c r="I2684" s="115"/>
      <c r="J2684" s="115"/>
      <c r="K2684" s="115">
        <v>0.80000000000006821</v>
      </c>
      <c r="L2684" s="12">
        <f t="shared" si="176"/>
        <v>0.2552725051033225</v>
      </c>
      <c r="M2684" s="4">
        <f t="shared" si="177"/>
        <v>0</v>
      </c>
      <c r="N2684" s="4">
        <f t="shared" si="178"/>
        <v>0</v>
      </c>
      <c r="O2684" s="13">
        <f t="shared" si="179"/>
        <v>0.2552725051033225</v>
      </c>
    </row>
    <row r="2685" spans="2:15">
      <c r="B2685" s="12">
        <v>23</v>
      </c>
      <c r="C2685" s="4" t="s">
        <v>151</v>
      </c>
      <c r="D2685" s="4" t="s">
        <v>149</v>
      </c>
      <c r="E2685" s="4">
        <v>5</v>
      </c>
      <c r="F2685" s="4">
        <v>12</v>
      </c>
      <c r="G2685" s="4">
        <v>4</v>
      </c>
      <c r="H2685" s="115"/>
      <c r="I2685" s="115"/>
      <c r="J2685" s="115"/>
      <c r="K2685" s="115">
        <v>0</v>
      </c>
      <c r="L2685" s="12">
        <f t="shared" si="176"/>
        <v>0</v>
      </c>
      <c r="M2685" s="4">
        <f t="shared" si="177"/>
        <v>0</v>
      </c>
      <c r="N2685" s="4">
        <f t="shared" si="178"/>
        <v>0</v>
      </c>
      <c r="O2685" s="13">
        <f t="shared" si="179"/>
        <v>0</v>
      </c>
    </row>
    <row r="2686" spans="2:15">
      <c r="B2686" s="12">
        <v>23</v>
      </c>
      <c r="C2686" s="4" t="s">
        <v>151</v>
      </c>
      <c r="D2686" s="4" t="s">
        <v>149</v>
      </c>
      <c r="E2686" s="4">
        <v>5</v>
      </c>
      <c r="F2686" s="4">
        <v>12</v>
      </c>
      <c r="G2686" s="4">
        <v>5</v>
      </c>
      <c r="H2686" s="115"/>
      <c r="I2686" s="115"/>
      <c r="J2686" s="115"/>
      <c r="K2686" s="115">
        <v>0</v>
      </c>
      <c r="L2686" s="12">
        <f t="shared" si="176"/>
        <v>0</v>
      </c>
      <c r="M2686" s="4">
        <f t="shared" si="177"/>
        <v>0</v>
      </c>
      <c r="N2686" s="4">
        <f t="shared" si="178"/>
        <v>0</v>
      </c>
      <c r="O2686" s="13">
        <f t="shared" si="179"/>
        <v>0</v>
      </c>
    </row>
    <row r="2687" spans="2:15">
      <c r="B2687" s="12">
        <v>23</v>
      </c>
      <c r="C2687" s="4" t="s">
        <v>151</v>
      </c>
      <c r="D2687" s="4" t="s">
        <v>149</v>
      </c>
      <c r="E2687" s="4">
        <v>5</v>
      </c>
      <c r="F2687" s="4">
        <v>12</v>
      </c>
      <c r="G2687" s="4">
        <v>6</v>
      </c>
      <c r="H2687" s="115"/>
      <c r="I2687" s="115"/>
      <c r="J2687" s="115"/>
      <c r="K2687" s="115">
        <v>0</v>
      </c>
      <c r="L2687" s="12">
        <f t="shared" si="176"/>
        <v>0</v>
      </c>
      <c r="M2687" s="4">
        <f t="shared" si="177"/>
        <v>0</v>
      </c>
      <c r="N2687" s="4">
        <f t="shared" si="178"/>
        <v>0</v>
      </c>
      <c r="O2687" s="13">
        <f t="shared" si="179"/>
        <v>0</v>
      </c>
    </row>
    <row r="2688" spans="2:15">
      <c r="B2688" s="12">
        <v>23</v>
      </c>
      <c r="C2688" s="4" t="s">
        <v>151</v>
      </c>
      <c r="D2688" s="4" t="s">
        <v>149</v>
      </c>
      <c r="E2688" s="4">
        <v>5</v>
      </c>
      <c r="F2688" s="4">
        <v>12</v>
      </c>
      <c r="G2688" s="4">
        <v>7</v>
      </c>
      <c r="H2688" s="115"/>
      <c r="I2688" s="115"/>
      <c r="J2688" s="115"/>
      <c r="K2688" s="115">
        <v>0</v>
      </c>
      <c r="L2688" s="12">
        <f t="shared" si="176"/>
        <v>0</v>
      </c>
      <c r="M2688" s="4">
        <f t="shared" si="177"/>
        <v>0</v>
      </c>
      <c r="N2688" s="4">
        <f t="shared" si="178"/>
        <v>0</v>
      </c>
      <c r="O2688" s="13">
        <f t="shared" si="179"/>
        <v>0</v>
      </c>
    </row>
    <row r="2689" spans="2:15">
      <c r="B2689" s="12">
        <v>23</v>
      </c>
      <c r="C2689" s="4" t="s">
        <v>151</v>
      </c>
      <c r="D2689" s="4" t="s">
        <v>149</v>
      </c>
      <c r="E2689" s="4">
        <v>5</v>
      </c>
      <c r="F2689" s="4">
        <v>12</v>
      </c>
      <c r="G2689" s="4">
        <v>8</v>
      </c>
      <c r="H2689" s="115"/>
      <c r="I2689" s="115"/>
      <c r="J2689" s="115"/>
      <c r="K2689" s="115">
        <v>0</v>
      </c>
      <c r="L2689" s="12">
        <f t="shared" si="176"/>
        <v>0</v>
      </c>
      <c r="M2689" s="4">
        <f t="shared" si="177"/>
        <v>0</v>
      </c>
      <c r="N2689" s="4">
        <f t="shared" si="178"/>
        <v>0</v>
      </c>
      <c r="O2689" s="13">
        <f t="shared" si="179"/>
        <v>0</v>
      </c>
    </row>
    <row r="2690" spans="2:15">
      <c r="B2690" s="12">
        <v>23</v>
      </c>
      <c r="C2690" s="4" t="s">
        <v>151</v>
      </c>
      <c r="D2690" s="4" t="s">
        <v>149</v>
      </c>
      <c r="E2690" s="4">
        <v>5</v>
      </c>
      <c r="F2690" s="4">
        <v>12</v>
      </c>
      <c r="G2690" s="4">
        <v>9</v>
      </c>
      <c r="H2690" s="115"/>
      <c r="I2690" s="115"/>
      <c r="J2690" s="115"/>
      <c r="K2690" s="115">
        <v>0</v>
      </c>
      <c r="L2690" s="12">
        <f t="shared" si="176"/>
        <v>0</v>
      </c>
      <c r="M2690" s="4">
        <f t="shared" si="177"/>
        <v>0</v>
      </c>
      <c r="N2690" s="4">
        <f t="shared" si="178"/>
        <v>0</v>
      </c>
      <c r="O2690" s="13">
        <f t="shared" si="179"/>
        <v>0</v>
      </c>
    </row>
    <row r="2691" spans="2:15" ht="13.8" thickBot="1">
      <c r="B2691" s="14">
        <v>23</v>
      </c>
      <c r="C2691" s="15" t="s">
        <v>151</v>
      </c>
      <c r="D2691" s="15" t="s">
        <v>149</v>
      </c>
      <c r="E2691" s="15">
        <v>5</v>
      </c>
      <c r="F2691" s="15">
        <v>12</v>
      </c>
      <c r="G2691" s="15">
        <v>10</v>
      </c>
      <c r="H2691" s="121"/>
      <c r="I2691" s="121"/>
      <c r="J2691" s="121"/>
      <c r="K2691" s="121">
        <v>0</v>
      </c>
      <c r="L2691" s="14">
        <f t="shared" si="176"/>
        <v>0</v>
      </c>
      <c r="M2691" s="15">
        <f t="shared" si="177"/>
        <v>0</v>
      </c>
      <c r="N2691" s="15">
        <f t="shared" si="178"/>
        <v>0</v>
      </c>
      <c r="O2691" s="16">
        <f t="shared" si="179"/>
        <v>0</v>
      </c>
    </row>
    <row r="2692" spans="2:15">
      <c r="B2692" s="9">
        <v>23</v>
      </c>
      <c r="C2692" s="10" t="s">
        <v>151</v>
      </c>
      <c r="D2692" s="10" t="s">
        <v>154</v>
      </c>
      <c r="E2692" s="93">
        <v>6</v>
      </c>
      <c r="F2692" s="93">
        <v>6</v>
      </c>
      <c r="G2692" s="10">
        <v>1</v>
      </c>
      <c r="H2692" s="120">
        <v>2.1819999999999027</v>
      </c>
      <c r="I2692" s="120">
        <v>0.41700000000003001</v>
      </c>
      <c r="J2692" s="120">
        <v>1.0149999999999864</v>
      </c>
      <c r="K2692" s="120">
        <v>3.6139999999999191</v>
      </c>
      <c r="L2692" s="9">
        <f t="shared" si="176"/>
        <v>0.50270017531054945</v>
      </c>
      <c r="M2692" s="10">
        <f t="shared" si="177"/>
        <v>0.1513698502474696</v>
      </c>
      <c r="N2692" s="10">
        <f t="shared" si="178"/>
        <v>0.30427505047712533</v>
      </c>
      <c r="O2692" s="11">
        <f t="shared" si="179"/>
        <v>0.66407759018506707</v>
      </c>
    </row>
    <row r="2693" spans="2:15">
      <c r="B2693" s="12">
        <v>23</v>
      </c>
      <c r="C2693" s="4" t="s">
        <v>151</v>
      </c>
      <c r="D2693" s="4" t="s">
        <v>154</v>
      </c>
      <c r="E2693" s="4">
        <v>6</v>
      </c>
      <c r="F2693" s="4">
        <v>6</v>
      </c>
      <c r="G2693" s="4">
        <v>2</v>
      </c>
      <c r="H2693" s="115">
        <v>0.11700000000001864</v>
      </c>
      <c r="I2693" s="115">
        <v>0.1330000000000382</v>
      </c>
      <c r="J2693" s="115">
        <v>0.53199999999998226</v>
      </c>
      <c r="K2693" s="115">
        <v>0.78200000000003911</v>
      </c>
      <c r="L2693" s="12">
        <f t="shared" si="176"/>
        <v>4.8053173115616306E-2</v>
      </c>
      <c r="M2693" s="4">
        <f t="shared" si="177"/>
        <v>5.422990986341189E-2</v>
      </c>
      <c r="N2693" s="4">
        <f t="shared" si="178"/>
        <v>0.18525876529658011</v>
      </c>
      <c r="O2693" s="13">
        <f t="shared" si="179"/>
        <v>0.25090769970086552</v>
      </c>
    </row>
    <row r="2694" spans="2:15">
      <c r="B2694" s="12">
        <v>23</v>
      </c>
      <c r="C2694" s="4" t="s">
        <v>151</v>
      </c>
      <c r="D2694" s="4" t="s">
        <v>154</v>
      </c>
      <c r="E2694" s="4">
        <v>6</v>
      </c>
      <c r="F2694" s="4">
        <v>6</v>
      </c>
      <c r="G2694" s="4">
        <v>3</v>
      </c>
      <c r="H2694" s="115"/>
      <c r="I2694" s="115"/>
      <c r="J2694" s="115"/>
      <c r="K2694" s="115">
        <v>0</v>
      </c>
      <c r="L2694" s="12">
        <f t="shared" si="176"/>
        <v>0</v>
      </c>
      <c r="M2694" s="4">
        <f t="shared" si="177"/>
        <v>0</v>
      </c>
      <c r="N2694" s="4">
        <f t="shared" si="178"/>
        <v>0</v>
      </c>
      <c r="O2694" s="13">
        <f t="shared" si="179"/>
        <v>0</v>
      </c>
    </row>
    <row r="2695" spans="2:15">
      <c r="B2695" s="12">
        <v>23</v>
      </c>
      <c r="C2695" s="4" t="s">
        <v>151</v>
      </c>
      <c r="D2695" s="4" t="s">
        <v>154</v>
      </c>
      <c r="E2695" s="4">
        <v>6</v>
      </c>
      <c r="F2695" s="4">
        <v>6</v>
      </c>
      <c r="G2695" s="4">
        <v>4</v>
      </c>
      <c r="H2695" s="115"/>
      <c r="I2695" s="115"/>
      <c r="J2695" s="115"/>
      <c r="K2695" s="115">
        <v>0</v>
      </c>
      <c r="L2695" s="12">
        <f t="shared" si="176"/>
        <v>0</v>
      </c>
      <c r="M2695" s="4">
        <f t="shared" si="177"/>
        <v>0</v>
      </c>
      <c r="N2695" s="4">
        <f t="shared" si="178"/>
        <v>0</v>
      </c>
      <c r="O2695" s="13">
        <f t="shared" si="179"/>
        <v>0</v>
      </c>
    </row>
    <row r="2696" spans="2:15">
      <c r="B2696" s="12">
        <v>23</v>
      </c>
      <c r="C2696" s="4" t="s">
        <v>151</v>
      </c>
      <c r="D2696" s="4" t="s">
        <v>154</v>
      </c>
      <c r="E2696" s="4">
        <v>6</v>
      </c>
      <c r="F2696" s="4">
        <v>6</v>
      </c>
      <c r="G2696" s="4">
        <v>5</v>
      </c>
      <c r="H2696" s="115"/>
      <c r="I2696" s="115"/>
      <c r="J2696" s="115"/>
      <c r="K2696" s="115">
        <v>0</v>
      </c>
      <c r="L2696" s="12">
        <f t="shared" si="176"/>
        <v>0</v>
      </c>
      <c r="M2696" s="4">
        <f t="shared" si="177"/>
        <v>0</v>
      </c>
      <c r="N2696" s="4">
        <f t="shared" si="178"/>
        <v>0</v>
      </c>
      <c r="O2696" s="13">
        <f t="shared" si="179"/>
        <v>0</v>
      </c>
    </row>
    <row r="2697" spans="2:15">
      <c r="B2697" s="12">
        <v>23</v>
      </c>
      <c r="C2697" s="4" t="s">
        <v>151</v>
      </c>
      <c r="D2697" s="4" t="s">
        <v>154</v>
      </c>
      <c r="E2697" s="4">
        <v>6</v>
      </c>
      <c r="F2697" s="4">
        <v>6</v>
      </c>
      <c r="G2697" s="4">
        <v>6</v>
      </c>
      <c r="H2697" s="115"/>
      <c r="I2697" s="115"/>
      <c r="J2697" s="115"/>
      <c r="K2697" s="115">
        <v>0</v>
      </c>
      <c r="L2697" s="12">
        <f t="shared" si="176"/>
        <v>0</v>
      </c>
      <c r="M2697" s="4">
        <f t="shared" si="177"/>
        <v>0</v>
      </c>
      <c r="N2697" s="4">
        <f t="shared" si="178"/>
        <v>0</v>
      </c>
      <c r="O2697" s="13">
        <f t="shared" si="179"/>
        <v>0</v>
      </c>
    </row>
    <row r="2698" spans="2:15">
      <c r="B2698" s="12">
        <v>23</v>
      </c>
      <c r="C2698" s="4" t="s">
        <v>151</v>
      </c>
      <c r="D2698" s="4" t="s">
        <v>154</v>
      </c>
      <c r="E2698" s="4">
        <v>6</v>
      </c>
      <c r="F2698" s="4">
        <v>6</v>
      </c>
      <c r="G2698" s="4">
        <v>7</v>
      </c>
      <c r="H2698" s="115"/>
      <c r="I2698" s="115"/>
      <c r="J2698" s="115"/>
      <c r="K2698" s="115">
        <v>0</v>
      </c>
      <c r="L2698" s="12">
        <f t="shared" si="176"/>
        <v>0</v>
      </c>
      <c r="M2698" s="4">
        <f t="shared" si="177"/>
        <v>0</v>
      </c>
      <c r="N2698" s="4">
        <f t="shared" si="178"/>
        <v>0</v>
      </c>
      <c r="O2698" s="13">
        <f t="shared" si="179"/>
        <v>0</v>
      </c>
    </row>
    <row r="2699" spans="2:15">
      <c r="B2699" s="12">
        <v>23</v>
      </c>
      <c r="C2699" s="4" t="s">
        <v>151</v>
      </c>
      <c r="D2699" s="4" t="s">
        <v>154</v>
      </c>
      <c r="E2699" s="4">
        <v>6</v>
      </c>
      <c r="F2699" s="4">
        <v>6</v>
      </c>
      <c r="G2699" s="4">
        <v>8</v>
      </c>
      <c r="H2699" s="115"/>
      <c r="I2699" s="115"/>
      <c r="J2699" s="115"/>
      <c r="K2699" s="115">
        <v>0</v>
      </c>
      <c r="L2699" s="12">
        <f t="shared" si="176"/>
        <v>0</v>
      </c>
      <c r="M2699" s="4">
        <f t="shared" si="177"/>
        <v>0</v>
      </c>
      <c r="N2699" s="4">
        <f t="shared" si="178"/>
        <v>0</v>
      </c>
      <c r="O2699" s="13">
        <f t="shared" si="179"/>
        <v>0</v>
      </c>
    </row>
    <row r="2700" spans="2:15">
      <c r="B2700" s="12">
        <v>23</v>
      </c>
      <c r="C2700" s="4" t="s">
        <v>151</v>
      </c>
      <c r="D2700" s="4" t="s">
        <v>154</v>
      </c>
      <c r="E2700" s="4">
        <v>6</v>
      </c>
      <c r="F2700" s="4">
        <v>6</v>
      </c>
      <c r="G2700" s="4">
        <v>9</v>
      </c>
      <c r="H2700" s="115"/>
      <c r="I2700" s="115"/>
      <c r="J2700" s="115"/>
      <c r="K2700" s="115">
        <v>0</v>
      </c>
      <c r="L2700" s="12">
        <f t="shared" si="176"/>
        <v>0</v>
      </c>
      <c r="M2700" s="4">
        <f t="shared" si="177"/>
        <v>0</v>
      </c>
      <c r="N2700" s="4">
        <f t="shared" si="178"/>
        <v>0</v>
      </c>
      <c r="O2700" s="13">
        <f t="shared" si="179"/>
        <v>0</v>
      </c>
    </row>
    <row r="2701" spans="2:15" ht="13.8" thickBot="1">
      <c r="B2701" s="14">
        <v>23</v>
      </c>
      <c r="C2701" s="15" t="s">
        <v>151</v>
      </c>
      <c r="D2701" s="15" t="s">
        <v>154</v>
      </c>
      <c r="E2701" s="15">
        <v>6</v>
      </c>
      <c r="F2701" s="15">
        <v>6</v>
      </c>
      <c r="G2701" s="15">
        <v>10</v>
      </c>
      <c r="H2701" s="121"/>
      <c r="I2701" s="121"/>
      <c r="J2701" s="121"/>
      <c r="K2701" s="121">
        <v>0</v>
      </c>
      <c r="L2701" s="14">
        <f t="shared" si="176"/>
        <v>0</v>
      </c>
      <c r="M2701" s="15">
        <f t="shared" si="177"/>
        <v>0</v>
      </c>
      <c r="N2701" s="15">
        <f t="shared" si="178"/>
        <v>0</v>
      </c>
      <c r="O2701" s="16">
        <f t="shared" si="179"/>
        <v>0</v>
      </c>
    </row>
    <row r="2702" spans="2:15">
      <c r="B2702" s="9">
        <v>23</v>
      </c>
      <c r="C2702" s="10" t="s">
        <v>152</v>
      </c>
      <c r="D2702" s="10" t="s">
        <v>149</v>
      </c>
      <c r="E2702" s="93">
        <v>7</v>
      </c>
      <c r="F2702" s="93">
        <v>9</v>
      </c>
      <c r="G2702" s="10">
        <v>1</v>
      </c>
      <c r="H2702" s="120">
        <v>3.7649999999998727</v>
      </c>
      <c r="I2702" s="120">
        <v>0.41600000000005366</v>
      </c>
      <c r="J2702" s="120">
        <v>1.7809999999999491</v>
      </c>
      <c r="K2702" s="120">
        <v>5.9619999999998754</v>
      </c>
      <c r="L2702" s="9">
        <f t="shared" si="176"/>
        <v>0.67806290497433364</v>
      </c>
      <c r="M2702" s="10">
        <f t="shared" si="177"/>
        <v>0.15106325335376666</v>
      </c>
      <c r="N2702" s="10">
        <f t="shared" si="178"/>
        <v>0.44420098886415155</v>
      </c>
      <c r="O2702" s="11">
        <f t="shared" si="179"/>
        <v>0.84273401894826183</v>
      </c>
    </row>
    <row r="2703" spans="2:15">
      <c r="B2703" s="12">
        <v>23</v>
      </c>
      <c r="C2703" s="4" t="s">
        <v>152</v>
      </c>
      <c r="D2703" s="4" t="s">
        <v>149</v>
      </c>
      <c r="E2703" s="4">
        <v>7</v>
      </c>
      <c r="F2703" s="4">
        <v>9</v>
      </c>
      <c r="G2703" s="4">
        <v>2</v>
      </c>
      <c r="H2703" s="115">
        <v>1.2500000000001137</v>
      </c>
      <c r="I2703" s="115">
        <v>9.9999999999909051E-2</v>
      </c>
      <c r="J2703" s="115">
        <v>0.43400000000008276</v>
      </c>
      <c r="K2703" s="115">
        <v>1.7840000000001055</v>
      </c>
      <c r="L2703" s="12">
        <f t="shared" si="176"/>
        <v>0.3521825181113844</v>
      </c>
      <c r="M2703" s="4">
        <f t="shared" si="177"/>
        <v>4.1392685158189134E-2</v>
      </c>
      <c r="N2703" s="4">
        <f t="shared" si="178"/>
        <v>0.15654915133180639</v>
      </c>
      <c r="O2703" s="13">
        <f t="shared" si="179"/>
        <v>0.44466923093854094</v>
      </c>
    </row>
    <row r="2704" spans="2:15">
      <c r="B2704" s="12">
        <v>23</v>
      </c>
      <c r="C2704" s="4" t="s">
        <v>152</v>
      </c>
      <c r="D2704" s="4" t="s">
        <v>149</v>
      </c>
      <c r="E2704" s="4">
        <v>7</v>
      </c>
      <c r="F2704" s="4">
        <v>9</v>
      </c>
      <c r="G2704" s="4">
        <v>3</v>
      </c>
      <c r="H2704" s="115">
        <v>0.51700000000005275</v>
      </c>
      <c r="I2704" s="115">
        <v>0.25</v>
      </c>
      <c r="J2704" s="115"/>
      <c r="K2704" s="115">
        <v>0.76700000000005275</v>
      </c>
      <c r="L2704" s="12">
        <f t="shared" si="176"/>
        <v>0.18098558078674559</v>
      </c>
      <c r="M2704" s="4">
        <f t="shared" si="177"/>
        <v>9.691001300805642E-2</v>
      </c>
      <c r="N2704" s="4">
        <f t="shared" si="178"/>
        <v>0</v>
      </c>
      <c r="O2704" s="13">
        <f t="shared" si="179"/>
        <v>0.24723654950677704</v>
      </c>
    </row>
    <row r="2705" spans="2:15">
      <c r="B2705" s="12">
        <v>23</v>
      </c>
      <c r="C2705" s="4" t="s">
        <v>152</v>
      </c>
      <c r="D2705" s="4" t="s">
        <v>149</v>
      </c>
      <c r="E2705" s="4">
        <v>7</v>
      </c>
      <c r="F2705" s="4">
        <v>9</v>
      </c>
      <c r="G2705" s="4">
        <v>4</v>
      </c>
      <c r="H2705" s="115"/>
      <c r="I2705" s="115"/>
      <c r="J2705" s="115"/>
      <c r="K2705" s="115">
        <v>0</v>
      </c>
      <c r="L2705" s="12">
        <f t="shared" si="176"/>
        <v>0</v>
      </c>
      <c r="M2705" s="4">
        <f t="shared" si="177"/>
        <v>0</v>
      </c>
      <c r="N2705" s="4">
        <f t="shared" si="178"/>
        <v>0</v>
      </c>
      <c r="O2705" s="13">
        <f t="shared" si="179"/>
        <v>0</v>
      </c>
    </row>
    <row r="2706" spans="2:15">
      <c r="B2706" s="12">
        <v>23</v>
      </c>
      <c r="C2706" s="4" t="s">
        <v>152</v>
      </c>
      <c r="D2706" s="4" t="s">
        <v>149</v>
      </c>
      <c r="E2706" s="4">
        <v>7</v>
      </c>
      <c r="F2706" s="4">
        <v>9</v>
      </c>
      <c r="G2706" s="4">
        <v>5</v>
      </c>
      <c r="H2706" s="115"/>
      <c r="I2706" s="115"/>
      <c r="J2706" s="115"/>
      <c r="K2706" s="115">
        <v>0</v>
      </c>
      <c r="L2706" s="12">
        <f t="shared" si="176"/>
        <v>0</v>
      </c>
      <c r="M2706" s="4">
        <f t="shared" si="177"/>
        <v>0</v>
      </c>
      <c r="N2706" s="4">
        <f t="shared" si="178"/>
        <v>0</v>
      </c>
      <c r="O2706" s="13">
        <f t="shared" si="179"/>
        <v>0</v>
      </c>
    </row>
    <row r="2707" spans="2:15">
      <c r="B2707" s="12">
        <v>23</v>
      </c>
      <c r="C2707" s="4" t="s">
        <v>152</v>
      </c>
      <c r="D2707" s="4" t="s">
        <v>149</v>
      </c>
      <c r="E2707" s="4">
        <v>7</v>
      </c>
      <c r="F2707" s="4">
        <v>9</v>
      </c>
      <c r="G2707" s="4">
        <v>6</v>
      </c>
      <c r="H2707" s="115"/>
      <c r="I2707" s="115"/>
      <c r="J2707" s="115"/>
      <c r="K2707" s="115">
        <v>0</v>
      </c>
      <c r="L2707" s="12">
        <f t="shared" si="176"/>
        <v>0</v>
      </c>
      <c r="M2707" s="4">
        <f t="shared" si="177"/>
        <v>0</v>
      </c>
      <c r="N2707" s="4">
        <f t="shared" si="178"/>
        <v>0</v>
      </c>
      <c r="O2707" s="13">
        <f t="shared" si="179"/>
        <v>0</v>
      </c>
    </row>
    <row r="2708" spans="2:15">
      <c r="B2708" s="12">
        <v>23</v>
      </c>
      <c r="C2708" s="4" t="s">
        <v>152</v>
      </c>
      <c r="D2708" s="4" t="s">
        <v>149</v>
      </c>
      <c r="E2708" s="4">
        <v>7</v>
      </c>
      <c r="F2708" s="4">
        <v>9</v>
      </c>
      <c r="G2708" s="4">
        <v>7</v>
      </c>
      <c r="H2708" s="115"/>
      <c r="I2708" s="115"/>
      <c r="J2708" s="115"/>
      <c r="K2708" s="115">
        <v>0</v>
      </c>
      <c r="L2708" s="12">
        <f t="shared" si="176"/>
        <v>0</v>
      </c>
      <c r="M2708" s="4">
        <f t="shared" si="177"/>
        <v>0</v>
      </c>
      <c r="N2708" s="4">
        <f t="shared" si="178"/>
        <v>0</v>
      </c>
      <c r="O2708" s="13">
        <f t="shared" si="179"/>
        <v>0</v>
      </c>
    </row>
    <row r="2709" spans="2:15">
      <c r="B2709" s="12">
        <v>23</v>
      </c>
      <c r="C2709" s="4" t="s">
        <v>152</v>
      </c>
      <c r="D2709" s="4" t="s">
        <v>149</v>
      </c>
      <c r="E2709" s="4">
        <v>7</v>
      </c>
      <c r="F2709" s="4">
        <v>9</v>
      </c>
      <c r="G2709" s="4">
        <v>8</v>
      </c>
      <c r="H2709" s="115"/>
      <c r="I2709" s="115"/>
      <c r="J2709" s="115"/>
      <c r="K2709" s="115">
        <v>0</v>
      </c>
      <c r="L2709" s="12">
        <f t="shared" si="176"/>
        <v>0</v>
      </c>
      <c r="M2709" s="4">
        <f t="shared" si="177"/>
        <v>0</v>
      </c>
      <c r="N2709" s="4">
        <f t="shared" si="178"/>
        <v>0</v>
      </c>
      <c r="O2709" s="13">
        <f t="shared" si="179"/>
        <v>0</v>
      </c>
    </row>
    <row r="2710" spans="2:15">
      <c r="B2710" s="12">
        <v>23</v>
      </c>
      <c r="C2710" s="4" t="s">
        <v>152</v>
      </c>
      <c r="D2710" s="4" t="s">
        <v>149</v>
      </c>
      <c r="E2710" s="4">
        <v>7</v>
      </c>
      <c r="F2710" s="4">
        <v>9</v>
      </c>
      <c r="G2710" s="4">
        <v>9</v>
      </c>
      <c r="H2710" s="115"/>
      <c r="I2710" s="115"/>
      <c r="J2710" s="115"/>
      <c r="K2710" s="115">
        <v>0</v>
      </c>
      <c r="L2710" s="12">
        <f t="shared" si="176"/>
        <v>0</v>
      </c>
      <c r="M2710" s="4">
        <f t="shared" si="177"/>
        <v>0</v>
      </c>
      <c r="N2710" s="4">
        <f t="shared" si="178"/>
        <v>0</v>
      </c>
      <c r="O2710" s="13">
        <f t="shared" si="179"/>
        <v>0</v>
      </c>
    </row>
    <row r="2711" spans="2:15" ht="13.8" thickBot="1">
      <c r="B2711" s="14">
        <v>23</v>
      </c>
      <c r="C2711" s="15" t="s">
        <v>152</v>
      </c>
      <c r="D2711" s="15" t="s">
        <v>149</v>
      </c>
      <c r="E2711" s="15">
        <v>7</v>
      </c>
      <c r="F2711" s="15">
        <v>9</v>
      </c>
      <c r="G2711" s="15">
        <v>10</v>
      </c>
      <c r="H2711" s="121"/>
      <c r="I2711" s="121"/>
      <c r="J2711" s="121"/>
      <c r="K2711" s="121">
        <v>0</v>
      </c>
      <c r="L2711" s="14">
        <f t="shared" si="176"/>
        <v>0</v>
      </c>
      <c r="M2711" s="15">
        <f t="shared" si="177"/>
        <v>0</v>
      </c>
      <c r="N2711" s="15">
        <f t="shared" si="178"/>
        <v>0</v>
      </c>
      <c r="O2711" s="16">
        <f t="shared" si="179"/>
        <v>0</v>
      </c>
    </row>
    <row r="2712" spans="2:15">
      <c r="B2712" s="9">
        <v>23</v>
      </c>
      <c r="C2712" s="10" t="s">
        <v>152</v>
      </c>
      <c r="D2712" s="10" t="s">
        <v>154</v>
      </c>
      <c r="E2712" s="93">
        <v>8</v>
      </c>
      <c r="F2712" s="93">
        <v>7</v>
      </c>
      <c r="G2712" s="10">
        <v>1</v>
      </c>
      <c r="H2712" s="120">
        <v>2.8829999999999814</v>
      </c>
      <c r="I2712" s="120">
        <v>0.20000000000004547</v>
      </c>
      <c r="J2712" s="120">
        <v>2.4509999999999081</v>
      </c>
      <c r="K2712" s="120">
        <v>5.533999999999935</v>
      </c>
      <c r="L2712" s="9">
        <f t="shared" si="176"/>
        <v>0.5891673905460455</v>
      </c>
      <c r="M2712" s="10">
        <f t="shared" si="177"/>
        <v>7.918124604764129E-2</v>
      </c>
      <c r="N2712" s="10">
        <f t="shared" si="178"/>
        <v>0.53794495929147523</v>
      </c>
      <c r="O2712" s="11">
        <f t="shared" si="179"/>
        <v>0.81517913013941423</v>
      </c>
    </row>
    <row r="2713" spans="2:15">
      <c r="B2713" s="12">
        <v>23</v>
      </c>
      <c r="C2713" s="4" t="s">
        <v>152</v>
      </c>
      <c r="D2713" s="4" t="s">
        <v>154</v>
      </c>
      <c r="E2713" s="4">
        <v>8</v>
      </c>
      <c r="F2713" s="4">
        <v>7</v>
      </c>
      <c r="G2713" s="4">
        <v>2</v>
      </c>
      <c r="H2713" s="115"/>
      <c r="I2713" s="115"/>
      <c r="J2713" s="115"/>
      <c r="K2713" s="115">
        <v>0</v>
      </c>
      <c r="L2713" s="12">
        <f t="shared" si="176"/>
        <v>0</v>
      </c>
      <c r="M2713" s="4">
        <f t="shared" si="177"/>
        <v>0</v>
      </c>
      <c r="N2713" s="4">
        <f t="shared" si="178"/>
        <v>0</v>
      </c>
      <c r="O2713" s="13">
        <f t="shared" si="179"/>
        <v>0</v>
      </c>
    </row>
    <row r="2714" spans="2:15">
      <c r="B2714" s="12">
        <v>23</v>
      </c>
      <c r="C2714" s="4" t="s">
        <v>152</v>
      </c>
      <c r="D2714" s="4" t="s">
        <v>154</v>
      </c>
      <c r="E2714" s="4">
        <v>8</v>
      </c>
      <c r="F2714" s="4">
        <v>7</v>
      </c>
      <c r="G2714" s="4">
        <v>3</v>
      </c>
      <c r="H2714" s="115"/>
      <c r="I2714" s="115"/>
      <c r="J2714" s="115"/>
      <c r="K2714" s="115">
        <v>0</v>
      </c>
      <c r="L2714" s="12">
        <f t="shared" si="176"/>
        <v>0</v>
      </c>
      <c r="M2714" s="4">
        <f t="shared" si="177"/>
        <v>0</v>
      </c>
      <c r="N2714" s="4">
        <f t="shared" si="178"/>
        <v>0</v>
      </c>
      <c r="O2714" s="13">
        <f t="shared" si="179"/>
        <v>0</v>
      </c>
    </row>
    <row r="2715" spans="2:15">
      <c r="B2715" s="12">
        <v>23</v>
      </c>
      <c r="C2715" s="4" t="s">
        <v>152</v>
      </c>
      <c r="D2715" s="4" t="s">
        <v>154</v>
      </c>
      <c r="E2715" s="4">
        <v>8</v>
      </c>
      <c r="F2715" s="4">
        <v>7</v>
      </c>
      <c r="G2715" s="4">
        <v>4</v>
      </c>
      <c r="H2715" s="115"/>
      <c r="I2715" s="115"/>
      <c r="J2715" s="115"/>
      <c r="K2715" s="115">
        <v>0</v>
      </c>
      <c r="L2715" s="12">
        <f t="shared" si="176"/>
        <v>0</v>
      </c>
      <c r="M2715" s="4">
        <f t="shared" si="177"/>
        <v>0</v>
      </c>
      <c r="N2715" s="4">
        <f t="shared" si="178"/>
        <v>0</v>
      </c>
      <c r="O2715" s="13">
        <f t="shared" si="179"/>
        <v>0</v>
      </c>
    </row>
    <row r="2716" spans="2:15">
      <c r="B2716" s="12">
        <v>23</v>
      </c>
      <c r="C2716" s="4" t="s">
        <v>152</v>
      </c>
      <c r="D2716" s="4" t="s">
        <v>154</v>
      </c>
      <c r="E2716" s="4">
        <v>8</v>
      </c>
      <c r="F2716" s="4">
        <v>7</v>
      </c>
      <c r="G2716" s="4">
        <v>5</v>
      </c>
      <c r="H2716" s="115"/>
      <c r="I2716" s="115"/>
      <c r="J2716" s="115"/>
      <c r="K2716" s="115">
        <v>0</v>
      </c>
      <c r="L2716" s="12">
        <f t="shared" si="176"/>
        <v>0</v>
      </c>
      <c r="M2716" s="4">
        <f t="shared" si="177"/>
        <v>0</v>
      </c>
      <c r="N2716" s="4">
        <f t="shared" si="178"/>
        <v>0</v>
      </c>
      <c r="O2716" s="13">
        <f t="shared" si="179"/>
        <v>0</v>
      </c>
    </row>
    <row r="2717" spans="2:15">
      <c r="B2717" s="12">
        <v>23</v>
      </c>
      <c r="C2717" s="4" t="s">
        <v>152</v>
      </c>
      <c r="D2717" s="4" t="s">
        <v>154</v>
      </c>
      <c r="E2717" s="4">
        <v>8</v>
      </c>
      <c r="F2717" s="4">
        <v>7</v>
      </c>
      <c r="G2717" s="4">
        <v>6</v>
      </c>
      <c r="H2717" s="115"/>
      <c r="I2717" s="115"/>
      <c r="J2717" s="115"/>
      <c r="K2717" s="115">
        <v>0</v>
      </c>
      <c r="L2717" s="12">
        <f t="shared" si="176"/>
        <v>0</v>
      </c>
      <c r="M2717" s="4">
        <f t="shared" si="177"/>
        <v>0</v>
      </c>
      <c r="N2717" s="4">
        <f t="shared" si="178"/>
        <v>0</v>
      </c>
      <c r="O2717" s="13">
        <f t="shared" si="179"/>
        <v>0</v>
      </c>
    </row>
    <row r="2718" spans="2:15">
      <c r="B2718" s="12">
        <v>23</v>
      </c>
      <c r="C2718" s="4" t="s">
        <v>152</v>
      </c>
      <c r="D2718" s="4" t="s">
        <v>154</v>
      </c>
      <c r="E2718" s="4">
        <v>8</v>
      </c>
      <c r="F2718" s="4">
        <v>7</v>
      </c>
      <c r="G2718" s="4">
        <v>7</v>
      </c>
      <c r="H2718" s="115"/>
      <c r="I2718" s="115"/>
      <c r="J2718" s="115"/>
      <c r="K2718" s="115">
        <v>0</v>
      </c>
      <c r="L2718" s="12">
        <f t="shared" si="176"/>
        <v>0</v>
      </c>
      <c r="M2718" s="4">
        <f t="shared" si="177"/>
        <v>0</v>
      </c>
      <c r="N2718" s="4">
        <f t="shared" si="178"/>
        <v>0</v>
      </c>
      <c r="O2718" s="13">
        <f t="shared" si="179"/>
        <v>0</v>
      </c>
    </row>
    <row r="2719" spans="2:15">
      <c r="B2719" s="12">
        <v>23</v>
      </c>
      <c r="C2719" s="4" t="s">
        <v>152</v>
      </c>
      <c r="D2719" s="4" t="s">
        <v>154</v>
      </c>
      <c r="E2719" s="4">
        <v>8</v>
      </c>
      <c r="F2719" s="4">
        <v>7</v>
      </c>
      <c r="G2719" s="4">
        <v>8</v>
      </c>
      <c r="H2719" s="115"/>
      <c r="I2719" s="115"/>
      <c r="J2719" s="115"/>
      <c r="K2719" s="115">
        <v>0</v>
      </c>
      <c r="L2719" s="12">
        <f t="shared" si="176"/>
        <v>0</v>
      </c>
      <c r="M2719" s="4">
        <f t="shared" si="177"/>
        <v>0</v>
      </c>
      <c r="N2719" s="4">
        <f t="shared" si="178"/>
        <v>0</v>
      </c>
      <c r="O2719" s="13">
        <f t="shared" si="179"/>
        <v>0</v>
      </c>
    </row>
    <row r="2720" spans="2:15">
      <c r="B2720" s="12">
        <v>23</v>
      </c>
      <c r="C2720" s="4" t="s">
        <v>152</v>
      </c>
      <c r="D2720" s="4" t="s">
        <v>154</v>
      </c>
      <c r="E2720" s="4">
        <v>8</v>
      </c>
      <c r="F2720" s="4">
        <v>7</v>
      </c>
      <c r="G2720" s="4">
        <v>9</v>
      </c>
      <c r="H2720" s="115"/>
      <c r="I2720" s="115"/>
      <c r="J2720" s="115"/>
      <c r="K2720" s="115">
        <v>0</v>
      </c>
      <c r="L2720" s="12">
        <f t="shared" si="176"/>
        <v>0</v>
      </c>
      <c r="M2720" s="4">
        <f t="shared" si="177"/>
        <v>0</v>
      </c>
      <c r="N2720" s="4">
        <f t="shared" si="178"/>
        <v>0</v>
      </c>
      <c r="O2720" s="13">
        <f t="shared" si="179"/>
        <v>0</v>
      </c>
    </row>
    <row r="2721" spans="2:15" ht="13.8" thickBot="1">
      <c r="B2721" s="14">
        <v>23</v>
      </c>
      <c r="C2721" s="15" t="s">
        <v>152</v>
      </c>
      <c r="D2721" s="15" t="s">
        <v>154</v>
      </c>
      <c r="E2721" s="15">
        <v>8</v>
      </c>
      <c r="F2721" s="15">
        <v>7</v>
      </c>
      <c r="G2721" s="15">
        <v>10</v>
      </c>
      <c r="H2721" s="121"/>
      <c r="I2721" s="121"/>
      <c r="J2721" s="121"/>
      <c r="K2721" s="121">
        <v>0</v>
      </c>
      <c r="L2721" s="14">
        <f t="shared" si="176"/>
        <v>0</v>
      </c>
      <c r="M2721" s="15">
        <f t="shared" si="177"/>
        <v>0</v>
      </c>
      <c r="N2721" s="15">
        <f t="shared" si="178"/>
        <v>0</v>
      </c>
      <c r="O2721" s="16">
        <f t="shared" si="179"/>
        <v>0</v>
      </c>
    </row>
    <row r="2722" spans="2:15">
      <c r="B2722" s="9">
        <v>23</v>
      </c>
      <c r="C2722" s="10" t="s">
        <v>152</v>
      </c>
      <c r="D2722" s="10" t="s">
        <v>150</v>
      </c>
      <c r="E2722" s="93">
        <v>9</v>
      </c>
      <c r="F2722" s="93">
        <v>3</v>
      </c>
      <c r="G2722" s="10">
        <v>1</v>
      </c>
      <c r="H2722" s="120">
        <v>5.2470000000000994</v>
      </c>
      <c r="I2722" s="120">
        <v>2.6650000000000205</v>
      </c>
      <c r="J2722" s="120">
        <v>1.8329999999999416</v>
      </c>
      <c r="K2722" s="120">
        <v>9.7450000000000614</v>
      </c>
      <c r="L2722" s="9">
        <f t="shared" si="176"/>
        <v>0.79567150594602865</v>
      </c>
      <c r="M2722" s="10">
        <f t="shared" si="177"/>
        <v>0.56407397897714917</v>
      </c>
      <c r="N2722" s="10">
        <f t="shared" si="178"/>
        <v>0.45224657452042827</v>
      </c>
      <c r="O2722" s="11">
        <f t="shared" si="179"/>
        <v>1.0312064198274646</v>
      </c>
    </row>
    <row r="2723" spans="2:15">
      <c r="B2723" s="12">
        <v>23</v>
      </c>
      <c r="C2723" s="4" t="s">
        <v>152</v>
      </c>
      <c r="D2723" s="4" t="s">
        <v>150</v>
      </c>
      <c r="E2723" s="4">
        <v>9</v>
      </c>
      <c r="F2723" s="4">
        <v>3</v>
      </c>
      <c r="G2723" s="4">
        <v>2</v>
      </c>
      <c r="H2723" s="115">
        <v>2.650999999999982</v>
      </c>
      <c r="I2723" s="115"/>
      <c r="J2723" s="115">
        <v>0.1839999999999975</v>
      </c>
      <c r="K2723" s="115">
        <v>2.8349999999999795</v>
      </c>
      <c r="L2723" s="12">
        <f t="shared" si="176"/>
        <v>0.5624118329497253</v>
      </c>
      <c r="M2723" s="4">
        <f t="shared" si="177"/>
        <v>0</v>
      </c>
      <c r="N2723" s="4">
        <f t="shared" si="178"/>
        <v>7.3351702386900058E-2</v>
      </c>
      <c r="O2723" s="13">
        <f t="shared" si="179"/>
        <v>0.58376536828499748</v>
      </c>
    </row>
    <row r="2724" spans="2:15">
      <c r="B2724" s="12">
        <v>23</v>
      </c>
      <c r="C2724" s="4" t="s">
        <v>152</v>
      </c>
      <c r="D2724" s="4" t="s">
        <v>150</v>
      </c>
      <c r="E2724" s="4">
        <v>9</v>
      </c>
      <c r="F2724" s="4">
        <v>3</v>
      </c>
      <c r="G2724" s="4">
        <v>3</v>
      </c>
      <c r="H2724" s="115">
        <v>1.6339999999999577</v>
      </c>
      <c r="I2724" s="115">
        <v>0.56700000000000728</v>
      </c>
      <c r="J2724" s="115"/>
      <c r="K2724" s="115">
        <v>2.200999999999965</v>
      </c>
      <c r="L2724" s="12">
        <f t="shared" si="176"/>
        <v>0.42061577062575806</v>
      </c>
      <c r="M2724" s="4">
        <f t="shared" si="177"/>
        <v>0.19506899646859216</v>
      </c>
      <c r="N2724" s="4">
        <f t="shared" si="178"/>
        <v>0</v>
      </c>
      <c r="O2724" s="13">
        <f t="shared" si="179"/>
        <v>0.50528567414412762</v>
      </c>
    </row>
    <row r="2725" spans="2:15">
      <c r="B2725" s="12">
        <v>23</v>
      </c>
      <c r="C2725" s="4" t="s">
        <v>152</v>
      </c>
      <c r="D2725" s="4" t="s">
        <v>150</v>
      </c>
      <c r="E2725" s="4">
        <v>9</v>
      </c>
      <c r="F2725" s="4">
        <v>3</v>
      </c>
      <c r="G2725" s="4">
        <v>4</v>
      </c>
      <c r="H2725" s="115"/>
      <c r="I2725" s="115"/>
      <c r="J2725" s="115"/>
      <c r="K2725" s="115">
        <v>0</v>
      </c>
      <c r="L2725" s="12">
        <f t="shared" si="176"/>
        <v>0</v>
      </c>
      <c r="M2725" s="4">
        <f t="shared" si="177"/>
        <v>0</v>
      </c>
      <c r="N2725" s="4">
        <f t="shared" si="178"/>
        <v>0</v>
      </c>
      <c r="O2725" s="13">
        <f t="shared" si="179"/>
        <v>0</v>
      </c>
    </row>
    <row r="2726" spans="2:15">
      <c r="B2726" s="12">
        <v>23</v>
      </c>
      <c r="C2726" s="4" t="s">
        <v>152</v>
      </c>
      <c r="D2726" s="4" t="s">
        <v>150</v>
      </c>
      <c r="E2726" s="4">
        <v>9</v>
      </c>
      <c r="F2726" s="4">
        <v>3</v>
      </c>
      <c r="G2726" s="4">
        <v>5</v>
      </c>
      <c r="H2726" s="115"/>
      <c r="I2726" s="115"/>
      <c r="J2726" s="115"/>
      <c r="K2726" s="115">
        <v>0</v>
      </c>
      <c r="L2726" s="12">
        <f t="shared" si="176"/>
        <v>0</v>
      </c>
      <c r="M2726" s="4">
        <f t="shared" si="177"/>
        <v>0</v>
      </c>
      <c r="N2726" s="4">
        <f t="shared" si="178"/>
        <v>0</v>
      </c>
      <c r="O2726" s="13">
        <f t="shared" si="179"/>
        <v>0</v>
      </c>
    </row>
    <row r="2727" spans="2:15">
      <c r="B2727" s="12">
        <v>23</v>
      </c>
      <c r="C2727" s="4" t="s">
        <v>152</v>
      </c>
      <c r="D2727" s="4" t="s">
        <v>150</v>
      </c>
      <c r="E2727" s="4">
        <v>9</v>
      </c>
      <c r="F2727" s="4">
        <v>3</v>
      </c>
      <c r="G2727" s="4">
        <v>6</v>
      </c>
      <c r="H2727" s="115"/>
      <c r="I2727" s="115"/>
      <c r="J2727" s="115"/>
      <c r="K2727" s="115">
        <v>0</v>
      </c>
      <c r="L2727" s="12">
        <f t="shared" ref="L2727:L2790" si="180">LOG10(H2727+1)</f>
        <v>0</v>
      </c>
      <c r="M2727" s="4">
        <f t="shared" ref="M2727:M2790" si="181">LOG10(I2727+1)</f>
        <v>0</v>
      </c>
      <c r="N2727" s="4">
        <f t="shared" ref="N2727:N2790" si="182">LOG10(J2727+1)</f>
        <v>0</v>
      </c>
      <c r="O2727" s="13">
        <f t="shared" ref="O2727:O2790" si="183">LOG10(K2727+1)</f>
        <v>0</v>
      </c>
    </row>
    <row r="2728" spans="2:15">
      <c r="B2728" s="12">
        <v>23</v>
      </c>
      <c r="C2728" s="4" t="s">
        <v>152</v>
      </c>
      <c r="D2728" s="4" t="s">
        <v>150</v>
      </c>
      <c r="E2728" s="4">
        <v>9</v>
      </c>
      <c r="F2728" s="4">
        <v>3</v>
      </c>
      <c r="G2728" s="4">
        <v>7</v>
      </c>
      <c r="H2728" s="115"/>
      <c r="I2728" s="115"/>
      <c r="J2728" s="115"/>
      <c r="K2728" s="115">
        <v>0</v>
      </c>
      <c r="L2728" s="12">
        <f t="shared" si="180"/>
        <v>0</v>
      </c>
      <c r="M2728" s="4">
        <f t="shared" si="181"/>
        <v>0</v>
      </c>
      <c r="N2728" s="4">
        <f t="shared" si="182"/>
        <v>0</v>
      </c>
      <c r="O2728" s="13">
        <f t="shared" si="183"/>
        <v>0</v>
      </c>
    </row>
    <row r="2729" spans="2:15">
      <c r="B2729" s="12">
        <v>23</v>
      </c>
      <c r="C2729" s="4" t="s">
        <v>152</v>
      </c>
      <c r="D2729" s="4" t="s">
        <v>150</v>
      </c>
      <c r="E2729" s="4">
        <v>9</v>
      </c>
      <c r="F2729" s="4">
        <v>3</v>
      </c>
      <c r="G2729" s="4">
        <v>8</v>
      </c>
      <c r="H2729" s="115"/>
      <c r="I2729" s="115"/>
      <c r="J2729" s="115"/>
      <c r="K2729" s="115">
        <v>0</v>
      </c>
      <c r="L2729" s="12">
        <f t="shared" si="180"/>
        <v>0</v>
      </c>
      <c r="M2729" s="4">
        <f t="shared" si="181"/>
        <v>0</v>
      </c>
      <c r="N2729" s="4">
        <f t="shared" si="182"/>
        <v>0</v>
      </c>
      <c r="O2729" s="13">
        <f t="shared" si="183"/>
        <v>0</v>
      </c>
    </row>
    <row r="2730" spans="2:15">
      <c r="B2730" s="12">
        <v>23</v>
      </c>
      <c r="C2730" s="4" t="s">
        <v>152</v>
      </c>
      <c r="D2730" s="4" t="s">
        <v>150</v>
      </c>
      <c r="E2730" s="4">
        <v>9</v>
      </c>
      <c r="F2730" s="4">
        <v>3</v>
      </c>
      <c r="G2730" s="4">
        <v>9</v>
      </c>
      <c r="H2730" s="115"/>
      <c r="I2730" s="115"/>
      <c r="J2730" s="115"/>
      <c r="K2730" s="115">
        <v>0</v>
      </c>
      <c r="L2730" s="12">
        <f t="shared" si="180"/>
        <v>0</v>
      </c>
      <c r="M2730" s="4">
        <f t="shared" si="181"/>
        <v>0</v>
      </c>
      <c r="N2730" s="4">
        <f t="shared" si="182"/>
        <v>0</v>
      </c>
      <c r="O2730" s="13">
        <f t="shared" si="183"/>
        <v>0</v>
      </c>
    </row>
    <row r="2731" spans="2:15" ht="13.8" thickBot="1">
      <c r="B2731" s="14">
        <v>23</v>
      </c>
      <c r="C2731" s="15" t="s">
        <v>152</v>
      </c>
      <c r="D2731" s="15" t="s">
        <v>150</v>
      </c>
      <c r="E2731" s="15">
        <v>9</v>
      </c>
      <c r="F2731" s="15">
        <v>3</v>
      </c>
      <c r="G2731" s="15">
        <v>10</v>
      </c>
      <c r="H2731" s="121"/>
      <c r="I2731" s="121"/>
      <c r="J2731" s="121"/>
      <c r="K2731" s="121">
        <v>0</v>
      </c>
      <c r="L2731" s="14">
        <f t="shared" si="180"/>
        <v>0</v>
      </c>
      <c r="M2731" s="15">
        <f t="shared" si="181"/>
        <v>0</v>
      </c>
      <c r="N2731" s="15">
        <f t="shared" si="182"/>
        <v>0</v>
      </c>
      <c r="O2731" s="16">
        <f t="shared" si="183"/>
        <v>0</v>
      </c>
    </row>
    <row r="2732" spans="2:15">
      <c r="B2732" s="9">
        <v>23</v>
      </c>
      <c r="C2732" s="10" t="s">
        <v>152</v>
      </c>
      <c r="D2732" s="10" t="s">
        <v>154</v>
      </c>
      <c r="E2732" s="93">
        <v>10</v>
      </c>
      <c r="F2732" s="93">
        <v>5</v>
      </c>
      <c r="G2732" s="10">
        <v>1</v>
      </c>
      <c r="H2732" s="120">
        <v>3.8150000000001683</v>
      </c>
      <c r="I2732" s="120">
        <v>0.30000000000006821</v>
      </c>
      <c r="J2732" s="120">
        <v>0.96800000000007458</v>
      </c>
      <c r="K2732" s="120">
        <v>5.083000000000311</v>
      </c>
      <c r="L2732" s="9">
        <f t="shared" si="180"/>
        <v>0.68259629146056855</v>
      </c>
      <c r="M2732" s="10">
        <f t="shared" si="181"/>
        <v>0.11394335230685956</v>
      </c>
      <c r="N2732" s="10">
        <f t="shared" si="182"/>
        <v>0.29402509409533917</v>
      </c>
      <c r="O2732" s="11">
        <f t="shared" si="183"/>
        <v>0.78411781646294554</v>
      </c>
    </row>
    <row r="2733" spans="2:15">
      <c r="B2733" s="12">
        <v>23</v>
      </c>
      <c r="C2733" s="4" t="s">
        <v>152</v>
      </c>
      <c r="D2733" s="4" t="s">
        <v>154</v>
      </c>
      <c r="E2733" s="4">
        <v>10</v>
      </c>
      <c r="F2733" s="4">
        <v>5</v>
      </c>
      <c r="G2733" s="4">
        <v>2</v>
      </c>
      <c r="H2733" s="115"/>
      <c r="I2733" s="115">
        <v>0.13400000000001455</v>
      </c>
      <c r="J2733" s="115"/>
      <c r="K2733" s="115">
        <v>0.13400000000001455</v>
      </c>
      <c r="L2733" s="12">
        <f t="shared" si="180"/>
        <v>0</v>
      </c>
      <c r="M2733" s="4">
        <f t="shared" si="181"/>
        <v>5.4613054556893345E-2</v>
      </c>
      <c r="N2733" s="4">
        <f t="shared" si="182"/>
        <v>0</v>
      </c>
      <c r="O2733" s="13">
        <f t="shared" si="183"/>
        <v>5.4613054556893345E-2</v>
      </c>
    </row>
    <row r="2734" spans="2:15">
      <c r="B2734" s="12">
        <v>23</v>
      </c>
      <c r="C2734" s="4" t="s">
        <v>152</v>
      </c>
      <c r="D2734" s="4" t="s">
        <v>154</v>
      </c>
      <c r="E2734" s="4">
        <v>10</v>
      </c>
      <c r="F2734" s="4">
        <v>5</v>
      </c>
      <c r="G2734" s="4">
        <v>3</v>
      </c>
      <c r="H2734" s="115"/>
      <c r="I2734" s="115"/>
      <c r="J2734" s="115"/>
      <c r="K2734" s="115">
        <v>0</v>
      </c>
      <c r="L2734" s="12">
        <f t="shared" si="180"/>
        <v>0</v>
      </c>
      <c r="M2734" s="4">
        <f t="shared" si="181"/>
        <v>0</v>
      </c>
      <c r="N2734" s="4">
        <f t="shared" si="182"/>
        <v>0</v>
      </c>
      <c r="O2734" s="13">
        <f t="shared" si="183"/>
        <v>0</v>
      </c>
    </row>
    <row r="2735" spans="2:15">
      <c r="B2735" s="12">
        <v>23</v>
      </c>
      <c r="C2735" s="4" t="s">
        <v>152</v>
      </c>
      <c r="D2735" s="4" t="s">
        <v>154</v>
      </c>
      <c r="E2735" s="4">
        <v>10</v>
      </c>
      <c r="F2735" s="4">
        <v>5</v>
      </c>
      <c r="G2735" s="4">
        <v>4</v>
      </c>
      <c r="H2735" s="115"/>
      <c r="I2735" s="115"/>
      <c r="J2735" s="115"/>
      <c r="K2735" s="115">
        <v>0</v>
      </c>
      <c r="L2735" s="12">
        <f t="shared" si="180"/>
        <v>0</v>
      </c>
      <c r="M2735" s="4">
        <f t="shared" si="181"/>
        <v>0</v>
      </c>
      <c r="N2735" s="4">
        <f t="shared" si="182"/>
        <v>0</v>
      </c>
      <c r="O2735" s="13">
        <f t="shared" si="183"/>
        <v>0</v>
      </c>
    </row>
    <row r="2736" spans="2:15">
      <c r="B2736" s="12">
        <v>23</v>
      </c>
      <c r="C2736" s="4" t="s">
        <v>152</v>
      </c>
      <c r="D2736" s="4" t="s">
        <v>154</v>
      </c>
      <c r="E2736" s="4">
        <v>10</v>
      </c>
      <c r="F2736" s="4">
        <v>5</v>
      </c>
      <c r="G2736" s="4">
        <v>5</v>
      </c>
      <c r="H2736" s="115"/>
      <c r="I2736" s="115"/>
      <c r="J2736" s="115"/>
      <c r="K2736" s="115">
        <v>0</v>
      </c>
      <c r="L2736" s="12">
        <f t="shared" si="180"/>
        <v>0</v>
      </c>
      <c r="M2736" s="4">
        <f t="shared" si="181"/>
        <v>0</v>
      </c>
      <c r="N2736" s="4">
        <f t="shared" si="182"/>
        <v>0</v>
      </c>
      <c r="O2736" s="13">
        <f t="shared" si="183"/>
        <v>0</v>
      </c>
    </row>
    <row r="2737" spans="2:15">
      <c r="B2737" s="12">
        <v>23</v>
      </c>
      <c r="C2737" s="4" t="s">
        <v>152</v>
      </c>
      <c r="D2737" s="4" t="s">
        <v>154</v>
      </c>
      <c r="E2737" s="4">
        <v>10</v>
      </c>
      <c r="F2737" s="4">
        <v>5</v>
      </c>
      <c r="G2737" s="4">
        <v>6</v>
      </c>
      <c r="H2737" s="115"/>
      <c r="I2737" s="115"/>
      <c r="J2737" s="115"/>
      <c r="K2737" s="115">
        <v>0</v>
      </c>
      <c r="L2737" s="12">
        <f t="shared" si="180"/>
        <v>0</v>
      </c>
      <c r="M2737" s="4">
        <f t="shared" si="181"/>
        <v>0</v>
      </c>
      <c r="N2737" s="4">
        <f t="shared" si="182"/>
        <v>0</v>
      </c>
      <c r="O2737" s="13">
        <f t="shared" si="183"/>
        <v>0</v>
      </c>
    </row>
    <row r="2738" spans="2:15">
      <c r="B2738" s="12">
        <v>23</v>
      </c>
      <c r="C2738" s="4" t="s">
        <v>152</v>
      </c>
      <c r="D2738" s="4" t="s">
        <v>154</v>
      </c>
      <c r="E2738" s="4">
        <v>10</v>
      </c>
      <c r="F2738" s="4">
        <v>5</v>
      </c>
      <c r="G2738" s="4">
        <v>7</v>
      </c>
      <c r="H2738" s="115"/>
      <c r="I2738" s="115"/>
      <c r="J2738" s="115"/>
      <c r="K2738" s="115">
        <v>0</v>
      </c>
      <c r="L2738" s="12">
        <f t="shared" si="180"/>
        <v>0</v>
      </c>
      <c r="M2738" s="4">
        <f t="shared" si="181"/>
        <v>0</v>
      </c>
      <c r="N2738" s="4">
        <f t="shared" si="182"/>
        <v>0</v>
      </c>
      <c r="O2738" s="13">
        <f t="shared" si="183"/>
        <v>0</v>
      </c>
    </row>
    <row r="2739" spans="2:15">
      <c r="B2739" s="12">
        <v>23</v>
      </c>
      <c r="C2739" s="4" t="s">
        <v>152</v>
      </c>
      <c r="D2739" s="4" t="s">
        <v>154</v>
      </c>
      <c r="E2739" s="4">
        <v>10</v>
      </c>
      <c r="F2739" s="4">
        <v>5</v>
      </c>
      <c r="G2739" s="4">
        <v>8</v>
      </c>
      <c r="H2739" s="115"/>
      <c r="I2739" s="115"/>
      <c r="J2739" s="115"/>
      <c r="K2739" s="115">
        <v>0</v>
      </c>
      <c r="L2739" s="12">
        <f t="shared" si="180"/>
        <v>0</v>
      </c>
      <c r="M2739" s="4">
        <f t="shared" si="181"/>
        <v>0</v>
      </c>
      <c r="N2739" s="4">
        <f t="shared" si="182"/>
        <v>0</v>
      </c>
      <c r="O2739" s="13">
        <f t="shared" si="183"/>
        <v>0</v>
      </c>
    </row>
    <row r="2740" spans="2:15">
      <c r="B2740" s="12">
        <v>23</v>
      </c>
      <c r="C2740" s="4" t="s">
        <v>152</v>
      </c>
      <c r="D2740" s="4" t="s">
        <v>154</v>
      </c>
      <c r="E2740" s="4">
        <v>10</v>
      </c>
      <c r="F2740" s="4">
        <v>5</v>
      </c>
      <c r="G2740" s="4">
        <v>9</v>
      </c>
      <c r="H2740" s="115"/>
      <c r="I2740" s="115"/>
      <c r="J2740" s="115"/>
      <c r="K2740" s="115">
        <v>0</v>
      </c>
      <c r="L2740" s="12">
        <f t="shared" si="180"/>
        <v>0</v>
      </c>
      <c r="M2740" s="4">
        <f t="shared" si="181"/>
        <v>0</v>
      </c>
      <c r="N2740" s="4">
        <f t="shared" si="182"/>
        <v>0</v>
      </c>
      <c r="O2740" s="13">
        <f t="shared" si="183"/>
        <v>0</v>
      </c>
    </row>
    <row r="2741" spans="2:15" ht="13.8" thickBot="1">
      <c r="B2741" s="14">
        <v>23</v>
      </c>
      <c r="C2741" s="15" t="s">
        <v>152</v>
      </c>
      <c r="D2741" s="15" t="s">
        <v>154</v>
      </c>
      <c r="E2741" s="15">
        <v>10</v>
      </c>
      <c r="F2741" s="15">
        <v>5</v>
      </c>
      <c r="G2741" s="15">
        <v>10</v>
      </c>
      <c r="H2741" s="121"/>
      <c r="I2741" s="121"/>
      <c r="J2741" s="121"/>
      <c r="K2741" s="121">
        <v>0</v>
      </c>
      <c r="L2741" s="14">
        <f t="shared" si="180"/>
        <v>0</v>
      </c>
      <c r="M2741" s="15">
        <f t="shared" si="181"/>
        <v>0</v>
      </c>
      <c r="N2741" s="15">
        <f t="shared" si="182"/>
        <v>0</v>
      </c>
      <c r="O2741" s="16">
        <f t="shared" si="183"/>
        <v>0</v>
      </c>
    </row>
    <row r="2742" spans="2:15">
      <c r="B2742" s="9">
        <v>23</v>
      </c>
      <c r="C2742" s="10" t="s">
        <v>152</v>
      </c>
      <c r="D2742" s="10" t="s">
        <v>149</v>
      </c>
      <c r="E2742" s="93">
        <v>11</v>
      </c>
      <c r="F2742" s="93">
        <v>11</v>
      </c>
      <c r="G2742" s="10">
        <v>1</v>
      </c>
      <c r="H2742" s="120">
        <v>8.0349999999999682</v>
      </c>
      <c r="I2742" s="120">
        <v>0.75099999999997635</v>
      </c>
      <c r="J2742" s="120">
        <v>1.1499999999998636</v>
      </c>
      <c r="K2742" s="120">
        <v>9.9359999999998081</v>
      </c>
      <c r="L2742" s="9">
        <f t="shared" si="180"/>
        <v>0.9559281568969491</v>
      </c>
      <c r="M2742" s="10">
        <f t="shared" si="181"/>
        <v>0.24328614608344026</v>
      </c>
      <c r="N2742" s="10">
        <f t="shared" si="182"/>
        <v>0.3324384599155778</v>
      </c>
      <c r="O2742" s="11">
        <f t="shared" si="183"/>
        <v>1.0388585015597582</v>
      </c>
    </row>
    <row r="2743" spans="2:15">
      <c r="B2743" s="12">
        <v>23</v>
      </c>
      <c r="C2743" s="4" t="s">
        <v>152</v>
      </c>
      <c r="D2743" s="4" t="s">
        <v>149</v>
      </c>
      <c r="E2743" s="4">
        <v>11</v>
      </c>
      <c r="F2743" s="4">
        <v>11</v>
      </c>
      <c r="G2743" s="4">
        <v>2</v>
      </c>
      <c r="H2743" s="115"/>
      <c r="I2743" s="115"/>
      <c r="J2743" s="115"/>
      <c r="K2743" s="115">
        <v>0</v>
      </c>
      <c r="L2743" s="12">
        <f t="shared" si="180"/>
        <v>0</v>
      </c>
      <c r="M2743" s="4">
        <f t="shared" si="181"/>
        <v>0</v>
      </c>
      <c r="N2743" s="4">
        <f t="shared" si="182"/>
        <v>0</v>
      </c>
      <c r="O2743" s="13">
        <f t="shared" si="183"/>
        <v>0</v>
      </c>
    </row>
    <row r="2744" spans="2:15">
      <c r="B2744" s="12">
        <v>23</v>
      </c>
      <c r="C2744" s="4" t="s">
        <v>152</v>
      </c>
      <c r="D2744" s="4" t="s">
        <v>149</v>
      </c>
      <c r="E2744" s="4">
        <v>11</v>
      </c>
      <c r="F2744" s="4">
        <v>11</v>
      </c>
      <c r="G2744" s="4">
        <v>3</v>
      </c>
      <c r="H2744" s="115"/>
      <c r="I2744" s="115"/>
      <c r="J2744" s="115"/>
      <c r="K2744" s="115">
        <v>0</v>
      </c>
      <c r="L2744" s="12">
        <f t="shared" si="180"/>
        <v>0</v>
      </c>
      <c r="M2744" s="4">
        <f t="shared" si="181"/>
        <v>0</v>
      </c>
      <c r="N2744" s="4">
        <f t="shared" si="182"/>
        <v>0</v>
      </c>
      <c r="O2744" s="13">
        <f t="shared" si="183"/>
        <v>0</v>
      </c>
    </row>
    <row r="2745" spans="2:15">
      <c r="B2745" s="12">
        <v>23</v>
      </c>
      <c r="C2745" s="4" t="s">
        <v>152</v>
      </c>
      <c r="D2745" s="4" t="s">
        <v>149</v>
      </c>
      <c r="E2745" s="4">
        <v>11</v>
      </c>
      <c r="F2745" s="4">
        <v>11</v>
      </c>
      <c r="G2745" s="4">
        <v>4</v>
      </c>
      <c r="H2745" s="115"/>
      <c r="I2745" s="115"/>
      <c r="J2745" s="115"/>
      <c r="K2745" s="115">
        <v>0</v>
      </c>
      <c r="L2745" s="12">
        <f t="shared" si="180"/>
        <v>0</v>
      </c>
      <c r="M2745" s="4">
        <f t="shared" si="181"/>
        <v>0</v>
      </c>
      <c r="N2745" s="4">
        <f t="shared" si="182"/>
        <v>0</v>
      </c>
      <c r="O2745" s="13">
        <f t="shared" si="183"/>
        <v>0</v>
      </c>
    </row>
    <row r="2746" spans="2:15">
      <c r="B2746" s="12">
        <v>23</v>
      </c>
      <c r="C2746" s="4" t="s">
        <v>152</v>
      </c>
      <c r="D2746" s="4" t="s">
        <v>149</v>
      </c>
      <c r="E2746" s="4">
        <v>11</v>
      </c>
      <c r="F2746" s="4">
        <v>11</v>
      </c>
      <c r="G2746" s="4">
        <v>5</v>
      </c>
      <c r="H2746" s="115"/>
      <c r="I2746" s="115"/>
      <c r="J2746" s="115"/>
      <c r="K2746" s="115">
        <v>0</v>
      </c>
      <c r="L2746" s="12">
        <f t="shared" si="180"/>
        <v>0</v>
      </c>
      <c r="M2746" s="4">
        <f t="shared" si="181"/>
        <v>0</v>
      </c>
      <c r="N2746" s="4">
        <f t="shared" si="182"/>
        <v>0</v>
      </c>
      <c r="O2746" s="13">
        <f t="shared" si="183"/>
        <v>0</v>
      </c>
    </row>
    <row r="2747" spans="2:15">
      <c r="B2747" s="12">
        <v>23</v>
      </c>
      <c r="C2747" s="4" t="s">
        <v>152</v>
      </c>
      <c r="D2747" s="4" t="s">
        <v>149</v>
      </c>
      <c r="E2747" s="4">
        <v>11</v>
      </c>
      <c r="F2747" s="4">
        <v>11</v>
      </c>
      <c r="G2747" s="4">
        <v>6</v>
      </c>
      <c r="H2747" s="115"/>
      <c r="I2747" s="115"/>
      <c r="J2747" s="115"/>
      <c r="K2747" s="115">
        <v>0</v>
      </c>
      <c r="L2747" s="12">
        <f t="shared" si="180"/>
        <v>0</v>
      </c>
      <c r="M2747" s="4">
        <f t="shared" si="181"/>
        <v>0</v>
      </c>
      <c r="N2747" s="4">
        <f t="shared" si="182"/>
        <v>0</v>
      </c>
      <c r="O2747" s="13">
        <f t="shared" si="183"/>
        <v>0</v>
      </c>
    </row>
    <row r="2748" spans="2:15">
      <c r="B2748" s="12">
        <v>23</v>
      </c>
      <c r="C2748" s="4" t="s">
        <v>152</v>
      </c>
      <c r="D2748" s="4" t="s">
        <v>149</v>
      </c>
      <c r="E2748" s="4">
        <v>11</v>
      </c>
      <c r="F2748" s="4">
        <v>11</v>
      </c>
      <c r="G2748" s="4">
        <v>7</v>
      </c>
      <c r="H2748" s="115"/>
      <c r="I2748" s="115"/>
      <c r="J2748" s="115"/>
      <c r="K2748" s="115">
        <v>0</v>
      </c>
      <c r="L2748" s="12">
        <f t="shared" si="180"/>
        <v>0</v>
      </c>
      <c r="M2748" s="4">
        <f t="shared" si="181"/>
        <v>0</v>
      </c>
      <c r="N2748" s="4">
        <f t="shared" si="182"/>
        <v>0</v>
      </c>
      <c r="O2748" s="13">
        <f t="shared" si="183"/>
        <v>0</v>
      </c>
    </row>
    <row r="2749" spans="2:15">
      <c r="B2749" s="12">
        <v>23</v>
      </c>
      <c r="C2749" s="4" t="s">
        <v>152</v>
      </c>
      <c r="D2749" s="4" t="s">
        <v>149</v>
      </c>
      <c r="E2749" s="4">
        <v>11</v>
      </c>
      <c r="F2749" s="4">
        <v>11</v>
      </c>
      <c r="G2749" s="4">
        <v>8</v>
      </c>
      <c r="H2749" s="115"/>
      <c r="I2749" s="115"/>
      <c r="J2749" s="115"/>
      <c r="K2749" s="115">
        <v>0</v>
      </c>
      <c r="L2749" s="12">
        <f t="shared" si="180"/>
        <v>0</v>
      </c>
      <c r="M2749" s="4">
        <f t="shared" si="181"/>
        <v>0</v>
      </c>
      <c r="N2749" s="4">
        <f t="shared" si="182"/>
        <v>0</v>
      </c>
      <c r="O2749" s="13">
        <f t="shared" si="183"/>
        <v>0</v>
      </c>
    </row>
    <row r="2750" spans="2:15">
      <c r="B2750" s="12">
        <v>23</v>
      </c>
      <c r="C2750" s="4" t="s">
        <v>152</v>
      </c>
      <c r="D2750" s="4" t="s">
        <v>149</v>
      </c>
      <c r="E2750" s="4">
        <v>11</v>
      </c>
      <c r="F2750" s="4">
        <v>11</v>
      </c>
      <c r="G2750" s="4">
        <v>9</v>
      </c>
      <c r="H2750" s="115"/>
      <c r="I2750" s="115"/>
      <c r="J2750" s="115"/>
      <c r="K2750" s="115">
        <v>0</v>
      </c>
      <c r="L2750" s="12">
        <f t="shared" si="180"/>
        <v>0</v>
      </c>
      <c r="M2750" s="4">
        <f t="shared" si="181"/>
        <v>0</v>
      </c>
      <c r="N2750" s="4">
        <f t="shared" si="182"/>
        <v>0</v>
      </c>
      <c r="O2750" s="13">
        <f t="shared" si="183"/>
        <v>0</v>
      </c>
    </row>
    <row r="2751" spans="2:15" ht="13.8" thickBot="1">
      <c r="B2751" s="14">
        <v>23</v>
      </c>
      <c r="C2751" s="15" t="s">
        <v>152</v>
      </c>
      <c r="D2751" s="15" t="s">
        <v>149</v>
      </c>
      <c r="E2751" s="15">
        <v>11</v>
      </c>
      <c r="F2751" s="15">
        <v>11</v>
      </c>
      <c r="G2751" s="15">
        <v>10</v>
      </c>
      <c r="H2751" s="121"/>
      <c r="I2751" s="121"/>
      <c r="J2751" s="121"/>
      <c r="K2751" s="121">
        <v>0</v>
      </c>
      <c r="L2751" s="14">
        <f t="shared" si="180"/>
        <v>0</v>
      </c>
      <c r="M2751" s="15">
        <f t="shared" si="181"/>
        <v>0</v>
      </c>
      <c r="N2751" s="15">
        <f t="shared" si="182"/>
        <v>0</v>
      </c>
      <c r="O2751" s="16">
        <f t="shared" si="183"/>
        <v>0</v>
      </c>
    </row>
    <row r="2752" spans="2:15">
      <c r="B2752" s="9">
        <v>23</v>
      </c>
      <c r="C2752" s="10" t="s">
        <v>152</v>
      </c>
      <c r="D2752" s="10" t="s">
        <v>150</v>
      </c>
      <c r="E2752" s="93">
        <v>12</v>
      </c>
      <c r="F2752" s="93">
        <v>1</v>
      </c>
      <c r="G2752" s="10">
        <v>1</v>
      </c>
      <c r="H2752" s="120">
        <v>2.5500000000000114</v>
      </c>
      <c r="I2752" s="120">
        <v>0.51600000000000534</v>
      </c>
      <c r="J2752" s="120">
        <v>0.91599999999998261</v>
      </c>
      <c r="K2752" s="120">
        <v>3.9819999999999993</v>
      </c>
      <c r="L2752" s="9">
        <f t="shared" si="180"/>
        <v>0.55022835305509543</v>
      </c>
      <c r="M2752" s="10">
        <f t="shared" si="181"/>
        <v>0.18069920129603625</v>
      </c>
      <c r="N2752" s="10">
        <f t="shared" si="182"/>
        <v>0.28239550474252167</v>
      </c>
      <c r="O2752" s="11">
        <f t="shared" si="183"/>
        <v>0.6974037232004876</v>
      </c>
    </row>
    <row r="2753" spans="2:15">
      <c r="B2753" s="12">
        <v>23</v>
      </c>
      <c r="C2753" s="4" t="s">
        <v>152</v>
      </c>
      <c r="D2753" s="4" t="s">
        <v>150</v>
      </c>
      <c r="E2753" s="4">
        <v>12</v>
      </c>
      <c r="F2753" s="4">
        <v>1</v>
      </c>
      <c r="G2753" s="4">
        <v>2</v>
      </c>
      <c r="H2753" s="115">
        <v>1.0180000000000007</v>
      </c>
      <c r="I2753" s="115"/>
      <c r="J2753" s="115"/>
      <c r="K2753" s="115">
        <v>1.0180000000000007</v>
      </c>
      <c r="L2753" s="12">
        <f t="shared" si="180"/>
        <v>0.30492116190089186</v>
      </c>
      <c r="M2753" s="4">
        <f t="shared" si="181"/>
        <v>0</v>
      </c>
      <c r="N2753" s="4">
        <f t="shared" si="182"/>
        <v>0</v>
      </c>
      <c r="O2753" s="13">
        <f t="shared" si="183"/>
        <v>0.30492116190089186</v>
      </c>
    </row>
    <row r="2754" spans="2:15">
      <c r="B2754" s="12">
        <v>23</v>
      </c>
      <c r="C2754" s="4" t="s">
        <v>152</v>
      </c>
      <c r="D2754" s="4" t="s">
        <v>150</v>
      </c>
      <c r="E2754" s="4">
        <v>12</v>
      </c>
      <c r="F2754" s="4">
        <v>1</v>
      </c>
      <c r="G2754" s="4">
        <v>3</v>
      </c>
      <c r="H2754" s="115">
        <v>0.51600000000000534</v>
      </c>
      <c r="I2754" s="115">
        <v>1.25</v>
      </c>
      <c r="J2754" s="115"/>
      <c r="K2754" s="115">
        <v>1.7660000000000053</v>
      </c>
      <c r="L2754" s="12">
        <f t="shared" si="180"/>
        <v>0.18069920129603625</v>
      </c>
      <c r="M2754" s="4">
        <f t="shared" si="181"/>
        <v>0.35218251811136247</v>
      </c>
      <c r="N2754" s="4">
        <f t="shared" si="182"/>
        <v>0</v>
      </c>
      <c r="O2754" s="13">
        <f t="shared" si="183"/>
        <v>0.44185217577329261</v>
      </c>
    </row>
    <row r="2755" spans="2:15">
      <c r="B2755" s="12">
        <v>23</v>
      </c>
      <c r="C2755" s="4" t="s">
        <v>152</v>
      </c>
      <c r="D2755" s="4" t="s">
        <v>150</v>
      </c>
      <c r="E2755" s="4">
        <v>12</v>
      </c>
      <c r="F2755" s="4">
        <v>1</v>
      </c>
      <c r="G2755" s="4">
        <v>4</v>
      </c>
      <c r="H2755" s="115"/>
      <c r="I2755" s="115"/>
      <c r="J2755" s="115"/>
      <c r="K2755" s="115">
        <v>0</v>
      </c>
      <c r="L2755" s="12">
        <f t="shared" si="180"/>
        <v>0</v>
      </c>
      <c r="M2755" s="4">
        <f t="shared" si="181"/>
        <v>0</v>
      </c>
      <c r="N2755" s="4">
        <f t="shared" si="182"/>
        <v>0</v>
      </c>
      <c r="O2755" s="13">
        <f t="shared" si="183"/>
        <v>0</v>
      </c>
    </row>
    <row r="2756" spans="2:15">
      <c r="B2756" s="12">
        <v>23</v>
      </c>
      <c r="C2756" s="4" t="s">
        <v>152</v>
      </c>
      <c r="D2756" s="4" t="s">
        <v>150</v>
      </c>
      <c r="E2756" s="4">
        <v>12</v>
      </c>
      <c r="F2756" s="4">
        <v>1</v>
      </c>
      <c r="G2756" s="4">
        <v>5</v>
      </c>
      <c r="H2756" s="115"/>
      <c r="I2756" s="115"/>
      <c r="J2756" s="115"/>
      <c r="K2756" s="115">
        <v>0</v>
      </c>
      <c r="L2756" s="12">
        <f t="shared" si="180"/>
        <v>0</v>
      </c>
      <c r="M2756" s="4">
        <f t="shared" si="181"/>
        <v>0</v>
      </c>
      <c r="N2756" s="4">
        <f t="shared" si="182"/>
        <v>0</v>
      </c>
      <c r="O2756" s="13">
        <f t="shared" si="183"/>
        <v>0</v>
      </c>
    </row>
    <row r="2757" spans="2:15">
      <c r="B2757" s="12">
        <v>23</v>
      </c>
      <c r="C2757" s="4" t="s">
        <v>152</v>
      </c>
      <c r="D2757" s="4" t="s">
        <v>150</v>
      </c>
      <c r="E2757" s="4">
        <v>12</v>
      </c>
      <c r="F2757" s="4">
        <v>1</v>
      </c>
      <c r="G2757" s="4">
        <v>6</v>
      </c>
      <c r="H2757" s="115"/>
      <c r="I2757" s="115"/>
      <c r="J2757" s="115"/>
      <c r="K2757" s="115">
        <v>0</v>
      </c>
      <c r="L2757" s="12">
        <f t="shared" si="180"/>
        <v>0</v>
      </c>
      <c r="M2757" s="4">
        <f t="shared" si="181"/>
        <v>0</v>
      </c>
      <c r="N2757" s="4">
        <f t="shared" si="182"/>
        <v>0</v>
      </c>
      <c r="O2757" s="13">
        <f t="shared" si="183"/>
        <v>0</v>
      </c>
    </row>
    <row r="2758" spans="2:15">
      <c r="B2758" s="12">
        <v>23</v>
      </c>
      <c r="C2758" s="4" t="s">
        <v>152</v>
      </c>
      <c r="D2758" s="4" t="s">
        <v>150</v>
      </c>
      <c r="E2758" s="4">
        <v>12</v>
      </c>
      <c r="F2758" s="4">
        <v>1</v>
      </c>
      <c r="G2758" s="4">
        <v>7</v>
      </c>
      <c r="H2758" s="115"/>
      <c r="I2758" s="115"/>
      <c r="J2758" s="115"/>
      <c r="K2758" s="115">
        <v>0</v>
      </c>
      <c r="L2758" s="12">
        <f t="shared" si="180"/>
        <v>0</v>
      </c>
      <c r="M2758" s="4">
        <f t="shared" si="181"/>
        <v>0</v>
      </c>
      <c r="N2758" s="4">
        <f t="shared" si="182"/>
        <v>0</v>
      </c>
      <c r="O2758" s="13">
        <f t="shared" si="183"/>
        <v>0</v>
      </c>
    </row>
    <row r="2759" spans="2:15">
      <c r="B2759" s="12">
        <v>23</v>
      </c>
      <c r="C2759" s="4" t="s">
        <v>152</v>
      </c>
      <c r="D2759" s="4" t="s">
        <v>150</v>
      </c>
      <c r="E2759" s="4">
        <v>12</v>
      </c>
      <c r="F2759" s="4">
        <v>1</v>
      </c>
      <c r="G2759" s="4">
        <v>8</v>
      </c>
      <c r="H2759" s="115"/>
      <c r="I2759" s="115"/>
      <c r="J2759" s="115"/>
      <c r="K2759" s="115">
        <v>0</v>
      </c>
      <c r="L2759" s="12">
        <f t="shared" si="180"/>
        <v>0</v>
      </c>
      <c r="M2759" s="4">
        <f t="shared" si="181"/>
        <v>0</v>
      </c>
      <c r="N2759" s="4">
        <f t="shared" si="182"/>
        <v>0</v>
      </c>
      <c r="O2759" s="13">
        <f t="shared" si="183"/>
        <v>0</v>
      </c>
    </row>
    <row r="2760" spans="2:15">
      <c r="B2760" s="12">
        <v>23</v>
      </c>
      <c r="C2760" s="4" t="s">
        <v>152</v>
      </c>
      <c r="D2760" s="4" t="s">
        <v>150</v>
      </c>
      <c r="E2760" s="4">
        <v>12</v>
      </c>
      <c r="F2760" s="4">
        <v>1</v>
      </c>
      <c r="G2760" s="4">
        <v>9</v>
      </c>
      <c r="H2760" s="115"/>
      <c r="I2760" s="115"/>
      <c r="J2760" s="115"/>
      <c r="K2760" s="115">
        <v>0</v>
      </c>
      <c r="L2760" s="12">
        <f t="shared" si="180"/>
        <v>0</v>
      </c>
      <c r="M2760" s="4">
        <f t="shared" si="181"/>
        <v>0</v>
      </c>
      <c r="N2760" s="4">
        <f t="shared" si="182"/>
        <v>0</v>
      </c>
      <c r="O2760" s="13">
        <f t="shared" si="183"/>
        <v>0</v>
      </c>
    </row>
    <row r="2761" spans="2:15" ht="13.8" thickBot="1">
      <c r="B2761" s="14">
        <v>23</v>
      </c>
      <c r="C2761" s="15" t="s">
        <v>152</v>
      </c>
      <c r="D2761" s="15" t="s">
        <v>150</v>
      </c>
      <c r="E2761" s="15">
        <v>12</v>
      </c>
      <c r="F2761" s="15">
        <v>1</v>
      </c>
      <c r="G2761" s="15">
        <v>10</v>
      </c>
      <c r="H2761" s="121"/>
      <c r="I2761" s="121"/>
      <c r="J2761" s="121"/>
      <c r="K2761" s="121">
        <v>0</v>
      </c>
      <c r="L2761" s="14">
        <f t="shared" si="180"/>
        <v>0</v>
      </c>
      <c r="M2761" s="15">
        <f t="shared" si="181"/>
        <v>0</v>
      </c>
      <c r="N2761" s="15">
        <f t="shared" si="182"/>
        <v>0</v>
      </c>
      <c r="O2761" s="16">
        <f t="shared" si="183"/>
        <v>0</v>
      </c>
    </row>
    <row r="2762" spans="2:15">
      <c r="B2762" s="9">
        <v>24</v>
      </c>
      <c r="C2762" s="10" t="s">
        <v>151</v>
      </c>
      <c r="D2762" s="10" t="s">
        <v>150</v>
      </c>
      <c r="E2762" s="93">
        <v>1</v>
      </c>
      <c r="F2762" s="93">
        <v>2</v>
      </c>
      <c r="G2762" s="10">
        <v>1</v>
      </c>
      <c r="H2762" s="120">
        <v>2.8990000000000293</v>
      </c>
      <c r="I2762" s="120">
        <v>0.61599999999999966</v>
      </c>
      <c r="J2762" s="120">
        <v>2.5819999999999652</v>
      </c>
      <c r="K2762" s="120">
        <v>6.0969999999999942</v>
      </c>
      <c r="L2762" s="9">
        <f t="shared" si="180"/>
        <v>0.59095323518798903</v>
      </c>
      <c r="M2762" s="10">
        <f t="shared" si="181"/>
        <v>0.20844135643856726</v>
      </c>
      <c r="N2762" s="10">
        <f t="shared" si="182"/>
        <v>0.5541255815130085</v>
      </c>
      <c r="O2762" s="11">
        <f t="shared" si="183"/>
        <v>0.85107480522888657</v>
      </c>
    </row>
    <row r="2763" spans="2:15">
      <c r="B2763" s="12">
        <v>24</v>
      </c>
      <c r="C2763" s="4" t="s">
        <v>151</v>
      </c>
      <c r="D2763" s="4" t="s">
        <v>150</v>
      </c>
      <c r="E2763" s="4">
        <v>1</v>
      </c>
      <c r="F2763" s="4">
        <v>2</v>
      </c>
      <c r="G2763" s="4">
        <v>2</v>
      </c>
      <c r="H2763" s="115">
        <v>0.28300000000000125</v>
      </c>
      <c r="I2763" s="115"/>
      <c r="J2763" s="115"/>
      <c r="K2763" s="115">
        <v>0.28300000000000125</v>
      </c>
      <c r="L2763" s="12">
        <f t="shared" si="180"/>
        <v>0.10822665637492893</v>
      </c>
      <c r="M2763" s="4">
        <f t="shared" si="181"/>
        <v>0</v>
      </c>
      <c r="N2763" s="4">
        <f t="shared" si="182"/>
        <v>0</v>
      </c>
      <c r="O2763" s="13">
        <f t="shared" si="183"/>
        <v>0.10822665637492893</v>
      </c>
    </row>
    <row r="2764" spans="2:15">
      <c r="B2764" s="12">
        <v>24</v>
      </c>
      <c r="C2764" s="4" t="s">
        <v>151</v>
      </c>
      <c r="D2764" s="4" t="s">
        <v>150</v>
      </c>
      <c r="E2764" s="4">
        <v>1</v>
      </c>
      <c r="F2764" s="4">
        <v>2</v>
      </c>
      <c r="G2764" s="4">
        <v>3</v>
      </c>
      <c r="H2764" s="115"/>
      <c r="I2764" s="115"/>
      <c r="J2764" s="115"/>
      <c r="K2764" s="115">
        <v>0</v>
      </c>
      <c r="L2764" s="12">
        <f t="shared" si="180"/>
        <v>0</v>
      </c>
      <c r="M2764" s="4">
        <f t="shared" si="181"/>
        <v>0</v>
      </c>
      <c r="N2764" s="4">
        <f t="shared" si="182"/>
        <v>0</v>
      </c>
      <c r="O2764" s="13">
        <f t="shared" si="183"/>
        <v>0</v>
      </c>
    </row>
    <row r="2765" spans="2:15">
      <c r="B2765" s="12">
        <v>24</v>
      </c>
      <c r="C2765" s="4" t="s">
        <v>151</v>
      </c>
      <c r="D2765" s="4" t="s">
        <v>150</v>
      </c>
      <c r="E2765" s="4">
        <v>1</v>
      </c>
      <c r="F2765" s="4">
        <v>2</v>
      </c>
      <c r="G2765" s="4">
        <v>4</v>
      </c>
      <c r="H2765" s="115"/>
      <c r="I2765" s="115"/>
      <c r="J2765" s="115"/>
      <c r="K2765" s="115">
        <v>0</v>
      </c>
      <c r="L2765" s="12">
        <f t="shared" si="180"/>
        <v>0</v>
      </c>
      <c r="M2765" s="4">
        <f t="shared" si="181"/>
        <v>0</v>
      </c>
      <c r="N2765" s="4">
        <f t="shared" si="182"/>
        <v>0</v>
      </c>
      <c r="O2765" s="13">
        <f t="shared" si="183"/>
        <v>0</v>
      </c>
    </row>
    <row r="2766" spans="2:15">
      <c r="B2766" s="12">
        <v>24</v>
      </c>
      <c r="C2766" s="4" t="s">
        <v>151</v>
      </c>
      <c r="D2766" s="4" t="s">
        <v>150</v>
      </c>
      <c r="E2766" s="4">
        <v>1</v>
      </c>
      <c r="F2766" s="4">
        <v>2</v>
      </c>
      <c r="G2766" s="4">
        <v>5</v>
      </c>
      <c r="H2766" s="115"/>
      <c r="I2766" s="115"/>
      <c r="J2766" s="115"/>
      <c r="K2766" s="115">
        <v>0</v>
      </c>
      <c r="L2766" s="12">
        <f t="shared" si="180"/>
        <v>0</v>
      </c>
      <c r="M2766" s="4">
        <f t="shared" si="181"/>
        <v>0</v>
      </c>
      <c r="N2766" s="4">
        <f t="shared" si="182"/>
        <v>0</v>
      </c>
      <c r="O2766" s="13">
        <f t="shared" si="183"/>
        <v>0</v>
      </c>
    </row>
    <row r="2767" spans="2:15">
      <c r="B2767" s="12">
        <v>24</v>
      </c>
      <c r="C2767" s="4" t="s">
        <v>151</v>
      </c>
      <c r="D2767" s="4" t="s">
        <v>150</v>
      </c>
      <c r="E2767" s="4">
        <v>1</v>
      </c>
      <c r="F2767" s="4">
        <v>2</v>
      </c>
      <c r="G2767" s="4">
        <v>6</v>
      </c>
      <c r="H2767" s="115"/>
      <c r="I2767" s="115"/>
      <c r="J2767" s="115"/>
      <c r="K2767" s="115">
        <v>0</v>
      </c>
      <c r="L2767" s="12">
        <f t="shared" si="180"/>
        <v>0</v>
      </c>
      <c r="M2767" s="4">
        <f t="shared" si="181"/>
        <v>0</v>
      </c>
      <c r="N2767" s="4">
        <f t="shared" si="182"/>
        <v>0</v>
      </c>
      <c r="O2767" s="13">
        <f t="shared" si="183"/>
        <v>0</v>
      </c>
    </row>
    <row r="2768" spans="2:15">
      <c r="B2768" s="12">
        <v>24</v>
      </c>
      <c r="C2768" s="4" t="s">
        <v>151</v>
      </c>
      <c r="D2768" s="4" t="s">
        <v>150</v>
      </c>
      <c r="E2768" s="4">
        <v>1</v>
      </c>
      <c r="F2768" s="4">
        <v>2</v>
      </c>
      <c r="G2768" s="4">
        <v>7</v>
      </c>
      <c r="H2768" s="115"/>
      <c r="I2768" s="115"/>
      <c r="J2768" s="115"/>
      <c r="K2768" s="115">
        <v>0</v>
      </c>
      <c r="L2768" s="12">
        <f t="shared" si="180"/>
        <v>0</v>
      </c>
      <c r="M2768" s="4">
        <f t="shared" si="181"/>
        <v>0</v>
      </c>
      <c r="N2768" s="4">
        <f t="shared" si="182"/>
        <v>0</v>
      </c>
      <c r="O2768" s="13">
        <f t="shared" si="183"/>
        <v>0</v>
      </c>
    </row>
    <row r="2769" spans="2:15">
      <c r="B2769" s="12">
        <v>24</v>
      </c>
      <c r="C2769" s="4" t="s">
        <v>151</v>
      </c>
      <c r="D2769" s="4" t="s">
        <v>150</v>
      </c>
      <c r="E2769" s="4">
        <v>1</v>
      </c>
      <c r="F2769" s="4">
        <v>2</v>
      </c>
      <c r="G2769" s="4">
        <v>8</v>
      </c>
      <c r="H2769" s="115"/>
      <c r="I2769" s="115"/>
      <c r="J2769" s="115"/>
      <c r="K2769" s="115">
        <v>0</v>
      </c>
      <c r="L2769" s="12">
        <f t="shared" si="180"/>
        <v>0</v>
      </c>
      <c r="M2769" s="4">
        <f t="shared" si="181"/>
        <v>0</v>
      </c>
      <c r="N2769" s="4">
        <f t="shared" si="182"/>
        <v>0</v>
      </c>
      <c r="O2769" s="13">
        <f t="shared" si="183"/>
        <v>0</v>
      </c>
    </row>
    <row r="2770" spans="2:15">
      <c r="B2770" s="12">
        <v>24</v>
      </c>
      <c r="C2770" s="4" t="s">
        <v>151</v>
      </c>
      <c r="D2770" s="4" t="s">
        <v>150</v>
      </c>
      <c r="E2770" s="4">
        <v>1</v>
      </c>
      <c r="F2770" s="4">
        <v>2</v>
      </c>
      <c r="G2770" s="4">
        <v>9</v>
      </c>
      <c r="H2770" s="115"/>
      <c r="I2770" s="115"/>
      <c r="J2770" s="115"/>
      <c r="K2770" s="115">
        <v>0</v>
      </c>
      <c r="L2770" s="12">
        <f t="shared" si="180"/>
        <v>0</v>
      </c>
      <c r="M2770" s="4">
        <f t="shared" si="181"/>
        <v>0</v>
      </c>
      <c r="N2770" s="4">
        <f t="shared" si="182"/>
        <v>0</v>
      </c>
      <c r="O2770" s="13">
        <f t="shared" si="183"/>
        <v>0</v>
      </c>
    </row>
    <row r="2771" spans="2:15" ht="13.8" thickBot="1">
      <c r="B2771" s="14">
        <v>24</v>
      </c>
      <c r="C2771" s="15" t="s">
        <v>151</v>
      </c>
      <c r="D2771" s="15" t="s">
        <v>150</v>
      </c>
      <c r="E2771" s="15">
        <v>1</v>
      </c>
      <c r="F2771" s="15">
        <v>2</v>
      </c>
      <c r="G2771" s="15">
        <v>10</v>
      </c>
      <c r="H2771" s="121"/>
      <c r="I2771" s="121"/>
      <c r="J2771" s="121"/>
      <c r="K2771" s="121">
        <v>0</v>
      </c>
      <c r="L2771" s="14">
        <f t="shared" si="180"/>
        <v>0</v>
      </c>
      <c r="M2771" s="15">
        <f t="shared" si="181"/>
        <v>0</v>
      </c>
      <c r="N2771" s="15">
        <f t="shared" si="182"/>
        <v>0</v>
      </c>
      <c r="O2771" s="16">
        <f t="shared" si="183"/>
        <v>0</v>
      </c>
    </row>
    <row r="2772" spans="2:15">
      <c r="B2772" s="9">
        <v>24</v>
      </c>
      <c r="C2772" s="10" t="s">
        <v>151</v>
      </c>
      <c r="D2772" s="10" t="s">
        <v>154</v>
      </c>
      <c r="E2772" s="93">
        <v>2</v>
      </c>
      <c r="F2772" s="93">
        <v>12</v>
      </c>
      <c r="G2772" s="10">
        <v>1</v>
      </c>
      <c r="H2772" s="120">
        <v>0.78300000000001546</v>
      </c>
      <c r="I2772" s="120">
        <v>0.40099999999995362</v>
      </c>
      <c r="J2772" s="120">
        <v>0.24999999999988631</v>
      </c>
      <c r="K2772" s="120">
        <v>1.4339999999998554</v>
      </c>
      <c r="L2772" s="9">
        <f t="shared" si="180"/>
        <v>0.25115134317535837</v>
      </c>
      <c r="M2772" s="10">
        <f t="shared" si="181"/>
        <v>0.14643813528576022</v>
      </c>
      <c r="N2772" s="10">
        <f t="shared" si="182"/>
        <v>9.691001300801691E-2</v>
      </c>
      <c r="O2772" s="11">
        <f t="shared" si="183"/>
        <v>0.38632057389402036</v>
      </c>
    </row>
    <row r="2773" spans="2:15">
      <c r="B2773" s="12">
        <v>24</v>
      </c>
      <c r="C2773" s="4" t="s">
        <v>151</v>
      </c>
      <c r="D2773" s="4" t="s">
        <v>154</v>
      </c>
      <c r="E2773" s="4">
        <v>2</v>
      </c>
      <c r="F2773" s="4">
        <v>12</v>
      </c>
      <c r="G2773" s="4">
        <v>2</v>
      </c>
      <c r="H2773" s="115">
        <v>0.20000000000004547</v>
      </c>
      <c r="I2773" s="115">
        <v>0.10000000000002274</v>
      </c>
      <c r="J2773" s="115"/>
      <c r="K2773" s="115">
        <v>0.30000000000006821</v>
      </c>
      <c r="L2773" s="12">
        <f t="shared" si="180"/>
        <v>7.918124604764129E-2</v>
      </c>
      <c r="M2773" s="4">
        <f t="shared" si="181"/>
        <v>4.1392685158234015E-2</v>
      </c>
      <c r="N2773" s="4">
        <f t="shared" si="182"/>
        <v>0</v>
      </c>
      <c r="O2773" s="13">
        <f t="shared" si="183"/>
        <v>0.11394335230685956</v>
      </c>
    </row>
    <row r="2774" spans="2:15">
      <c r="B2774" s="12">
        <v>24</v>
      </c>
      <c r="C2774" s="4" t="s">
        <v>151</v>
      </c>
      <c r="D2774" s="4" t="s">
        <v>154</v>
      </c>
      <c r="E2774" s="4">
        <v>2</v>
      </c>
      <c r="F2774" s="4">
        <v>12</v>
      </c>
      <c r="G2774" s="4">
        <v>3</v>
      </c>
      <c r="H2774" s="115"/>
      <c r="I2774" s="115">
        <v>0.18299999999999272</v>
      </c>
      <c r="J2774" s="115"/>
      <c r="K2774" s="115">
        <v>0.18299999999999272</v>
      </c>
      <c r="L2774" s="12">
        <f t="shared" si="180"/>
        <v>0</v>
      </c>
      <c r="M2774" s="4">
        <f t="shared" si="181"/>
        <v>7.29847446279277E-2</v>
      </c>
      <c r="N2774" s="4">
        <f t="shared" si="182"/>
        <v>0</v>
      </c>
      <c r="O2774" s="13">
        <f t="shared" si="183"/>
        <v>7.29847446279277E-2</v>
      </c>
    </row>
    <row r="2775" spans="2:15">
      <c r="B2775" s="12">
        <v>24</v>
      </c>
      <c r="C2775" s="4" t="s">
        <v>151</v>
      </c>
      <c r="D2775" s="4" t="s">
        <v>154</v>
      </c>
      <c r="E2775" s="4">
        <v>2</v>
      </c>
      <c r="F2775" s="4">
        <v>12</v>
      </c>
      <c r="G2775" s="4">
        <v>4</v>
      </c>
      <c r="H2775" s="115"/>
      <c r="I2775" s="115"/>
      <c r="J2775" s="115"/>
      <c r="K2775" s="115">
        <v>0</v>
      </c>
      <c r="L2775" s="12">
        <f t="shared" si="180"/>
        <v>0</v>
      </c>
      <c r="M2775" s="4">
        <f t="shared" si="181"/>
        <v>0</v>
      </c>
      <c r="N2775" s="4">
        <f t="shared" si="182"/>
        <v>0</v>
      </c>
      <c r="O2775" s="13">
        <f t="shared" si="183"/>
        <v>0</v>
      </c>
    </row>
    <row r="2776" spans="2:15">
      <c r="B2776" s="12">
        <v>24</v>
      </c>
      <c r="C2776" s="4" t="s">
        <v>151</v>
      </c>
      <c r="D2776" s="4" t="s">
        <v>154</v>
      </c>
      <c r="E2776" s="4">
        <v>2</v>
      </c>
      <c r="F2776" s="4">
        <v>12</v>
      </c>
      <c r="G2776" s="4">
        <v>5</v>
      </c>
      <c r="H2776" s="115"/>
      <c r="I2776" s="115"/>
      <c r="J2776" s="115"/>
      <c r="K2776" s="115">
        <v>0</v>
      </c>
      <c r="L2776" s="12">
        <f t="shared" si="180"/>
        <v>0</v>
      </c>
      <c r="M2776" s="4">
        <f t="shared" si="181"/>
        <v>0</v>
      </c>
      <c r="N2776" s="4">
        <f t="shared" si="182"/>
        <v>0</v>
      </c>
      <c r="O2776" s="13">
        <f t="shared" si="183"/>
        <v>0</v>
      </c>
    </row>
    <row r="2777" spans="2:15">
      <c r="B2777" s="12">
        <v>24</v>
      </c>
      <c r="C2777" s="4" t="s">
        <v>151</v>
      </c>
      <c r="D2777" s="4" t="s">
        <v>154</v>
      </c>
      <c r="E2777" s="4">
        <v>2</v>
      </c>
      <c r="F2777" s="4">
        <v>12</v>
      </c>
      <c r="G2777" s="4">
        <v>6</v>
      </c>
      <c r="H2777" s="115"/>
      <c r="I2777" s="115"/>
      <c r="J2777" s="115"/>
      <c r="K2777" s="115">
        <v>0</v>
      </c>
      <c r="L2777" s="12">
        <f t="shared" si="180"/>
        <v>0</v>
      </c>
      <c r="M2777" s="4">
        <f t="shared" si="181"/>
        <v>0</v>
      </c>
      <c r="N2777" s="4">
        <f t="shared" si="182"/>
        <v>0</v>
      </c>
      <c r="O2777" s="13">
        <f t="shared" si="183"/>
        <v>0</v>
      </c>
    </row>
    <row r="2778" spans="2:15">
      <c r="B2778" s="12">
        <v>24</v>
      </c>
      <c r="C2778" s="4" t="s">
        <v>151</v>
      </c>
      <c r="D2778" s="4" t="s">
        <v>154</v>
      </c>
      <c r="E2778" s="4">
        <v>2</v>
      </c>
      <c r="F2778" s="4">
        <v>12</v>
      </c>
      <c r="G2778" s="4">
        <v>7</v>
      </c>
      <c r="H2778" s="115"/>
      <c r="I2778" s="115"/>
      <c r="J2778" s="115"/>
      <c r="K2778" s="115">
        <v>0</v>
      </c>
      <c r="L2778" s="12">
        <f t="shared" si="180"/>
        <v>0</v>
      </c>
      <c r="M2778" s="4">
        <f t="shared" si="181"/>
        <v>0</v>
      </c>
      <c r="N2778" s="4">
        <f t="shared" si="182"/>
        <v>0</v>
      </c>
      <c r="O2778" s="13">
        <f t="shared" si="183"/>
        <v>0</v>
      </c>
    </row>
    <row r="2779" spans="2:15">
      <c r="B2779" s="12">
        <v>24</v>
      </c>
      <c r="C2779" s="4" t="s">
        <v>151</v>
      </c>
      <c r="D2779" s="4" t="s">
        <v>154</v>
      </c>
      <c r="E2779" s="4">
        <v>2</v>
      </c>
      <c r="F2779" s="4">
        <v>12</v>
      </c>
      <c r="G2779" s="4">
        <v>8</v>
      </c>
      <c r="H2779" s="115"/>
      <c r="I2779" s="115"/>
      <c r="J2779" s="115"/>
      <c r="K2779" s="115">
        <v>0</v>
      </c>
      <c r="L2779" s="12">
        <f t="shared" si="180"/>
        <v>0</v>
      </c>
      <c r="M2779" s="4">
        <f t="shared" si="181"/>
        <v>0</v>
      </c>
      <c r="N2779" s="4">
        <f t="shared" si="182"/>
        <v>0</v>
      </c>
      <c r="O2779" s="13">
        <f t="shared" si="183"/>
        <v>0</v>
      </c>
    </row>
    <row r="2780" spans="2:15">
      <c r="B2780" s="12">
        <v>24</v>
      </c>
      <c r="C2780" s="4" t="s">
        <v>151</v>
      </c>
      <c r="D2780" s="4" t="s">
        <v>154</v>
      </c>
      <c r="E2780" s="4">
        <v>2</v>
      </c>
      <c r="F2780" s="4">
        <v>12</v>
      </c>
      <c r="G2780" s="4">
        <v>9</v>
      </c>
      <c r="H2780" s="115"/>
      <c r="I2780" s="115"/>
      <c r="J2780" s="115"/>
      <c r="K2780" s="115">
        <v>0</v>
      </c>
      <c r="L2780" s="12">
        <f t="shared" si="180"/>
        <v>0</v>
      </c>
      <c r="M2780" s="4">
        <f t="shared" si="181"/>
        <v>0</v>
      </c>
      <c r="N2780" s="4">
        <f t="shared" si="182"/>
        <v>0</v>
      </c>
      <c r="O2780" s="13">
        <f t="shared" si="183"/>
        <v>0</v>
      </c>
    </row>
    <row r="2781" spans="2:15" ht="13.8" thickBot="1">
      <c r="B2781" s="14">
        <v>24</v>
      </c>
      <c r="C2781" s="15" t="s">
        <v>151</v>
      </c>
      <c r="D2781" s="15" t="s">
        <v>154</v>
      </c>
      <c r="E2781" s="15">
        <v>2</v>
      </c>
      <c r="F2781" s="15">
        <v>12</v>
      </c>
      <c r="G2781" s="15">
        <v>10</v>
      </c>
      <c r="H2781" s="121"/>
      <c r="I2781" s="121"/>
      <c r="J2781" s="121"/>
      <c r="K2781" s="121">
        <v>0</v>
      </c>
      <c r="L2781" s="14">
        <f t="shared" si="180"/>
        <v>0</v>
      </c>
      <c r="M2781" s="15">
        <f t="shared" si="181"/>
        <v>0</v>
      </c>
      <c r="N2781" s="15">
        <f t="shared" si="182"/>
        <v>0</v>
      </c>
      <c r="O2781" s="16">
        <f t="shared" si="183"/>
        <v>0</v>
      </c>
    </row>
    <row r="2782" spans="2:15">
      <c r="B2782" s="9">
        <v>24</v>
      </c>
      <c r="C2782" s="10" t="s">
        <v>151</v>
      </c>
      <c r="D2782" s="10" t="s">
        <v>150</v>
      </c>
      <c r="E2782" s="93">
        <v>3</v>
      </c>
      <c r="F2782" s="93">
        <v>4</v>
      </c>
      <c r="G2782" s="10">
        <v>1</v>
      </c>
      <c r="H2782" s="120">
        <v>2.2489999999999668</v>
      </c>
      <c r="I2782" s="120">
        <v>0.55100000000001614</v>
      </c>
      <c r="J2782" s="120">
        <v>1.3000000000000682</v>
      </c>
      <c r="K2782" s="120">
        <v>4.1000000000000512</v>
      </c>
      <c r="L2782" s="9">
        <f t="shared" si="180"/>
        <v>0.51174971134497838</v>
      </c>
      <c r="M2782" s="10">
        <f t="shared" si="181"/>
        <v>0.19061179781360946</v>
      </c>
      <c r="N2782" s="10">
        <f t="shared" si="182"/>
        <v>0.36172783601760577</v>
      </c>
      <c r="O2782" s="11">
        <f t="shared" si="183"/>
        <v>0.70757017609794071</v>
      </c>
    </row>
    <row r="2783" spans="2:15">
      <c r="B2783" s="12">
        <v>24</v>
      </c>
      <c r="C2783" s="4" t="s">
        <v>151</v>
      </c>
      <c r="D2783" s="4" t="s">
        <v>150</v>
      </c>
      <c r="E2783" s="4">
        <v>3</v>
      </c>
      <c r="F2783" s="4">
        <v>4</v>
      </c>
      <c r="G2783" s="4">
        <v>2</v>
      </c>
      <c r="H2783" s="115">
        <v>0.56700000000000728</v>
      </c>
      <c r="I2783" s="115">
        <v>0.46699999999998454</v>
      </c>
      <c r="J2783" s="115">
        <v>0.61599999999998545</v>
      </c>
      <c r="K2783" s="115">
        <v>1.6499999999999773</v>
      </c>
      <c r="L2783" s="12">
        <f t="shared" si="180"/>
        <v>0.19506899646859216</v>
      </c>
      <c r="M2783" s="4">
        <f t="shared" si="181"/>
        <v>0.1664301138432781</v>
      </c>
      <c r="N2783" s="4">
        <f t="shared" si="182"/>
        <v>0.20844135643856346</v>
      </c>
      <c r="O2783" s="13">
        <f t="shared" si="183"/>
        <v>0.42324587393680413</v>
      </c>
    </row>
    <row r="2784" spans="2:15">
      <c r="B2784" s="12">
        <v>24</v>
      </c>
      <c r="C2784" s="4" t="s">
        <v>151</v>
      </c>
      <c r="D2784" s="4" t="s">
        <v>150</v>
      </c>
      <c r="E2784" s="4">
        <v>3</v>
      </c>
      <c r="F2784" s="4">
        <v>4</v>
      </c>
      <c r="G2784" s="4">
        <v>3</v>
      </c>
      <c r="H2784" s="115"/>
      <c r="I2784" s="115"/>
      <c r="J2784" s="115"/>
      <c r="K2784" s="115">
        <v>0</v>
      </c>
      <c r="L2784" s="12">
        <f t="shared" si="180"/>
        <v>0</v>
      </c>
      <c r="M2784" s="4">
        <f t="shared" si="181"/>
        <v>0</v>
      </c>
      <c r="N2784" s="4">
        <f t="shared" si="182"/>
        <v>0</v>
      </c>
      <c r="O2784" s="13">
        <f t="shared" si="183"/>
        <v>0</v>
      </c>
    </row>
    <row r="2785" spans="2:15">
      <c r="B2785" s="12">
        <v>24</v>
      </c>
      <c r="C2785" s="4" t="s">
        <v>151</v>
      </c>
      <c r="D2785" s="4" t="s">
        <v>150</v>
      </c>
      <c r="E2785" s="4">
        <v>3</v>
      </c>
      <c r="F2785" s="4">
        <v>4</v>
      </c>
      <c r="G2785" s="4">
        <v>4</v>
      </c>
      <c r="H2785" s="115"/>
      <c r="I2785" s="115"/>
      <c r="J2785" s="115"/>
      <c r="K2785" s="115">
        <v>0</v>
      </c>
      <c r="L2785" s="12">
        <f t="shared" si="180"/>
        <v>0</v>
      </c>
      <c r="M2785" s="4">
        <f t="shared" si="181"/>
        <v>0</v>
      </c>
      <c r="N2785" s="4">
        <f t="shared" si="182"/>
        <v>0</v>
      </c>
      <c r="O2785" s="13">
        <f t="shared" si="183"/>
        <v>0</v>
      </c>
    </row>
    <row r="2786" spans="2:15">
      <c r="B2786" s="12">
        <v>24</v>
      </c>
      <c r="C2786" s="4" t="s">
        <v>151</v>
      </c>
      <c r="D2786" s="4" t="s">
        <v>150</v>
      </c>
      <c r="E2786" s="4">
        <v>3</v>
      </c>
      <c r="F2786" s="4">
        <v>4</v>
      </c>
      <c r="G2786" s="4">
        <v>5</v>
      </c>
      <c r="H2786" s="115"/>
      <c r="I2786" s="115"/>
      <c r="J2786" s="115"/>
      <c r="K2786" s="115">
        <v>0</v>
      </c>
      <c r="L2786" s="12">
        <f t="shared" si="180"/>
        <v>0</v>
      </c>
      <c r="M2786" s="4">
        <f t="shared" si="181"/>
        <v>0</v>
      </c>
      <c r="N2786" s="4">
        <f t="shared" si="182"/>
        <v>0</v>
      </c>
      <c r="O2786" s="13">
        <f t="shared" si="183"/>
        <v>0</v>
      </c>
    </row>
    <row r="2787" spans="2:15">
      <c r="B2787" s="12">
        <v>24</v>
      </c>
      <c r="C2787" s="4" t="s">
        <v>151</v>
      </c>
      <c r="D2787" s="4" t="s">
        <v>150</v>
      </c>
      <c r="E2787" s="4">
        <v>3</v>
      </c>
      <c r="F2787" s="4">
        <v>4</v>
      </c>
      <c r="G2787" s="4">
        <v>6</v>
      </c>
      <c r="H2787" s="115"/>
      <c r="I2787" s="115"/>
      <c r="J2787" s="115"/>
      <c r="K2787" s="115">
        <v>0</v>
      </c>
      <c r="L2787" s="12">
        <f t="shared" si="180"/>
        <v>0</v>
      </c>
      <c r="M2787" s="4">
        <f t="shared" si="181"/>
        <v>0</v>
      </c>
      <c r="N2787" s="4">
        <f t="shared" si="182"/>
        <v>0</v>
      </c>
      <c r="O2787" s="13">
        <f t="shared" si="183"/>
        <v>0</v>
      </c>
    </row>
    <row r="2788" spans="2:15">
      <c r="B2788" s="12">
        <v>24</v>
      </c>
      <c r="C2788" s="4" t="s">
        <v>151</v>
      </c>
      <c r="D2788" s="4" t="s">
        <v>150</v>
      </c>
      <c r="E2788" s="4">
        <v>3</v>
      </c>
      <c r="F2788" s="4">
        <v>4</v>
      </c>
      <c r="G2788" s="4">
        <v>7</v>
      </c>
      <c r="H2788" s="115"/>
      <c r="I2788" s="115"/>
      <c r="J2788" s="115"/>
      <c r="K2788" s="115">
        <v>0</v>
      </c>
      <c r="L2788" s="12">
        <f t="shared" si="180"/>
        <v>0</v>
      </c>
      <c r="M2788" s="4">
        <f t="shared" si="181"/>
        <v>0</v>
      </c>
      <c r="N2788" s="4">
        <f t="shared" si="182"/>
        <v>0</v>
      </c>
      <c r="O2788" s="13">
        <f t="shared" si="183"/>
        <v>0</v>
      </c>
    </row>
    <row r="2789" spans="2:15">
      <c r="B2789" s="12">
        <v>24</v>
      </c>
      <c r="C2789" s="4" t="s">
        <v>151</v>
      </c>
      <c r="D2789" s="4" t="s">
        <v>150</v>
      </c>
      <c r="E2789" s="4">
        <v>3</v>
      </c>
      <c r="F2789" s="4">
        <v>4</v>
      </c>
      <c r="G2789" s="4">
        <v>8</v>
      </c>
      <c r="H2789" s="115"/>
      <c r="I2789" s="115"/>
      <c r="J2789" s="115"/>
      <c r="K2789" s="115">
        <v>0</v>
      </c>
      <c r="L2789" s="12">
        <f t="shared" si="180"/>
        <v>0</v>
      </c>
      <c r="M2789" s="4">
        <f t="shared" si="181"/>
        <v>0</v>
      </c>
      <c r="N2789" s="4">
        <f t="shared" si="182"/>
        <v>0</v>
      </c>
      <c r="O2789" s="13">
        <f t="shared" si="183"/>
        <v>0</v>
      </c>
    </row>
    <row r="2790" spans="2:15">
      <c r="B2790" s="12">
        <v>24</v>
      </c>
      <c r="C2790" s="4" t="s">
        <v>151</v>
      </c>
      <c r="D2790" s="4" t="s">
        <v>150</v>
      </c>
      <c r="E2790" s="4">
        <v>3</v>
      </c>
      <c r="F2790" s="4">
        <v>4</v>
      </c>
      <c r="G2790" s="4">
        <v>9</v>
      </c>
      <c r="H2790" s="115"/>
      <c r="I2790" s="115"/>
      <c r="J2790" s="115"/>
      <c r="K2790" s="115">
        <v>0</v>
      </c>
      <c r="L2790" s="12">
        <f t="shared" si="180"/>
        <v>0</v>
      </c>
      <c r="M2790" s="4">
        <f t="shared" si="181"/>
        <v>0</v>
      </c>
      <c r="N2790" s="4">
        <f t="shared" si="182"/>
        <v>0</v>
      </c>
      <c r="O2790" s="13">
        <f t="shared" si="183"/>
        <v>0</v>
      </c>
    </row>
    <row r="2791" spans="2:15" ht="13.8" thickBot="1">
      <c r="B2791" s="14">
        <v>24</v>
      </c>
      <c r="C2791" s="15" t="s">
        <v>151</v>
      </c>
      <c r="D2791" s="15" t="s">
        <v>150</v>
      </c>
      <c r="E2791" s="15">
        <v>3</v>
      </c>
      <c r="F2791" s="15">
        <v>4</v>
      </c>
      <c r="G2791" s="15">
        <v>10</v>
      </c>
      <c r="H2791" s="121"/>
      <c r="I2791" s="121"/>
      <c r="J2791" s="121"/>
      <c r="K2791" s="121">
        <v>0</v>
      </c>
      <c r="L2791" s="14">
        <f t="shared" ref="L2791:L2854" si="184">LOG10(H2791+1)</f>
        <v>0</v>
      </c>
      <c r="M2791" s="15">
        <f t="shared" ref="M2791:M2854" si="185">LOG10(I2791+1)</f>
        <v>0</v>
      </c>
      <c r="N2791" s="15">
        <f t="shared" ref="N2791:N2854" si="186">LOG10(J2791+1)</f>
        <v>0</v>
      </c>
      <c r="O2791" s="16">
        <f t="shared" ref="O2791:O2854" si="187">LOG10(K2791+1)</f>
        <v>0</v>
      </c>
    </row>
    <row r="2792" spans="2:15">
      <c r="B2792" s="9">
        <v>24</v>
      </c>
      <c r="C2792" s="10" t="s">
        <v>151</v>
      </c>
      <c r="D2792" s="10" t="s">
        <v>149</v>
      </c>
      <c r="E2792" s="93">
        <v>4</v>
      </c>
      <c r="F2792" s="93">
        <v>8</v>
      </c>
      <c r="G2792" s="10">
        <v>1</v>
      </c>
      <c r="H2792" s="120">
        <v>2.0340000000000487</v>
      </c>
      <c r="I2792" s="120"/>
      <c r="J2792" s="120">
        <v>0.16699999999997317</v>
      </c>
      <c r="K2792" s="120">
        <v>2.2010000000000218</v>
      </c>
      <c r="L2792" s="9">
        <f t="shared" si="184"/>
        <v>0.48201557645071863</v>
      </c>
      <c r="M2792" s="10">
        <f t="shared" si="185"/>
        <v>0</v>
      </c>
      <c r="N2792" s="10">
        <f t="shared" si="186"/>
        <v>6.7070856045360186E-2</v>
      </c>
      <c r="O2792" s="11">
        <f t="shared" si="187"/>
        <v>0.50528567414413528</v>
      </c>
    </row>
    <row r="2793" spans="2:15">
      <c r="B2793" s="12">
        <v>24</v>
      </c>
      <c r="C2793" s="4" t="s">
        <v>151</v>
      </c>
      <c r="D2793" s="4" t="s">
        <v>149</v>
      </c>
      <c r="E2793" s="4">
        <v>4</v>
      </c>
      <c r="F2793" s="4">
        <v>8</v>
      </c>
      <c r="G2793" s="4">
        <v>2</v>
      </c>
      <c r="H2793" s="115">
        <v>0.34999999999996589</v>
      </c>
      <c r="I2793" s="115">
        <v>0.10000000000002274</v>
      </c>
      <c r="J2793" s="115">
        <v>0.1330000000000382</v>
      </c>
      <c r="K2793" s="115">
        <v>0.58300000000002683</v>
      </c>
      <c r="L2793" s="12">
        <f t="shared" si="184"/>
        <v>0.13033376849499514</v>
      </c>
      <c r="M2793" s="4">
        <f t="shared" si="185"/>
        <v>4.1392685158234015E-2</v>
      </c>
      <c r="N2793" s="4">
        <f t="shared" si="186"/>
        <v>5.422990986341189E-2</v>
      </c>
      <c r="O2793" s="13">
        <f t="shared" si="187"/>
        <v>0.19948091486236327</v>
      </c>
    </row>
    <row r="2794" spans="2:15">
      <c r="B2794" s="12">
        <v>24</v>
      </c>
      <c r="C2794" s="4" t="s">
        <v>151</v>
      </c>
      <c r="D2794" s="4" t="s">
        <v>149</v>
      </c>
      <c r="E2794" s="4">
        <v>4</v>
      </c>
      <c r="F2794" s="4">
        <v>8</v>
      </c>
      <c r="G2794" s="4">
        <v>3</v>
      </c>
      <c r="H2794" s="115">
        <v>0.11599999999998545</v>
      </c>
      <c r="I2794" s="115"/>
      <c r="J2794" s="115">
        <v>0.18400000000002592</v>
      </c>
      <c r="K2794" s="115">
        <v>0.30000000000001137</v>
      </c>
      <c r="L2794" s="12">
        <f t="shared" si="184"/>
        <v>4.7664194601554279E-2</v>
      </c>
      <c r="M2794" s="4">
        <f t="shared" si="185"/>
        <v>0</v>
      </c>
      <c r="N2794" s="4">
        <f t="shared" si="186"/>
        <v>7.3351702386910481E-2</v>
      </c>
      <c r="O2794" s="13">
        <f t="shared" si="187"/>
        <v>0.11394335230684056</v>
      </c>
    </row>
    <row r="2795" spans="2:15">
      <c r="B2795" s="12">
        <v>24</v>
      </c>
      <c r="C2795" s="4" t="s">
        <v>151</v>
      </c>
      <c r="D2795" s="4" t="s">
        <v>149</v>
      </c>
      <c r="E2795" s="4">
        <v>4</v>
      </c>
      <c r="F2795" s="4">
        <v>8</v>
      </c>
      <c r="G2795" s="4">
        <v>4</v>
      </c>
      <c r="H2795" s="115"/>
      <c r="I2795" s="115"/>
      <c r="J2795" s="115"/>
      <c r="K2795" s="115">
        <v>0</v>
      </c>
      <c r="L2795" s="12">
        <f t="shared" si="184"/>
        <v>0</v>
      </c>
      <c r="M2795" s="4">
        <f t="shared" si="185"/>
        <v>0</v>
      </c>
      <c r="N2795" s="4">
        <f t="shared" si="186"/>
        <v>0</v>
      </c>
      <c r="O2795" s="13">
        <f t="shared" si="187"/>
        <v>0</v>
      </c>
    </row>
    <row r="2796" spans="2:15">
      <c r="B2796" s="12">
        <v>24</v>
      </c>
      <c r="C2796" s="4" t="s">
        <v>151</v>
      </c>
      <c r="D2796" s="4" t="s">
        <v>149</v>
      </c>
      <c r="E2796" s="4">
        <v>4</v>
      </c>
      <c r="F2796" s="4">
        <v>8</v>
      </c>
      <c r="G2796" s="4">
        <v>5</v>
      </c>
      <c r="H2796" s="115"/>
      <c r="I2796" s="115"/>
      <c r="J2796" s="115"/>
      <c r="K2796" s="115">
        <v>0</v>
      </c>
      <c r="L2796" s="12">
        <f t="shared" si="184"/>
        <v>0</v>
      </c>
      <c r="M2796" s="4">
        <f t="shared" si="185"/>
        <v>0</v>
      </c>
      <c r="N2796" s="4">
        <f t="shared" si="186"/>
        <v>0</v>
      </c>
      <c r="O2796" s="13">
        <f t="shared" si="187"/>
        <v>0</v>
      </c>
    </row>
    <row r="2797" spans="2:15">
      <c r="B2797" s="12">
        <v>24</v>
      </c>
      <c r="C2797" s="4" t="s">
        <v>151</v>
      </c>
      <c r="D2797" s="4" t="s">
        <v>149</v>
      </c>
      <c r="E2797" s="4">
        <v>4</v>
      </c>
      <c r="F2797" s="4">
        <v>8</v>
      </c>
      <c r="G2797" s="4">
        <v>6</v>
      </c>
      <c r="H2797" s="115"/>
      <c r="I2797" s="115"/>
      <c r="J2797" s="115"/>
      <c r="K2797" s="115">
        <v>0</v>
      </c>
      <c r="L2797" s="12">
        <f t="shared" si="184"/>
        <v>0</v>
      </c>
      <c r="M2797" s="4">
        <f t="shared" si="185"/>
        <v>0</v>
      </c>
      <c r="N2797" s="4">
        <f t="shared" si="186"/>
        <v>0</v>
      </c>
      <c r="O2797" s="13">
        <f t="shared" si="187"/>
        <v>0</v>
      </c>
    </row>
    <row r="2798" spans="2:15">
      <c r="B2798" s="12">
        <v>24</v>
      </c>
      <c r="C2798" s="4" t="s">
        <v>151</v>
      </c>
      <c r="D2798" s="4" t="s">
        <v>149</v>
      </c>
      <c r="E2798" s="4">
        <v>4</v>
      </c>
      <c r="F2798" s="4">
        <v>8</v>
      </c>
      <c r="G2798" s="4">
        <v>7</v>
      </c>
      <c r="H2798" s="115"/>
      <c r="I2798" s="115"/>
      <c r="J2798" s="115"/>
      <c r="K2798" s="115">
        <v>0</v>
      </c>
      <c r="L2798" s="12">
        <f t="shared" si="184"/>
        <v>0</v>
      </c>
      <c r="M2798" s="4">
        <f t="shared" si="185"/>
        <v>0</v>
      </c>
      <c r="N2798" s="4">
        <f t="shared" si="186"/>
        <v>0</v>
      </c>
      <c r="O2798" s="13">
        <f t="shared" si="187"/>
        <v>0</v>
      </c>
    </row>
    <row r="2799" spans="2:15">
      <c r="B2799" s="12">
        <v>24</v>
      </c>
      <c r="C2799" s="4" t="s">
        <v>151</v>
      </c>
      <c r="D2799" s="4" t="s">
        <v>149</v>
      </c>
      <c r="E2799" s="4">
        <v>4</v>
      </c>
      <c r="F2799" s="4">
        <v>8</v>
      </c>
      <c r="G2799" s="4">
        <v>8</v>
      </c>
      <c r="H2799" s="115"/>
      <c r="I2799" s="115"/>
      <c r="J2799" s="115"/>
      <c r="K2799" s="115">
        <v>0</v>
      </c>
      <c r="L2799" s="12">
        <f t="shared" si="184"/>
        <v>0</v>
      </c>
      <c r="M2799" s="4">
        <f t="shared" si="185"/>
        <v>0</v>
      </c>
      <c r="N2799" s="4">
        <f t="shared" si="186"/>
        <v>0</v>
      </c>
      <c r="O2799" s="13">
        <f t="shared" si="187"/>
        <v>0</v>
      </c>
    </row>
    <row r="2800" spans="2:15">
      <c r="B2800" s="12">
        <v>24</v>
      </c>
      <c r="C2800" s="4" t="s">
        <v>151</v>
      </c>
      <c r="D2800" s="4" t="s">
        <v>149</v>
      </c>
      <c r="E2800" s="4">
        <v>4</v>
      </c>
      <c r="F2800" s="4">
        <v>8</v>
      </c>
      <c r="G2800" s="4">
        <v>9</v>
      </c>
      <c r="H2800" s="115"/>
      <c r="I2800" s="115"/>
      <c r="J2800" s="115"/>
      <c r="K2800" s="115">
        <v>0</v>
      </c>
      <c r="L2800" s="12">
        <f t="shared" si="184"/>
        <v>0</v>
      </c>
      <c r="M2800" s="4">
        <f t="shared" si="185"/>
        <v>0</v>
      </c>
      <c r="N2800" s="4">
        <f t="shared" si="186"/>
        <v>0</v>
      </c>
      <c r="O2800" s="13">
        <f t="shared" si="187"/>
        <v>0</v>
      </c>
    </row>
    <row r="2801" spans="2:15" ht="13.8" thickBot="1">
      <c r="B2801" s="14">
        <v>24</v>
      </c>
      <c r="C2801" s="15" t="s">
        <v>151</v>
      </c>
      <c r="D2801" s="15" t="s">
        <v>149</v>
      </c>
      <c r="E2801" s="15">
        <v>4</v>
      </c>
      <c r="F2801" s="15">
        <v>8</v>
      </c>
      <c r="G2801" s="15">
        <v>10</v>
      </c>
      <c r="H2801" s="121"/>
      <c r="I2801" s="121"/>
      <c r="J2801" s="121"/>
      <c r="K2801" s="121">
        <v>0</v>
      </c>
      <c r="L2801" s="14">
        <f t="shared" si="184"/>
        <v>0</v>
      </c>
      <c r="M2801" s="15">
        <f t="shared" si="185"/>
        <v>0</v>
      </c>
      <c r="N2801" s="15">
        <f t="shared" si="186"/>
        <v>0</v>
      </c>
      <c r="O2801" s="16">
        <f t="shared" si="187"/>
        <v>0</v>
      </c>
    </row>
    <row r="2802" spans="2:15">
      <c r="B2802" s="9">
        <v>24</v>
      </c>
      <c r="C2802" s="10" t="s">
        <v>151</v>
      </c>
      <c r="D2802" s="10" t="s">
        <v>154</v>
      </c>
      <c r="E2802" s="93">
        <v>5</v>
      </c>
      <c r="F2802" s="93">
        <v>10</v>
      </c>
      <c r="G2802" s="10">
        <v>1</v>
      </c>
      <c r="H2802" s="120">
        <v>1.7509999999999195</v>
      </c>
      <c r="I2802" s="120">
        <v>1.1320000000000618</v>
      </c>
      <c r="J2802" s="120">
        <v>0.33299999999996999</v>
      </c>
      <c r="K2802" s="120">
        <v>3.2159999999999513</v>
      </c>
      <c r="L2802" s="9">
        <f t="shared" si="184"/>
        <v>0.43949059038967081</v>
      </c>
      <c r="M2802" s="10">
        <f t="shared" si="185"/>
        <v>0.32878720035454723</v>
      </c>
      <c r="N2802" s="10">
        <f t="shared" si="186"/>
        <v>0.12483014941384943</v>
      </c>
      <c r="O2802" s="11">
        <f t="shared" si="187"/>
        <v>0.62490060220448518</v>
      </c>
    </row>
    <row r="2803" spans="2:15">
      <c r="B2803" s="12">
        <v>24</v>
      </c>
      <c r="C2803" s="4" t="s">
        <v>151</v>
      </c>
      <c r="D2803" s="4" t="s">
        <v>154</v>
      </c>
      <c r="E2803" s="4">
        <v>5</v>
      </c>
      <c r="F2803" s="4">
        <v>10</v>
      </c>
      <c r="G2803" s="4">
        <v>2</v>
      </c>
      <c r="H2803" s="115">
        <v>1.0159999999999627</v>
      </c>
      <c r="I2803" s="115">
        <v>0.43400000000002592</v>
      </c>
      <c r="J2803" s="115"/>
      <c r="K2803" s="115">
        <v>1.4499999999999886</v>
      </c>
      <c r="L2803" s="12">
        <f t="shared" si="184"/>
        <v>0.30449052777347962</v>
      </c>
      <c r="M2803" s="4">
        <f t="shared" si="185"/>
        <v>0.15654915133178918</v>
      </c>
      <c r="N2803" s="4">
        <f t="shared" si="186"/>
        <v>0</v>
      </c>
      <c r="O2803" s="13">
        <f t="shared" si="187"/>
        <v>0.38916608436453043</v>
      </c>
    </row>
    <row r="2804" spans="2:15">
      <c r="B2804" s="12">
        <v>24</v>
      </c>
      <c r="C2804" s="4" t="s">
        <v>151</v>
      </c>
      <c r="D2804" s="4" t="s">
        <v>154</v>
      </c>
      <c r="E2804" s="4">
        <v>5</v>
      </c>
      <c r="F2804" s="4">
        <v>10</v>
      </c>
      <c r="G2804" s="4">
        <v>3</v>
      </c>
      <c r="H2804" s="115"/>
      <c r="I2804" s="115"/>
      <c r="J2804" s="115"/>
      <c r="K2804" s="115">
        <v>0</v>
      </c>
      <c r="L2804" s="12">
        <f t="shared" si="184"/>
        <v>0</v>
      </c>
      <c r="M2804" s="4">
        <f t="shared" si="185"/>
        <v>0</v>
      </c>
      <c r="N2804" s="4">
        <f t="shared" si="186"/>
        <v>0</v>
      </c>
      <c r="O2804" s="13">
        <f t="shared" si="187"/>
        <v>0</v>
      </c>
    </row>
    <row r="2805" spans="2:15">
      <c r="B2805" s="12">
        <v>24</v>
      </c>
      <c r="C2805" s="4" t="s">
        <v>151</v>
      </c>
      <c r="D2805" s="4" t="s">
        <v>154</v>
      </c>
      <c r="E2805" s="4">
        <v>5</v>
      </c>
      <c r="F2805" s="4">
        <v>10</v>
      </c>
      <c r="G2805" s="4">
        <v>4</v>
      </c>
      <c r="H2805" s="115"/>
      <c r="I2805" s="115"/>
      <c r="J2805" s="115"/>
      <c r="K2805" s="115">
        <v>0</v>
      </c>
      <c r="L2805" s="12">
        <f t="shared" si="184"/>
        <v>0</v>
      </c>
      <c r="M2805" s="4">
        <f t="shared" si="185"/>
        <v>0</v>
      </c>
      <c r="N2805" s="4">
        <f t="shared" si="186"/>
        <v>0</v>
      </c>
      <c r="O2805" s="13">
        <f t="shared" si="187"/>
        <v>0</v>
      </c>
    </row>
    <row r="2806" spans="2:15">
      <c r="B2806" s="12">
        <v>24</v>
      </c>
      <c r="C2806" s="4" t="s">
        <v>151</v>
      </c>
      <c r="D2806" s="4" t="s">
        <v>154</v>
      </c>
      <c r="E2806" s="4">
        <v>5</v>
      </c>
      <c r="F2806" s="4">
        <v>10</v>
      </c>
      <c r="G2806" s="4">
        <v>5</v>
      </c>
      <c r="H2806" s="115"/>
      <c r="I2806" s="115"/>
      <c r="J2806" s="115"/>
      <c r="K2806" s="115">
        <v>0</v>
      </c>
      <c r="L2806" s="12">
        <f t="shared" si="184"/>
        <v>0</v>
      </c>
      <c r="M2806" s="4">
        <f t="shared" si="185"/>
        <v>0</v>
      </c>
      <c r="N2806" s="4">
        <f t="shared" si="186"/>
        <v>0</v>
      </c>
      <c r="O2806" s="13">
        <f t="shared" si="187"/>
        <v>0</v>
      </c>
    </row>
    <row r="2807" spans="2:15">
      <c r="B2807" s="12">
        <v>24</v>
      </c>
      <c r="C2807" s="4" t="s">
        <v>151</v>
      </c>
      <c r="D2807" s="4" t="s">
        <v>154</v>
      </c>
      <c r="E2807" s="4">
        <v>5</v>
      </c>
      <c r="F2807" s="4">
        <v>10</v>
      </c>
      <c r="G2807" s="4">
        <v>6</v>
      </c>
      <c r="H2807" s="115"/>
      <c r="I2807" s="115"/>
      <c r="J2807" s="115"/>
      <c r="K2807" s="115">
        <v>0</v>
      </c>
      <c r="L2807" s="12">
        <f t="shared" si="184"/>
        <v>0</v>
      </c>
      <c r="M2807" s="4">
        <f t="shared" si="185"/>
        <v>0</v>
      </c>
      <c r="N2807" s="4">
        <f t="shared" si="186"/>
        <v>0</v>
      </c>
      <c r="O2807" s="13">
        <f t="shared" si="187"/>
        <v>0</v>
      </c>
    </row>
    <row r="2808" spans="2:15">
      <c r="B2808" s="12">
        <v>24</v>
      </c>
      <c r="C2808" s="4" t="s">
        <v>151</v>
      </c>
      <c r="D2808" s="4" t="s">
        <v>154</v>
      </c>
      <c r="E2808" s="4">
        <v>5</v>
      </c>
      <c r="F2808" s="4">
        <v>10</v>
      </c>
      <c r="G2808" s="4">
        <v>7</v>
      </c>
      <c r="H2808" s="115"/>
      <c r="I2808" s="115"/>
      <c r="J2808" s="115"/>
      <c r="K2808" s="115">
        <v>0</v>
      </c>
      <c r="L2808" s="12">
        <f t="shared" si="184"/>
        <v>0</v>
      </c>
      <c r="M2808" s="4">
        <f t="shared" si="185"/>
        <v>0</v>
      </c>
      <c r="N2808" s="4">
        <f t="shared" si="186"/>
        <v>0</v>
      </c>
      <c r="O2808" s="13">
        <f t="shared" si="187"/>
        <v>0</v>
      </c>
    </row>
    <row r="2809" spans="2:15">
      <c r="B2809" s="12">
        <v>24</v>
      </c>
      <c r="C2809" s="4" t="s">
        <v>151</v>
      </c>
      <c r="D2809" s="4" t="s">
        <v>154</v>
      </c>
      <c r="E2809" s="4">
        <v>5</v>
      </c>
      <c r="F2809" s="4">
        <v>10</v>
      </c>
      <c r="G2809" s="4">
        <v>8</v>
      </c>
      <c r="H2809" s="115"/>
      <c r="I2809" s="115"/>
      <c r="J2809" s="115"/>
      <c r="K2809" s="115">
        <v>0</v>
      </c>
      <c r="L2809" s="12">
        <f t="shared" si="184"/>
        <v>0</v>
      </c>
      <c r="M2809" s="4">
        <f t="shared" si="185"/>
        <v>0</v>
      </c>
      <c r="N2809" s="4">
        <f t="shared" si="186"/>
        <v>0</v>
      </c>
      <c r="O2809" s="13">
        <f t="shared" si="187"/>
        <v>0</v>
      </c>
    </row>
    <row r="2810" spans="2:15">
      <c r="B2810" s="12">
        <v>24</v>
      </c>
      <c r="C2810" s="4" t="s">
        <v>151</v>
      </c>
      <c r="D2810" s="4" t="s">
        <v>154</v>
      </c>
      <c r="E2810" s="4">
        <v>5</v>
      </c>
      <c r="F2810" s="4">
        <v>10</v>
      </c>
      <c r="G2810" s="4">
        <v>9</v>
      </c>
      <c r="H2810" s="115"/>
      <c r="I2810" s="115"/>
      <c r="J2810" s="115"/>
      <c r="K2810" s="115">
        <v>0</v>
      </c>
      <c r="L2810" s="12">
        <f t="shared" si="184"/>
        <v>0</v>
      </c>
      <c r="M2810" s="4">
        <f t="shared" si="185"/>
        <v>0</v>
      </c>
      <c r="N2810" s="4">
        <f t="shared" si="186"/>
        <v>0</v>
      </c>
      <c r="O2810" s="13">
        <f t="shared" si="187"/>
        <v>0</v>
      </c>
    </row>
    <row r="2811" spans="2:15" ht="13.8" thickBot="1">
      <c r="B2811" s="14">
        <v>24</v>
      </c>
      <c r="C2811" s="15" t="s">
        <v>151</v>
      </c>
      <c r="D2811" s="15" t="s">
        <v>154</v>
      </c>
      <c r="E2811" s="15">
        <v>5</v>
      </c>
      <c r="F2811" s="15">
        <v>10</v>
      </c>
      <c r="G2811" s="15">
        <v>10</v>
      </c>
      <c r="H2811" s="121"/>
      <c r="I2811" s="121"/>
      <c r="J2811" s="121"/>
      <c r="K2811" s="121">
        <v>0</v>
      </c>
      <c r="L2811" s="14">
        <f t="shared" si="184"/>
        <v>0</v>
      </c>
      <c r="M2811" s="15">
        <f t="shared" si="185"/>
        <v>0</v>
      </c>
      <c r="N2811" s="15">
        <f t="shared" si="186"/>
        <v>0</v>
      </c>
      <c r="O2811" s="16">
        <f t="shared" si="187"/>
        <v>0</v>
      </c>
    </row>
    <row r="2812" spans="2:15">
      <c r="B2812" s="9">
        <v>24</v>
      </c>
      <c r="C2812" s="10" t="s">
        <v>151</v>
      </c>
      <c r="D2812" s="10" t="s">
        <v>149</v>
      </c>
      <c r="E2812" s="93">
        <v>6</v>
      </c>
      <c r="F2812" s="93">
        <v>6</v>
      </c>
      <c r="G2812" s="8">
        <v>1</v>
      </c>
      <c r="H2812" s="115">
        <v>3.7500000000002274</v>
      </c>
      <c r="I2812" s="115">
        <v>0.45099999999996498</v>
      </c>
      <c r="J2812" s="115">
        <v>0.80099999999998772</v>
      </c>
      <c r="K2812" s="115">
        <v>5.0020000000001801</v>
      </c>
      <c r="L2812" s="9">
        <f t="shared" si="184"/>
        <v>0.67669360962488734</v>
      </c>
      <c r="M2812" s="10">
        <f t="shared" si="185"/>
        <v>0.16166741243772539</v>
      </c>
      <c r="N2812" s="10">
        <f t="shared" si="186"/>
        <v>0.25551371281953039</v>
      </c>
      <c r="O2812" s="11">
        <f t="shared" si="187"/>
        <v>0.77829599108884684</v>
      </c>
    </row>
    <row r="2813" spans="2:15">
      <c r="B2813" s="12">
        <v>24</v>
      </c>
      <c r="C2813" s="4" t="s">
        <v>151</v>
      </c>
      <c r="D2813" s="4" t="s">
        <v>149</v>
      </c>
      <c r="E2813" s="4">
        <v>6</v>
      </c>
      <c r="F2813" s="4">
        <v>6</v>
      </c>
      <c r="G2813" s="4">
        <v>2</v>
      </c>
      <c r="H2813" s="115">
        <v>0.31600000000003092</v>
      </c>
      <c r="I2813" s="115"/>
      <c r="J2813" s="115">
        <v>9.9999999999965894E-2</v>
      </c>
      <c r="K2813" s="115">
        <v>0.41599999999999682</v>
      </c>
      <c r="L2813" s="12">
        <f t="shared" si="184"/>
        <v>0.11925588927794689</v>
      </c>
      <c r="M2813" s="4">
        <f t="shared" si="185"/>
        <v>0</v>
      </c>
      <c r="N2813" s="4">
        <f t="shared" si="186"/>
        <v>4.1392685158211574E-2</v>
      </c>
      <c r="O2813" s="13">
        <f t="shared" si="187"/>
        <v>0.15106325335374923</v>
      </c>
    </row>
    <row r="2814" spans="2:15">
      <c r="B2814" s="12">
        <v>24</v>
      </c>
      <c r="C2814" s="4" t="s">
        <v>151</v>
      </c>
      <c r="D2814" s="4" t="s">
        <v>149</v>
      </c>
      <c r="E2814" s="4">
        <v>6</v>
      </c>
      <c r="F2814" s="4">
        <v>6</v>
      </c>
      <c r="G2814" s="4">
        <v>3</v>
      </c>
      <c r="H2814" s="115">
        <v>0.5330000000000723</v>
      </c>
      <c r="I2814" s="115"/>
      <c r="J2814" s="115">
        <v>0.15000000000003411</v>
      </c>
      <c r="K2814" s="115">
        <v>0.68300000000010641</v>
      </c>
      <c r="L2814" s="12">
        <f t="shared" si="184"/>
        <v>0.18554215485439565</v>
      </c>
      <c r="M2814" s="4">
        <f t="shared" si="185"/>
        <v>0</v>
      </c>
      <c r="N2814" s="4">
        <f t="shared" si="186"/>
        <v>6.0697840353624563E-2</v>
      </c>
      <c r="O2814" s="13">
        <f t="shared" si="187"/>
        <v>0.22608411597585129</v>
      </c>
    </row>
    <row r="2815" spans="2:15">
      <c r="B2815" s="12">
        <v>24</v>
      </c>
      <c r="C2815" s="4" t="s">
        <v>151</v>
      </c>
      <c r="D2815" s="4" t="s">
        <v>149</v>
      </c>
      <c r="E2815" s="4">
        <v>6</v>
      </c>
      <c r="F2815" s="4">
        <v>6</v>
      </c>
      <c r="G2815" s="4">
        <v>4</v>
      </c>
      <c r="H2815" s="115"/>
      <c r="I2815" s="115"/>
      <c r="J2815" s="115"/>
      <c r="K2815" s="115">
        <v>0</v>
      </c>
      <c r="L2815" s="12">
        <f t="shared" si="184"/>
        <v>0</v>
      </c>
      <c r="M2815" s="4">
        <f t="shared" si="185"/>
        <v>0</v>
      </c>
      <c r="N2815" s="4">
        <f t="shared" si="186"/>
        <v>0</v>
      </c>
      <c r="O2815" s="13">
        <f t="shared" si="187"/>
        <v>0</v>
      </c>
    </row>
    <row r="2816" spans="2:15">
      <c r="B2816" s="12">
        <v>24</v>
      </c>
      <c r="C2816" s="4" t="s">
        <v>151</v>
      </c>
      <c r="D2816" s="4" t="s">
        <v>149</v>
      </c>
      <c r="E2816" s="4">
        <v>6</v>
      </c>
      <c r="F2816" s="4">
        <v>6</v>
      </c>
      <c r="G2816" s="4">
        <v>5</v>
      </c>
      <c r="H2816" s="115"/>
      <c r="I2816" s="115"/>
      <c r="J2816" s="115"/>
      <c r="K2816" s="115">
        <v>0</v>
      </c>
      <c r="L2816" s="12">
        <f t="shared" si="184"/>
        <v>0</v>
      </c>
      <c r="M2816" s="4">
        <f t="shared" si="185"/>
        <v>0</v>
      </c>
      <c r="N2816" s="4">
        <f t="shared" si="186"/>
        <v>0</v>
      </c>
      <c r="O2816" s="13">
        <f t="shared" si="187"/>
        <v>0</v>
      </c>
    </row>
    <row r="2817" spans="2:15">
      <c r="B2817" s="12">
        <v>24</v>
      </c>
      <c r="C2817" s="4" t="s">
        <v>151</v>
      </c>
      <c r="D2817" s="4" t="s">
        <v>149</v>
      </c>
      <c r="E2817" s="4">
        <v>6</v>
      </c>
      <c r="F2817" s="4">
        <v>6</v>
      </c>
      <c r="G2817" s="4">
        <v>6</v>
      </c>
      <c r="H2817" s="115"/>
      <c r="I2817" s="115"/>
      <c r="J2817" s="115"/>
      <c r="K2817" s="115">
        <v>0</v>
      </c>
      <c r="L2817" s="12">
        <f t="shared" si="184"/>
        <v>0</v>
      </c>
      <c r="M2817" s="4">
        <f t="shared" si="185"/>
        <v>0</v>
      </c>
      <c r="N2817" s="4">
        <f t="shared" si="186"/>
        <v>0</v>
      </c>
      <c r="O2817" s="13">
        <f t="shared" si="187"/>
        <v>0</v>
      </c>
    </row>
    <row r="2818" spans="2:15">
      <c r="B2818" s="12">
        <v>24</v>
      </c>
      <c r="C2818" s="4" t="s">
        <v>151</v>
      </c>
      <c r="D2818" s="4" t="s">
        <v>149</v>
      </c>
      <c r="E2818" s="4">
        <v>6</v>
      </c>
      <c r="F2818" s="4">
        <v>6</v>
      </c>
      <c r="G2818" s="4">
        <v>7</v>
      </c>
      <c r="H2818" s="115"/>
      <c r="I2818" s="115"/>
      <c r="J2818" s="115"/>
      <c r="K2818" s="115">
        <v>0</v>
      </c>
      <c r="L2818" s="12">
        <f t="shared" si="184"/>
        <v>0</v>
      </c>
      <c r="M2818" s="4">
        <f t="shared" si="185"/>
        <v>0</v>
      </c>
      <c r="N2818" s="4">
        <f t="shared" si="186"/>
        <v>0</v>
      </c>
      <c r="O2818" s="13">
        <f t="shared" si="187"/>
        <v>0</v>
      </c>
    </row>
    <row r="2819" spans="2:15">
      <c r="B2819" s="12">
        <v>24</v>
      </c>
      <c r="C2819" s="4" t="s">
        <v>151</v>
      </c>
      <c r="D2819" s="4" t="s">
        <v>149</v>
      </c>
      <c r="E2819" s="4">
        <v>6</v>
      </c>
      <c r="F2819" s="4">
        <v>6</v>
      </c>
      <c r="G2819" s="4">
        <v>8</v>
      </c>
      <c r="H2819" s="115"/>
      <c r="I2819" s="115"/>
      <c r="J2819" s="115"/>
      <c r="K2819" s="115">
        <v>0</v>
      </c>
      <c r="L2819" s="12">
        <f t="shared" si="184"/>
        <v>0</v>
      </c>
      <c r="M2819" s="4">
        <f t="shared" si="185"/>
        <v>0</v>
      </c>
      <c r="N2819" s="4">
        <f t="shared" si="186"/>
        <v>0</v>
      </c>
      <c r="O2819" s="13">
        <f t="shared" si="187"/>
        <v>0</v>
      </c>
    </row>
    <row r="2820" spans="2:15">
      <c r="B2820" s="12">
        <v>24</v>
      </c>
      <c r="C2820" s="4" t="s">
        <v>151</v>
      </c>
      <c r="D2820" s="4" t="s">
        <v>149</v>
      </c>
      <c r="E2820" s="4">
        <v>6</v>
      </c>
      <c r="F2820" s="4">
        <v>6</v>
      </c>
      <c r="G2820" s="4">
        <v>9</v>
      </c>
      <c r="H2820" s="115"/>
      <c r="I2820" s="115"/>
      <c r="J2820" s="115"/>
      <c r="K2820" s="115">
        <v>0</v>
      </c>
      <c r="L2820" s="12">
        <f t="shared" si="184"/>
        <v>0</v>
      </c>
      <c r="M2820" s="4">
        <f t="shared" si="185"/>
        <v>0</v>
      </c>
      <c r="N2820" s="4">
        <f t="shared" si="186"/>
        <v>0</v>
      </c>
      <c r="O2820" s="13">
        <f t="shared" si="187"/>
        <v>0</v>
      </c>
    </row>
    <row r="2821" spans="2:15" ht="13.8" thickBot="1">
      <c r="B2821" s="14">
        <v>24</v>
      </c>
      <c r="C2821" s="15" t="s">
        <v>151</v>
      </c>
      <c r="D2821" s="15" t="s">
        <v>149</v>
      </c>
      <c r="E2821" s="15">
        <v>6</v>
      </c>
      <c r="F2821" s="15">
        <v>6</v>
      </c>
      <c r="G2821" s="7">
        <v>10</v>
      </c>
      <c r="H2821" s="115"/>
      <c r="I2821" s="115"/>
      <c r="J2821" s="115"/>
      <c r="K2821" s="115">
        <v>0</v>
      </c>
      <c r="L2821" s="14">
        <f t="shared" si="184"/>
        <v>0</v>
      </c>
      <c r="M2821" s="15">
        <f t="shared" si="185"/>
        <v>0</v>
      </c>
      <c r="N2821" s="15">
        <f t="shared" si="186"/>
        <v>0</v>
      </c>
      <c r="O2821" s="16">
        <f t="shared" si="187"/>
        <v>0</v>
      </c>
    </row>
    <row r="2822" spans="2:15">
      <c r="B2822" s="9">
        <v>24</v>
      </c>
      <c r="C2822" s="10" t="s">
        <v>152</v>
      </c>
      <c r="D2822" s="10" t="s">
        <v>154</v>
      </c>
      <c r="E2822" s="93">
        <v>7</v>
      </c>
      <c r="F2822" s="93">
        <v>9</v>
      </c>
      <c r="G2822" s="10">
        <v>1</v>
      </c>
      <c r="H2822" s="120">
        <v>2.5680000000000973</v>
      </c>
      <c r="I2822" s="120">
        <v>1.1159999999999286</v>
      </c>
      <c r="J2822" s="120">
        <v>1.5160000000000196</v>
      </c>
      <c r="K2822" s="120">
        <v>5.2000000000000455</v>
      </c>
      <c r="L2822" s="9">
        <f t="shared" si="184"/>
        <v>0.55242484570409733</v>
      </c>
      <c r="M2822" s="10">
        <f t="shared" si="185"/>
        <v>0.32551566336313348</v>
      </c>
      <c r="N2822" s="10">
        <f t="shared" si="186"/>
        <v>0.40071063677323471</v>
      </c>
      <c r="O2822" s="11">
        <f t="shared" si="187"/>
        <v>0.79239168949825711</v>
      </c>
    </row>
    <row r="2823" spans="2:15">
      <c r="B2823" s="12">
        <v>24</v>
      </c>
      <c r="C2823" s="4" t="s">
        <v>152</v>
      </c>
      <c r="D2823" s="4" t="s">
        <v>154</v>
      </c>
      <c r="E2823" s="4">
        <v>7</v>
      </c>
      <c r="F2823" s="4">
        <v>9</v>
      </c>
      <c r="G2823" s="4">
        <v>2</v>
      </c>
      <c r="H2823" s="115">
        <v>0.99999999999988631</v>
      </c>
      <c r="I2823" s="115">
        <v>0.81600000000003092</v>
      </c>
      <c r="J2823" s="115">
        <v>0.19999999999998863</v>
      </c>
      <c r="K2823" s="115">
        <v>2.0159999999999059</v>
      </c>
      <c r="L2823" s="12">
        <f t="shared" si="184"/>
        <v>0.3010299956639565</v>
      </c>
      <c r="M2823" s="4">
        <f t="shared" si="185"/>
        <v>0.25911584418507372</v>
      </c>
      <c r="N2823" s="4">
        <f t="shared" si="186"/>
        <v>7.918124604762071E-2</v>
      </c>
      <c r="O2823" s="13">
        <f t="shared" si="187"/>
        <v>0.47943133719772291</v>
      </c>
    </row>
    <row r="2824" spans="2:15">
      <c r="B2824" s="12">
        <v>24</v>
      </c>
      <c r="C2824" s="4" t="s">
        <v>152</v>
      </c>
      <c r="D2824" s="4" t="s">
        <v>154</v>
      </c>
      <c r="E2824" s="4">
        <v>7</v>
      </c>
      <c r="F2824" s="4">
        <v>9</v>
      </c>
      <c r="G2824" s="4">
        <v>3</v>
      </c>
      <c r="H2824" s="115">
        <v>0.60000000000002274</v>
      </c>
      <c r="I2824" s="115">
        <v>0.34999999999996589</v>
      </c>
      <c r="J2824" s="115">
        <v>1.2670000000000528</v>
      </c>
      <c r="K2824" s="115">
        <v>2.2170000000000414</v>
      </c>
      <c r="L2824" s="12">
        <f t="shared" si="184"/>
        <v>0.20411998265593095</v>
      </c>
      <c r="M2824" s="4">
        <f t="shared" si="185"/>
        <v>0.13033376849499514</v>
      </c>
      <c r="N2824" s="4">
        <f t="shared" si="186"/>
        <v>0.35545152012652748</v>
      </c>
      <c r="O2824" s="13">
        <f t="shared" si="187"/>
        <v>0.50745106090197545</v>
      </c>
    </row>
    <row r="2825" spans="2:15">
      <c r="B2825" s="12">
        <v>24</v>
      </c>
      <c r="C2825" s="4" t="s">
        <v>152</v>
      </c>
      <c r="D2825" s="4" t="s">
        <v>154</v>
      </c>
      <c r="E2825" s="4">
        <v>7</v>
      </c>
      <c r="F2825" s="4">
        <v>9</v>
      </c>
      <c r="G2825" s="4">
        <v>4</v>
      </c>
      <c r="H2825" s="115">
        <v>0.95100000000002183</v>
      </c>
      <c r="I2825" s="115">
        <v>0.89900000000005775</v>
      </c>
      <c r="J2825" s="115">
        <v>0.53300000000001546</v>
      </c>
      <c r="K2825" s="115">
        <v>2.383000000000095</v>
      </c>
      <c r="L2825" s="12">
        <f t="shared" si="184"/>
        <v>0.29025726939452295</v>
      </c>
      <c r="M2825" s="4">
        <f t="shared" si="185"/>
        <v>0.27852496473703076</v>
      </c>
      <c r="N2825" s="4">
        <f t="shared" si="186"/>
        <v>0.18554215485437955</v>
      </c>
      <c r="O2825" s="13">
        <f t="shared" si="187"/>
        <v>0.52930199778799281</v>
      </c>
    </row>
    <row r="2826" spans="2:15">
      <c r="B2826" s="12">
        <v>24</v>
      </c>
      <c r="C2826" s="4" t="s">
        <v>152</v>
      </c>
      <c r="D2826" s="4" t="s">
        <v>154</v>
      </c>
      <c r="E2826" s="4">
        <v>7</v>
      </c>
      <c r="F2826" s="4">
        <v>9</v>
      </c>
      <c r="G2826" s="4">
        <v>5</v>
      </c>
      <c r="H2826" s="115">
        <v>0.6330000000000382</v>
      </c>
      <c r="I2826" s="115">
        <v>1.1330000000000382</v>
      </c>
      <c r="J2826" s="115">
        <v>0.11700000000001864</v>
      </c>
      <c r="K2826" s="115">
        <v>1.883000000000095</v>
      </c>
      <c r="L2826" s="12">
        <f t="shared" si="184"/>
        <v>0.21298618473667832</v>
      </c>
      <c r="M2826" s="4">
        <f t="shared" si="185"/>
        <v>0.32899085544943651</v>
      </c>
      <c r="N2826" s="4">
        <f t="shared" si="186"/>
        <v>4.8053173115616306E-2</v>
      </c>
      <c r="O2826" s="13">
        <f t="shared" si="187"/>
        <v>0.45984464238822209</v>
      </c>
    </row>
    <row r="2827" spans="2:15">
      <c r="B2827" s="12">
        <v>24</v>
      </c>
      <c r="C2827" s="4" t="s">
        <v>152</v>
      </c>
      <c r="D2827" s="4" t="s">
        <v>154</v>
      </c>
      <c r="E2827" s="4">
        <v>7</v>
      </c>
      <c r="F2827" s="4">
        <v>9</v>
      </c>
      <c r="G2827" s="4">
        <v>6</v>
      </c>
      <c r="H2827" s="115">
        <v>0.54900000000003502</v>
      </c>
      <c r="I2827" s="115"/>
      <c r="J2827" s="115"/>
      <c r="K2827" s="115">
        <v>0.54900000000003502</v>
      </c>
      <c r="L2827" s="12">
        <f t="shared" si="184"/>
        <v>0.19005141775921583</v>
      </c>
      <c r="M2827" s="4">
        <f t="shared" si="185"/>
        <v>0</v>
      </c>
      <c r="N2827" s="4">
        <f t="shared" si="186"/>
        <v>0</v>
      </c>
      <c r="O2827" s="13">
        <f t="shared" si="187"/>
        <v>0.19005141775921583</v>
      </c>
    </row>
    <row r="2828" spans="2:15">
      <c r="B2828" s="12">
        <v>24</v>
      </c>
      <c r="C2828" s="4" t="s">
        <v>152</v>
      </c>
      <c r="D2828" s="4" t="s">
        <v>154</v>
      </c>
      <c r="E2828" s="4">
        <v>7</v>
      </c>
      <c r="F2828" s="4">
        <v>9</v>
      </c>
      <c r="G2828" s="4">
        <v>7</v>
      </c>
      <c r="H2828" s="115"/>
      <c r="I2828" s="115">
        <v>0.11599999999998545</v>
      </c>
      <c r="J2828" s="115">
        <v>9.9999999999965894E-2</v>
      </c>
      <c r="K2828" s="115">
        <v>0.21599999999995134</v>
      </c>
      <c r="L2828" s="12">
        <f t="shared" si="184"/>
        <v>0</v>
      </c>
      <c r="M2828" s="4">
        <f t="shared" si="185"/>
        <v>4.7664194601554279E-2</v>
      </c>
      <c r="N2828" s="4">
        <f t="shared" si="186"/>
        <v>4.1392685158211574E-2</v>
      </c>
      <c r="O2828" s="13">
        <f t="shared" si="187"/>
        <v>8.4933574936698758E-2</v>
      </c>
    </row>
    <row r="2829" spans="2:15">
      <c r="B2829" s="12">
        <v>24</v>
      </c>
      <c r="C2829" s="4" t="s">
        <v>152</v>
      </c>
      <c r="D2829" s="4" t="s">
        <v>154</v>
      </c>
      <c r="E2829" s="4">
        <v>7</v>
      </c>
      <c r="F2829" s="4">
        <v>9</v>
      </c>
      <c r="G2829" s="4">
        <v>8</v>
      </c>
      <c r="H2829" s="115">
        <v>0.31599999999997408</v>
      </c>
      <c r="I2829" s="115"/>
      <c r="J2829" s="115"/>
      <c r="K2829" s="115">
        <v>0.31599999999997408</v>
      </c>
      <c r="L2829" s="12">
        <f t="shared" si="184"/>
        <v>0.11925588927792813</v>
      </c>
      <c r="M2829" s="4">
        <f t="shared" si="185"/>
        <v>0</v>
      </c>
      <c r="N2829" s="4">
        <f t="shared" si="186"/>
        <v>0</v>
      </c>
      <c r="O2829" s="13">
        <f t="shared" si="187"/>
        <v>0.11925588927792813</v>
      </c>
    </row>
    <row r="2830" spans="2:15">
      <c r="B2830" s="12">
        <v>24</v>
      </c>
      <c r="C2830" s="4" t="s">
        <v>152</v>
      </c>
      <c r="D2830" s="4" t="s">
        <v>154</v>
      </c>
      <c r="E2830" s="4">
        <v>7</v>
      </c>
      <c r="F2830" s="4">
        <v>9</v>
      </c>
      <c r="G2830" s="4">
        <v>9</v>
      </c>
      <c r="H2830" s="115"/>
      <c r="I2830" s="115"/>
      <c r="J2830" s="115"/>
      <c r="K2830" s="115">
        <v>0</v>
      </c>
      <c r="L2830" s="12">
        <f t="shared" si="184"/>
        <v>0</v>
      </c>
      <c r="M2830" s="4">
        <f t="shared" si="185"/>
        <v>0</v>
      </c>
      <c r="N2830" s="4">
        <f t="shared" si="186"/>
        <v>0</v>
      </c>
      <c r="O2830" s="13">
        <f t="shared" si="187"/>
        <v>0</v>
      </c>
    </row>
    <row r="2831" spans="2:15" ht="13.8" thickBot="1">
      <c r="B2831" s="14">
        <v>24</v>
      </c>
      <c r="C2831" s="15" t="s">
        <v>152</v>
      </c>
      <c r="D2831" s="15" t="s">
        <v>154</v>
      </c>
      <c r="E2831" s="15">
        <v>7</v>
      </c>
      <c r="F2831" s="15">
        <v>9</v>
      </c>
      <c r="G2831" s="15">
        <v>10</v>
      </c>
      <c r="H2831" s="121"/>
      <c r="I2831" s="121"/>
      <c r="J2831" s="121"/>
      <c r="K2831" s="121">
        <v>0</v>
      </c>
      <c r="L2831" s="14">
        <f t="shared" si="184"/>
        <v>0</v>
      </c>
      <c r="M2831" s="15">
        <f t="shared" si="185"/>
        <v>0</v>
      </c>
      <c r="N2831" s="15">
        <f t="shared" si="186"/>
        <v>0</v>
      </c>
      <c r="O2831" s="16">
        <f t="shared" si="187"/>
        <v>0</v>
      </c>
    </row>
    <row r="2832" spans="2:15">
      <c r="B2832" s="9">
        <v>24</v>
      </c>
      <c r="C2832" s="10" t="s">
        <v>152</v>
      </c>
      <c r="D2832" s="10" t="s">
        <v>150</v>
      </c>
      <c r="E2832" s="93">
        <v>8</v>
      </c>
      <c r="F2832" s="93">
        <v>1</v>
      </c>
      <c r="G2832" s="10">
        <v>1</v>
      </c>
      <c r="H2832" s="120">
        <v>2.2369999999999948</v>
      </c>
      <c r="I2832" s="120"/>
      <c r="J2832" s="120">
        <v>0.6839999999999975</v>
      </c>
      <c r="K2832" s="120">
        <v>2.9209999999999923</v>
      </c>
      <c r="L2832" s="9">
        <f t="shared" si="184"/>
        <v>0.5101426994025724</v>
      </c>
      <c r="M2832" s="10">
        <f t="shared" si="185"/>
        <v>0</v>
      </c>
      <c r="N2832" s="10">
        <f t="shared" si="186"/>
        <v>0.22634208716363005</v>
      </c>
      <c r="O2832" s="11">
        <f t="shared" si="187"/>
        <v>0.59339684230020584</v>
      </c>
    </row>
    <row r="2833" spans="2:15">
      <c r="B2833" s="12">
        <v>24</v>
      </c>
      <c r="C2833" s="4" t="s">
        <v>152</v>
      </c>
      <c r="D2833" s="4" t="s">
        <v>150</v>
      </c>
      <c r="E2833" s="4">
        <v>8</v>
      </c>
      <c r="F2833" s="4">
        <v>1</v>
      </c>
      <c r="G2833" s="4">
        <v>2</v>
      </c>
      <c r="H2833" s="115"/>
      <c r="I2833" s="115"/>
      <c r="J2833" s="115"/>
      <c r="K2833" s="115">
        <v>0</v>
      </c>
      <c r="L2833" s="12">
        <f t="shared" si="184"/>
        <v>0</v>
      </c>
      <c r="M2833" s="4">
        <f t="shared" si="185"/>
        <v>0</v>
      </c>
      <c r="N2833" s="4">
        <f t="shared" si="186"/>
        <v>0</v>
      </c>
      <c r="O2833" s="13">
        <f t="shared" si="187"/>
        <v>0</v>
      </c>
    </row>
    <row r="2834" spans="2:15">
      <c r="B2834" s="12">
        <v>24</v>
      </c>
      <c r="C2834" s="4" t="s">
        <v>152</v>
      </c>
      <c r="D2834" s="4" t="s">
        <v>150</v>
      </c>
      <c r="E2834" s="4">
        <v>8</v>
      </c>
      <c r="F2834" s="4">
        <v>1</v>
      </c>
      <c r="G2834" s="4">
        <v>3</v>
      </c>
      <c r="H2834" s="115"/>
      <c r="I2834" s="115"/>
      <c r="J2834" s="115"/>
      <c r="K2834" s="115">
        <v>0</v>
      </c>
      <c r="L2834" s="12">
        <f t="shared" si="184"/>
        <v>0</v>
      </c>
      <c r="M2834" s="4">
        <f t="shared" si="185"/>
        <v>0</v>
      </c>
      <c r="N2834" s="4">
        <f t="shared" si="186"/>
        <v>0</v>
      </c>
      <c r="O2834" s="13">
        <f t="shared" si="187"/>
        <v>0</v>
      </c>
    </row>
    <row r="2835" spans="2:15">
      <c r="B2835" s="12">
        <v>24</v>
      </c>
      <c r="C2835" s="4" t="s">
        <v>152</v>
      </c>
      <c r="D2835" s="4" t="s">
        <v>150</v>
      </c>
      <c r="E2835" s="4">
        <v>8</v>
      </c>
      <c r="F2835" s="4">
        <v>1</v>
      </c>
      <c r="G2835" s="4">
        <v>4</v>
      </c>
      <c r="H2835" s="115"/>
      <c r="I2835" s="115"/>
      <c r="J2835" s="115"/>
      <c r="K2835" s="115">
        <v>0</v>
      </c>
      <c r="L2835" s="12">
        <f t="shared" si="184"/>
        <v>0</v>
      </c>
      <c r="M2835" s="4">
        <f t="shared" si="185"/>
        <v>0</v>
      </c>
      <c r="N2835" s="4">
        <f t="shared" si="186"/>
        <v>0</v>
      </c>
      <c r="O2835" s="13">
        <f t="shared" si="187"/>
        <v>0</v>
      </c>
    </row>
    <row r="2836" spans="2:15">
      <c r="B2836" s="12">
        <v>24</v>
      </c>
      <c r="C2836" s="4" t="s">
        <v>152</v>
      </c>
      <c r="D2836" s="4" t="s">
        <v>150</v>
      </c>
      <c r="E2836" s="4">
        <v>8</v>
      </c>
      <c r="F2836" s="4">
        <v>1</v>
      </c>
      <c r="G2836" s="4">
        <v>5</v>
      </c>
      <c r="H2836" s="115"/>
      <c r="I2836" s="115"/>
      <c r="J2836" s="115"/>
      <c r="K2836" s="115">
        <v>0</v>
      </c>
      <c r="L2836" s="12">
        <f t="shared" si="184"/>
        <v>0</v>
      </c>
      <c r="M2836" s="4">
        <f t="shared" si="185"/>
        <v>0</v>
      </c>
      <c r="N2836" s="4">
        <f t="shared" si="186"/>
        <v>0</v>
      </c>
      <c r="O2836" s="13">
        <f t="shared" si="187"/>
        <v>0</v>
      </c>
    </row>
    <row r="2837" spans="2:15">
      <c r="B2837" s="12">
        <v>24</v>
      </c>
      <c r="C2837" s="4" t="s">
        <v>152</v>
      </c>
      <c r="D2837" s="4" t="s">
        <v>150</v>
      </c>
      <c r="E2837" s="4">
        <v>8</v>
      </c>
      <c r="F2837" s="4">
        <v>1</v>
      </c>
      <c r="G2837" s="4">
        <v>6</v>
      </c>
      <c r="H2837" s="115"/>
      <c r="I2837" s="115"/>
      <c r="J2837" s="115"/>
      <c r="K2837" s="115">
        <v>0</v>
      </c>
      <c r="L2837" s="12">
        <f t="shared" si="184"/>
        <v>0</v>
      </c>
      <c r="M2837" s="4">
        <f t="shared" si="185"/>
        <v>0</v>
      </c>
      <c r="N2837" s="4">
        <f t="shared" si="186"/>
        <v>0</v>
      </c>
      <c r="O2837" s="13">
        <f t="shared" si="187"/>
        <v>0</v>
      </c>
    </row>
    <row r="2838" spans="2:15">
      <c r="B2838" s="12">
        <v>24</v>
      </c>
      <c r="C2838" s="4" t="s">
        <v>152</v>
      </c>
      <c r="D2838" s="4" t="s">
        <v>150</v>
      </c>
      <c r="E2838" s="4">
        <v>8</v>
      </c>
      <c r="F2838" s="4">
        <v>1</v>
      </c>
      <c r="G2838" s="4">
        <v>7</v>
      </c>
      <c r="H2838" s="115"/>
      <c r="I2838" s="115"/>
      <c r="J2838" s="115"/>
      <c r="K2838" s="115">
        <v>0</v>
      </c>
      <c r="L2838" s="12">
        <f t="shared" si="184"/>
        <v>0</v>
      </c>
      <c r="M2838" s="4">
        <f t="shared" si="185"/>
        <v>0</v>
      </c>
      <c r="N2838" s="4">
        <f t="shared" si="186"/>
        <v>0</v>
      </c>
      <c r="O2838" s="13">
        <f t="shared" si="187"/>
        <v>0</v>
      </c>
    </row>
    <row r="2839" spans="2:15">
      <c r="B2839" s="12">
        <v>24</v>
      </c>
      <c r="C2839" s="4" t="s">
        <v>152</v>
      </c>
      <c r="D2839" s="4" t="s">
        <v>150</v>
      </c>
      <c r="E2839" s="4">
        <v>8</v>
      </c>
      <c r="F2839" s="4">
        <v>1</v>
      </c>
      <c r="G2839" s="4">
        <v>8</v>
      </c>
      <c r="H2839" s="115"/>
      <c r="I2839" s="115"/>
      <c r="J2839" s="115"/>
      <c r="K2839" s="115">
        <v>0</v>
      </c>
      <c r="L2839" s="12">
        <f t="shared" si="184"/>
        <v>0</v>
      </c>
      <c r="M2839" s="4">
        <f t="shared" si="185"/>
        <v>0</v>
      </c>
      <c r="N2839" s="4">
        <f t="shared" si="186"/>
        <v>0</v>
      </c>
      <c r="O2839" s="13">
        <f t="shared" si="187"/>
        <v>0</v>
      </c>
    </row>
    <row r="2840" spans="2:15">
      <c r="B2840" s="12">
        <v>24</v>
      </c>
      <c r="C2840" s="4" t="s">
        <v>152</v>
      </c>
      <c r="D2840" s="4" t="s">
        <v>150</v>
      </c>
      <c r="E2840" s="4">
        <v>8</v>
      </c>
      <c r="F2840" s="4">
        <v>1</v>
      </c>
      <c r="G2840" s="4">
        <v>9</v>
      </c>
      <c r="H2840" s="115"/>
      <c r="I2840" s="115"/>
      <c r="J2840" s="115"/>
      <c r="K2840" s="115">
        <v>0</v>
      </c>
      <c r="L2840" s="12">
        <f t="shared" si="184"/>
        <v>0</v>
      </c>
      <c r="M2840" s="4">
        <f t="shared" si="185"/>
        <v>0</v>
      </c>
      <c r="N2840" s="4">
        <f t="shared" si="186"/>
        <v>0</v>
      </c>
      <c r="O2840" s="13">
        <f t="shared" si="187"/>
        <v>0</v>
      </c>
    </row>
    <row r="2841" spans="2:15" ht="13.8" thickBot="1">
      <c r="B2841" s="14">
        <v>24</v>
      </c>
      <c r="C2841" s="15" t="s">
        <v>152</v>
      </c>
      <c r="D2841" s="15" t="s">
        <v>150</v>
      </c>
      <c r="E2841" s="15">
        <v>8</v>
      </c>
      <c r="F2841" s="15">
        <v>1</v>
      </c>
      <c r="G2841" s="15">
        <v>10</v>
      </c>
      <c r="H2841" s="121"/>
      <c r="I2841" s="121"/>
      <c r="J2841" s="121"/>
      <c r="K2841" s="121">
        <v>0</v>
      </c>
      <c r="L2841" s="14">
        <f t="shared" si="184"/>
        <v>0</v>
      </c>
      <c r="M2841" s="15">
        <f t="shared" si="185"/>
        <v>0</v>
      </c>
      <c r="N2841" s="15">
        <f t="shared" si="186"/>
        <v>0</v>
      </c>
      <c r="O2841" s="16">
        <f t="shared" si="187"/>
        <v>0</v>
      </c>
    </row>
    <row r="2842" spans="2:15">
      <c r="B2842" s="9">
        <v>24</v>
      </c>
      <c r="C2842" s="10" t="s">
        <v>152</v>
      </c>
      <c r="D2842" s="10" t="s">
        <v>149</v>
      </c>
      <c r="E2842" s="93">
        <v>9</v>
      </c>
      <c r="F2842" s="93">
        <v>5</v>
      </c>
      <c r="G2842" s="10">
        <v>1</v>
      </c>
      <c r="H2842" s="120">
        <v>2.0169999999999959</v>
      </c>
      <c r="I2842" s="120"/>
      <c r="J2842" s="120">
        <v>0.50100000000000477</v>
      </c>
      <c r="K2842" s="120">
        <v>2.5180000000000007</v>
      </c>
      <c r="L2842" s="9">
        <f t="shared" si="184"/>
        <v>0.47957531017498783</v>
      </c>
      <c r="M2842" s="10">
        <f t="shared" si="185"/>
        <v>0</v>
      </c>
      <c r="N2842" s="10">
        <f t="shared" si="186"/>
        <v>0.17638069224327177</v>
      </c>
      <c r="O2842" s="11">
        <f t="shared" si="187"/>
        <v>0.54629583512144253</v>
      </c>
    </row>
    <row r="2843" spans="2:15">
      <c r="B2843" s="12">
        <v>24</v>
      </c>
      <c r="C2843" s="4" t="s">
        <v>152</v>
      </c>
      <c r="D2843" s="4" t="s">
        <v>149</v>
      </c>
      <c r="E2843" s="4">
        <v>9</v>
      </c>
      <c r="F2843" s="4">
        <v>5</v>
      </c>
      <c r="G2843" s="4">
        <v>2</v>
      </c>
      <c r="H2843" s="115">
        <v>0.34899999999998954</v>
      </c>
      <c r="I2843" s="115">
        <v>0.58200000000002206</v>
      </c>
      <c r="J2843" s="115">
        <v>0.38500000000001933</v>
      </c>
      <c r="K2843" s="115">
        <v>1.3160000000000309</v>
      </c>
      <c r="L2843" s="12">
        <f t="shared" si="184"/>
        <v>0.13001194967190088</v>
      </c>
      <c r="M2843" s="4">
        <f t="shared" si="185"/>
        <v>0.19920647916166381</v>
      </c>
      <c r="N2843" s="4">
        <f t="shared" si="186"/>
        <v>0.14144977340047341</v>
      </c>
      <c r="O2843" s="13">
        <f t="shared" si="187"/>
        <v>0.36473855505540437</v>
      </c>
    </row>
    <row r="2844" spans="2:15">
      <c r="B2844" s="12">
        <v>24</v>
      </c>
      <c r="C2844" s="4" t="s">
        <v>152</v>
      </c>
      <c r="D2844" s="4" t="s">
        <v>149</v>
      </c>
      <c r="E2844" s="4">
        <v>9</v>
      </c>
      <c r="F2844" s="4">
        <v>5</v>
      </c>
      <c r="G2844" s="4">
        <v>3</v>
      </c>
      <c r="H2844" s="115"/>
      <c r="I2844" s="115"/>
      <c r="J2844" s="115"/>
      <c r="K2844" s="115">
        <v>0</v>
      </c>
      <c r="L2844" s="12">
        <f t="shared" si="184"/>
        <v>0</v>
      </c>
      <c r="M2844" s="4">
        <f t="shared" si="185"/>
        <v>0</v>
      </c>
      <c r="N2844" s="4">
        <f t="shared" si="186"/>
        <v>0</v>
      </c>
      <c r="O2844" s="13">
        <f t="shared" si="187"/>
        <v>0</v>
      </c>
    </row>
    <row r="2845" spans="2:15">
      <c r="B2845" s="12">
        <v>24</v>
      </c>
      <c r="C2845" s="4" t="s">
        <v>152</v>
      </c>
      <c r="D2845" s="4" t="s">
        <v>149</v>
      </c>
      <c r="E2845" s="4">
        <v>9</v>
      </c>
      <c r="F2845" s="4">
        <v>5</v>
      </c>
      <c r="G2845" s="4">
        <v>4</v>
      </c>
      <c r="H2845" s="115"/>
      <c r="I2845" s="115"/>
      <c r="J2845" s="115"/>
      <c r="K2845" s="115">
        <v>0</v>
      </c>
      <c r="L2845" s="12">
        <f t="shared" si="184"/>
        <v>0</v>
      </c>
      <c r="M2845" s="4">
        <f t="shared" si="185"/>
        <v>0</v>
      </c>
      <c r="N2845" s="4">
        <f t="shared" si="186"/>
        <v>0</v>
      </c>
      <c r="O2845" s="13">
        <f t="shared" si="187"/>
        <v>0</v>
      </c>
    </row>
    <row r="2846" spans="2:15">
      <c r="B2846" s="12">
        <v>24</v>
      </c>
      <c r="C2846" s="4" t="s">
        <v>152</v>
      </c>
      <c r="D2846" s="4" t="s">
        <v>149</v>
      </c>
      <c r="E2846" s="4">
        <v>9</v>
      </c>
      <c r="F2846" s="4">
        <v>5</v>
      </c>
      <c r="G2846" s="4">
        <v>5</v>
      </c>
      <c r="H2846" s="115"/>
      <c r="I2846" s="115"/>
      <c r="J2846" s="115"/>
      <c r="K2846" s="115">
        <v>0</v>
      </c>
      <c r="L2846" s="12">
        <f t="shared" si="184"/>
        <v>0</v>
      </c>
      <c r="M2846" s="4">
        <f t="shared" si="185"/>
        <v>0</v>
      </c>
      <c r="N2846" s="4">
        <f t="shared" si="186"/>
        <v>0</v>
      </c>
      <c r="O2846" s="13">
        <f t="shared" si="187"/>
        <v>0</v>
      </c>
    </row>
    <row r="2847" spans="2:15">
      <c r="B2847" s="12">
        <v>24</v>
      </c>
      <c r="C2847" s="4" t="s">
        <v>152</v>
      </c>
      <c r="D2847" s="4" t="s">
        <v>149</v>
      </c>
      <c r="E2847" s="4">
        <v>9</v>
      </c>
      <c r="F2847" s="4">
        <v>5</v>
      </c>
      <c r="G2847" s="4">
        <v>6</v>
      </c>
      <c r="H2847" s="115"/>
      <c r="I2847" s="115"/>
      <c r="J2847" s="115"/>
      <c r="K2847" s="115">
        <v>0</v>
      </c>
      <c r="L2847" s="12">
        <f t="shared" si="184"/>
        <v>0</v>
      </c>
      <c r="M2847" s="4">
        <f t="shared" si="185"/>
        <v>0</v>
      </c>
      <c r="N2847" s="4">
        <f t="shared" si="186"/>
        <v>0</v>
      </c>
      <c r="O2847" s="13">
        <f t="shared" si="187"/>
        <v>0</v>
      </c>
    </row>
    <row r="2848" spans="2:15">
      <c r="B2848" s="12">
        <v>24</v>
      </c>
      <c r="C2848" s="4" t="s">
        <v>152</v>
      </c>
      <c r="D2848" s="4" t="s">
        <v>149</v>
      </c>
      <c r="E2848" s="4">
        <v>9</v>
      </c>
      <c r="F2848" s="4">
        <v>5</v>
      </c>
      <c r="G2848" s="4">
        <v>7</v>
      </c>
      <c r="H2848" s="115"/>
      <c r="I2848" s="115"/>
      <c r="J2848" s="115"/>
      <c r="K2848" s="115">
        <v>0</v>
      </c>
      <c r="L2848" s="12">
        <f t="shared" si="184"/>
        <v>0</v>
      </c>
      <c r="M2848" s="4">
        <f t="shared" si="185"/>
        <v>0</v>
      </c>
      <c r="N2848" s="4">
        <f t="shared" si="186"/>
        <v>0</v>
      </c>
      <c r="O2848" s="13">
        <f t="shared" si="187"/>
        <v>0</v>
      </c>
    </row>
    <row r="2849" spans="2:15">
      <c r="B2849" s="12">
        <v>24</v>
      </c>
      <c r="C2849" s="4" t="s">
        <v>152</v>
      </c>
      <c r="D2849" s="4" t="s">
        <v>149</v>
      </c>
      <c r="E2849" s="4">
        <v>9</v>
      </c>
      <c r="F2849" s="4">
        <v>5</v>
      </c>
      <c r="G2849" s="4">
        <v>8</v>
      </c>
      <c r="H2849" s="115"/>
      <c r="I2849" s="115"/>
      <c r="J2849" s="115"/>
      <c r="K2849" s="115">
        <v>0</v>
      </c>
      <c r="L2849" s="12">
        <f t="shared" si="184"/>
        <v>0</v>
      </c>
      <c r="M2849" s="4">
        <f t="shared" si="185"/>
        <v>0</v>
      </c>
      <c r="N2849" s="4">
        <f t="shared" si="186"/>
        <v>0</v>
      </c>
      <c r="O2849" s="13">
        <f t="shared" si="187"/>
        <v>0</v>
      </c>
    </row>
    <row r="2850" spans="2:15">
      <c r="B2850" s="12">
        <v>24</v>
      </c>
      <c r="C2850" s="4" t="s">
        <v>152</v>
      </c>
      <c r="D2850" s="4" t="s">
        <v>149</v>
      </c>
      <c r="E2850" s="4">
        <v>9</v>
      </c>
      <c r="F2850" s="4">
        <v>5</v>
      </c>
      <c r="G2850" s="4">
        <v>9</v>
      </c>
      <c r="H2850" s="115"/>
      <c r="I2850" s="115"/>
      <c r="J2850" s="115"/>
      <c r="K2850" s="115">
        <v>0</v>
      </c>
      <c r="L2850" s="12">
        <f t="shared" si="184"/>
        <v>0</v>
      </c>
      <c r="M2850" s="4">
        <f t="shared" si="185"/>
        <v>0</v>
      </c>
      <c r="N2850" s="4">
        <f t="shared" si="186"/>
        <v>0</v>
      </c>
      <c r="O2850" s="13">
        <f t="shared" si="187"/>
        <v>0</v>
      </c>
    </row>
    <row r="2851" spans="2:15" ht="13.8" thickBot="1">
      <c r="B2851" s="14">
        <v>24</v>
      </c>
      <c r="C2851" s="15" t="s">
        <v>152</v>
      </c>
      <c r="D2851" s="15" t="s">
        <v>149</v>
      </c>
      <c r="E2851" s="15">
        <v>9</v>
      </c>
      <c r="F2851" s="15">
        <v>5</v>
      </c>
      <c r="G2851" s="15">
        <v>10</v>
      </c>
      <c r="H2851" s="121"/>
      <c r="I2851" s="121"/>
      <c r="J2851" s="121"/>
      <c r="K2851" s="121">
        <v>0</v>
      </c>
      <c r="L2851" s="14">
        <f t="shared" si="184"/>
        <v>0</v>
      </c>
      <c r="M2851" s="15">
        <f t="shared" si="185"/>
        <v>0</v>
      </c>
      <c r="N2851" s="15">
        <f t="shared" si="186"/>
        <v>0</v>
      </c>
      <c r="O2851" s="16">
        <f t="shared" si="187"/>
        <v>0</v>
      </c>
    </row>
    <row r="2852" spans="2:15">
      <c r="B2852" s="9">
        <v>24</v>
      </c>
      <c r="C2852" s="10" t="s">
        <v>152</v>
      </c>
      <c r="D2852" s="10" t="s">
        <v>150</v>
      </c>
      <c r="E2852" s="93">
        <v>10</v>
      </c>
      <c r="F2852" s="93">
        <v>3</v>
      </c>
      <c r="G2852" s="10">
        <v>1</v>
      </c>
      <c r="H2852" s="120">
        <v>1.785000000000025</v>
      </c>
      <c r="I2852" s="120">
        <v>0.34999999999999432</v>
      </c>
      <c r="J2852" s="120">
        <v>0.58299999999999841</v>
      </c>
      <c r="K2852" s="120">
        <v>2.7180000000000177</v>
      </c>
      <c r="L2852" s="9">
        <f t="shared" si="184"/>
        <v>0.44482519950975158</v>
      </c>
      <c r="M2852" s="10">
        <f t="shared" si="185"/>
        <v>0.13033376849500428</v>
      </c>
      <c r="N2852" s="10">
        <f t="shared" si="186"/>
        <v>0.19948091486235547</v>
      </c>
      <c r="O2852" s="11">
        <f t="shared" si="187"/>
        <v>0.57030938543588183</v>
      </c>
    </row>
    <row r="2853" spans="2:15">
      <c r="B2853" s="12">
        <v>24</v>
      </c>
      <c r="C2853" s="4" t="s">
        <v>152</v>
      </c>
      <c r="D2853" s="4" t="s">
        <v>150</v>
      </c>
      <c r="E2853" s="4">
        <v>10</v>
      </c>
      <c r="F2853" s="4">
        <v>3</v>
      </c>
      <c r="G2853" s="4">
        <v>2</v>
      </c>
      <c r="H2853" s="115"/>
      <c r="I2853" s="115"/>
      <c r="J2853" s="115"/>
      <c r="K2853" s="115">
        <v>0</v>
      </c>
      <c r="L2853" s="12">
        <f t="shared" si="184"/>
        <v>0</v>
      </c>
      <c r="M2853" s="4">
        <f t="shared" si="185"/>
        <v>0</v>
      </c>
      <c r="N2853" s="4">
        <f t="shared" si="186"/>
        <v>0</v>
      </c>
      <c r="O2853" s="13">
        <f t="shared" si="187"/>
        <v>0</v>
      </c>
    </row>
    <row r="2854" spans="2:15">
      <c r="B2854" s="12">
        <v>24</v>
      </c>
      <c r="C2854" s="4" t="s">
        <v>152</v>
      </c>
      <c r="D2854" s="4" t="s">
        <v>150</v>
      </c>
      <c r="E2854" s="4">
        <v>10</v>
      </c>
      <c r="F2854" s="4">
        <v>3</v>
      </c>
      <c r="G2854" s="4">
        <v>3</v>
      </c>
      <c r="H2854" s="115"/>
      <c r="I2854" s="115"/>
      <c r="J2854" s="115"/>
      <c r="K2854" s="115">
        <v>0</v>
      </c>
      <c r="L2854" s="12">
        <f t="shared" si="184"/>
        <v>0</v>
      </c>
      <c r="M2854" s="4">
        <f t="shared" si="185"/>
        <v>0</v>
      </c>
      <c r="N2854" s="4">
        <f t="shared" si="186"/>
        <v>0</v>
      </c>
      <c r="O2854" s="13">
        <f t="shared" si="187"/>
        <v>0</v>
      </c>
    </row>
    <row r="2855" spans="2:15">
      <c r="B2855" s="12">
        <v>24</v>
      </c>
      <c r="C2855" s="4" t="s">
        <v>152</v>
      </c>
      <c r="D2855" s="4" t="s">
        <v>150</v>
      </c>
      <c r="E2855" s="4">
        <v>10</v>
      </c>
      <c r="F2855" s="4">
        <v>3</v>
      </c>
      <c r="G2855" s="4">
        <v>4</v>
      </c>
      <c r="H2855" s="115"/>
      <c r="I2855" s="115"/>
      <c r="J2855" s="115"/>
      <c r="K2855" s="115">
        <v>0</v>
      </c>
      <c r="L2855" s="12">
        <f t="shared" ref="L2855:L2881" si="188">LOG10(H2855+1)</f>
        <v>0</v>
      </c>
      <c r="M2855" s="4">
        <f t="shared" ref="M2855:M2881" si="189">LOG10(I2855+1)</f>
        <v>0</v>
      </c>
      <c r="N2855" s="4">
        <f t="shared" ref="N2855:N2881" si="190">LOG10(J2855+1)</f>
        <v>0</v>
      </c>
      <c r="O2855" s="13">
        <f t="shared" ref="O2855:O2881" si="191">LOG10(K2855+1)</f>
        <v>0</v>
      </c>
    </row>
    <row r="2856" spans="2:15">
      <c r="B2856" s="12">
        <v>24</v>
      </c>
      <c r="C2856" s="4" t="s">
        <v>152</v>
      </c>
      <c r="D2856" s="4" t="s">
        <v>150</v>
      </c>
      <c r="E2856" s="4">
        <v>10</v>
      </c>
      <c r="F2856" s="4">
        <v>3</v>
      </c>
      <c r="G2856" s="4">
        <v>5</v>
      </c>
      <c r="H2856" s="115"/>
      <c r="I2856" s="115"/>
      <c r="J2856" s="115"/>
      <c r="K2856" s="115">
        <v>0</v>
      </c>
      <c r="L2856" s="12">
        <f t="shared" si="188"/>
        <v>0</v>
      </c>
      <c r="M2856" s="4">
        <f t="shared" si="189"/>
        <v>0</v>
      </c>
      <c r="N2856" s="4">
        <f t="shared" si="190"/>
        <v>0</v>
      </c>
      <c r="O2856" s="13">
        <f t="shared" si="191"/>
        <v>0</v>
      </c>
    </row>
    <row r="2857" spans="2:15">
      <c r="B2857" s="12">
        <v>24</v>
      </c>
      <c r="C2857" s="4" t="s">
        <v>152</v>
      </c>
      <c r="D2857" s="4" t="s">
        <v>150</v>
      </c>
      <c r="E2857" s="4">
        <v>10</v>
      </c>
      <c r="F2857" s="4">
        <v>3</v>
      </c>
      <c r="G2857" s="4">
        <v>6</v>
      </c>
      <c r="H2857" s="115"/>
      <c r="I2857" s="115"/>
      <c r="J2857" s="115"/>
      <c r="K2857" s="115">
        <v>0</v>
      </c>
      <c r="L2857" s="12">
        <f t="shared" si="188"/>
        <v>0</v>
      </c>
      <c r="M2857" s="4">
        <f t="shared" si="189"/>
        <v>0</v>
      </c>
      <c r="N2857" s="4">
        <f t="shared" si="190"/>
        <v>0</v>
      </c>
      <c r="O2857" s="13">
        <f t="shared" si="191"/>
        <v>0</v>
      </c>
    </row>
    <row r="2858" spans="2:15">
      <c r="B2858" s="12">
        <v>24</v>
      </c>
      <c r="C2858" s="4" t="s">
        <v>152</v>
      </c>
      <c r="D2858" s="4" t="s">
        <v>150</v>
      </c>
      <c r="E2858" s="4">
        <v>10</v>
      </c>
      <c r="F2858" s="4">
        <v>3</v>
      </c>
      <c r="G2858" s="4">
        <v>7</v>
      </c>
      <c r="H2858" s="115"/>
      <c r="I2858" s="115"/>
      <c r="J2858" s="115"/>
      <c r="K2858" s="115">
        <v>0</v>
      </c>
      <c r="L2858" s="12">
        <f t="shared" si="188"/>
        <v>0</v>
      </c>
      <c r="M2858" s="4">
        <f t="shared" si="189"/>
        <v>0</v>
      </c>
      <c r="N2858" s="4">
        <f t="shared" si="190"/>
        <v>0</v>
      </c>
      <c r="O2858" s="13">
        <f t="shared" si="191"/>
        <v>0</v>
      </c>
    </row>
    <row r="2859" spans="2:15">
      <c r="B2859" s="12">
        <v>24</v>
      </c>
      <c r="C2859" s="4" t="s">
        <v>152</v>
      </c>
      <c r="D2859" s="4" t="s">
        <v>150</v>
      </c>
      <c r="E2859" s="4">
        <v>10</v>
      </c>
      <c r="F2859" s="4">
        <v>3</v>
      </c>
      <c r="G2859" s="4">
        <v>8</v>
      </c>
      <c r="H2859" s="115"/>
      <c r="I2859" s="115"/>
      <c r="J2859" s="115"/>
      <c r="K2859" s="115">
        <v>0</v>
      </c>
      <c r="L2859" s="12">
        <f t="shared" si="188"/>
        <v>0</v>
      </c>
      <c r="M2859" s="4">
        <f t="shared" si="189"/>
        <v>0</v>
      </c>
      <c r="N2859" s="4">
        <f t="shared" si="190"/>
        <v>0</v>
      </c>
      <c r="O2859" s="13">
        <f t="shared" si="191"/>
        <v>0</v>
      </c>
    </row>
    <row r="2860" spans="2:15">
      <c r="B2860" s="12">
        <v>24</v>
      </c>
      <c r="C2860" s="4" t="s">
        <v>152</v>
      </c>
      <c r="D2860" s="4" t="s">
        <v>150</v>
      </c>
      <c r="E2860" s="4">
        <v>10</v>
      </c>
      <c r="F2860" s="4">
        <v>3</v>
      </c>
      <c r="G2860" s="4">
        <v>9</v>
      </c>
      <c r="H2860" s="115"/>
      <c r="I2860" s="115"/>
      <c r="J2860" s="115"/>
      <c r="K2860" s="115">
        <v>0</v>
      </c>
      <c r="L2860" s="12">
        <f t="shared" si="188"/>
        <v>0</v>
      </c>
      <c r="M2860" s="4">
        <f t="shared" si="189"/>
        <v>0</v>
      </c>
      <c r="N2860" s="4">
        <f t="shared" si="190"/>
        <v>0</v>
      </c>
      <c r="O2860" s="13">
        <f t="shared" si="191"/>
        <v>0</v>
      </c>
    </row>
    <row r="2861" spans="2:15" ht="13.8" thickBot="1">
      <c r="B2861" s="14">
        <v>24</v>
      </c>
      <c r="C2861" s="15" t="s">
        <v>152</v>
      </c>
      <c r="D2861" s="15" t="s">
        <v>150</v>
      </c>
      <c r="E2861" s="15">
        <v>10</v>
      </c>
      <c r="F2861" s="15">
        <v>3</v>
      </c>
      <c r="G2861" s="15">
        <v>10</v>
      </c>
      <c r="H2861" s="121"/>
      <c r="I2861" s="121"/>
      <c r="J2861" s="121"/>
      <c r="K2861" s="121">
        <v>0</v>
      </c>
      <c r="L2861" s="14">
        <f t="shared" si="188"/>
        <v>0</v>
      </c>
      <c r="M2861" s="15">
        <f t="shared" si="189"/>
        <v>0</v>
      </c>
      <c r="N2861" s="15">
        <f t="shared" si="190"/>
        <v>0</v>
      </c>
      <c r="O2861" s="16">
        <f t="shared" si="191"/>
        <v>0</v>
      </c>
    </row>
    <row r="2862" spans="2:15">
      <c r="B2862" s="9">
        <v>24</v>
      </c>
      <c r="C2862" s="10" t="s">
        <v>152</v>
      </c>
      <c r="D2862" s="10" t="s">
        <v>154</v>
      </c>
      <c r="E2862" s="93">
        <v>11</v>
      </c>
      <c r="F2862" s="93">
        <v>11</v>
      </c>
      <c r="G2862" s="10">
        <v>1</v>
      </c>
      <c r="H2862" s="120">
        <v>2.1660000000000537</v>
      </c>
      <c r="I2862" s="120">
        <v>0.4010000000000673</v>
      </c>
      <c r="J2862" s="120">
        <v>0.26599999999996271</v>
      </c>
      <c r="K2862" s="120">
        <v>2.8330000000000837</v>
      </c>
      <c r="L2862" s="9">
        <f t="shared" si="188"/>
        <v>0.50051091052634444</v>
      </c>
      <c r="M2862" s="10">
        <f t="shared" si="189"/>
        <v>0.14643813528579547</v>
      </c>
      <c r="N2862" s="10">
        <f t="shared" si="190"/>
        <v>0.10243370568132351</v>
      </c>
      <c r="O2862" s="11">
        <f t="shared" si="191"/>
        <v>0.58353881925436157</v>
      </c>
    </row>
    <row r="2863" spans="2:15">
      <c r="B2863" s="12">
        <v>24</v>
      </c>
      <c r="C2863" s="4" t="s">
        <v>152</v>
      </c>
      <c r="D2863" s="4" t="s">
        <v>154</v>
      </c>
      <c r="E2863" s="4">
        <v>11</v>
      </c>
      <c r="F2863" s="4">
        <v>11</v>
      </c>
      <c r="G2863" s="4">
        <v>2</v>
      </c>
      <c r="H2863" s="115">
        <v>0.21600000000000819</v>
      </c>
      <c r="I2863" s="115"/>
      <c r="J2863" s="115">
        <v>0.26700000000005275</v>
      </c>
      <c r="K2863" s="115">
        <v>0.48300000000006094</v>
      </c>
      <c r="L2863" s="12">
        <f t="shared" si="188"/>
        <v>8.4933574936719061E-2</v>
      </c>
      <c r="M2863" s="4">
        <f t="shared" si="189"/>
        <v>0</v>
      </c>
      <c r="N2863" s="4">
        <f t="shared" si="190"/>
        <v>0.10277661488345942</v>
      </c>
      <c r="O2863" s="13">
        <f t="shared" si="191"/>
        <v>0.17114115102839986</v>
      </c>
    </row>
    <row r="2864" spans="2:15">
      <c r="B2864" s="12">
        <v>24</v>
      </c>
      <c r="C2864" s="4" t="s">
        <v>152</v>
      </c>
      <c r="D2864" s="4" t="s">
        <v>154</v>
      </c>
      <c r="E2864" s="4">
        <v>11</v>
      </c>
      <c r="F2864" s="4">
        <v>11</v>
      </c>
      <c r="G2864" s="4">
        <v>3</v>
      </c>
      <c r="H2864" s="115"/>
      <c r="I2864" s="115">
        <v>0.1169999999999618</v>
      </c>
      <c r="J2864" s="115">
        <v>0.2660000000000764</v>
      </c>
      <c r="K2864" s="115">
        <v>0.3830000000000382</v>
      </c>
      <c r="L2864" s="12">
        <f t="shared" si="188"/>
        <v>0</v>
      </c>
      <c r="M2864" s="4">
        <f t="shared" si="189"/>
        <v>4.8053173115594205E-2</v>
      </c>
      <c r="N2864" s="4">
        <f t="shared" si="190"/>
        <v>0.10243370568136251</v>
      </c>
      <c r="O2864" s="13">
        <f t="shared" si="191"/>
        <v>0.14082218010932257</v>
      </c>
    </row>
    <row r="2865" spans="2:15">
      <c r="B2865" s="12">
        <v>24</v>
      </c>
      <c r="C2865" s="4" t="s">
        <v>152</v>
      </c>
      <c r="D2865" s="4" t="s">
        <v>154</v>
      </c>
      <c r="E2865" s="4">
        <v>11</v>
      </c>
      <c r="F2865" s="4">
        <v>11</v>
      </c>
      <c r="G2865" s="4">
        <v>4</v>
      </c>
      <c r="H2865" s="115"/>
      <c r="I2865" s="115"/>
      <c r="J2865" s="115"/>
      <c r="K2865" s="115">
        <v>0</v>
      </c>
      <c r="L2865" s="12">
        <f t="shared" si="188"/>
        <v>0</v>
      </c>
      <c r="M2865" s="4">
        <f t="shared" si="189"/>
        <v>0</v>
      </c>
      <c r="N2865" s="4">
        <f t="shared" si="190"/>
        <v>0</v>
      </c>
      <c r="O2865" s="13">
        <f t="shared" si="191"/>
        <v>0</v>
      </c>
    </row>
    <row r="2866" spans="2:15">
      <c r="B2866" s="12">
        <v>24</v>
      </c>
      <c r="C2866" s="4" t="s">
        <v>152</v>
      </c>
      <c r="D2866" s="4" t="s">
        <v>154</v>
      </c>
      <c r="E2866" s="4">
        <v>11</v>
      </c>
      <c r="F2866" s="4">
        <v>11</v>
      </c>
      <c r="G2866" s="4">
        <v>5</v>
      </c>
      <c r="H2866" s="115"/>
      <c r="I2866" s="115"/>
      <c r="J2866" s="115"/>
      <c r="K2866" s="115">
        <v>0</v>
      </c>
      <c r="L2866" s="12">
        <f t="shared" si="188"/>
        <v>0</v>
      </c>
      <c r="M2866" s="4">
        <f t="shared" si="189"/>
        <v>0</v>
      </c>
      <c r="N2866" s="4">
        <f t="shared" si="190"/>
        <v>0</v>
      </c>
      <c r="O2866" s="13">
        <f t="shared" si="191"/>
        <v>0</v>
      </c>
    </row>
    <row r="2867" spans="2:15">
      <c r="B2867" s="12">
        <v>24</v>
      </c>
      <c r="C2867" s="4" t="s">
        <v>152</v>
      </c>
      <c r="D2867" s="4" t="s">
        <v>154</v>
      </c>
      <c r="E2867" s="4">
        <v>11</v>
      </c>
      <c r="F2867" s="4">
        <v>11</v>
      </c>
      <c r="G2867" s="4">
        <v>6</v>
      </c>
      <c r="H2867" s="115"/>
      <c r="I2867" s="115"/>
      <c r="J2867" s="115"/>
      <c r="K2867" s="115">
        <v>0</v>
      </c>
      <c r="L2867" s="12">
        <f t="shared" si="188"/>
        <v>0</v>
      </c>
      <c r="M2867" s="4">
        <f t="shared" si="189"/>
        <v>0</v>
      </c>
      <c r="N2867" s="4">
        <f t="shared" si="190"/>
        <v>0</v>
      </c>
      <c r="O2867" s="13">
        <f t="shared" si="191"/>
        <v>0</v>
      </c>
    </row>
    <row r="2868" spans="2:15">
      <c r="B2868" s="12">
        <v>24</v>
      </c>
      <c r="C2868" s="4" t="s">
        <v>152</v>
      </c>
      <c r="D2868" s="4" t="s">
        <v>154</v>
      </c>
      <c r="E2868" s="4">
        <v>11</v>
      </c>
      <c r="F2868" s="4">
        <v>11</v>
      </c>
      <c r="G2868" s="4">
        <v>7</v>
      </c>
      <c r="H2868" s="115"/>
      <c r="I2868" s="115"/>
      <c r="J2868" s="115"/>
      <c r="K2868" s="115">
        <v>0</v>
      </c>
      <c r="L2868" s="12">
        <f t="shared" si="188"/>
        <v>0</v>
      </c>
      <c r="M2868" s="4">
        <f t="shared" si="189"/>
        <v>0</v>
      </c>
      <c r="N2868" s="4">
        <f t="shared" si="190"/>
        <v>0</v>
      </c>
      <c r="O2868" s="13">
        <f t="shared" si="191"/>
        <v>0</v>
      </c>
    </row>
    <row r="2869" spans="2:15">
      <c r="B2869" s="12">
        <v>24</v>
      </c>
      <c r="C2869" s="4" t="s">
        <v>152</v>
      </c>
      <c r="D2869" s="4" t="s">
        <v>154</v>
      </c>
      <c r="E2869" s="4">
        <v>11</v>
      </c>
      <c r="F2869" s="4">
        <v>11</v>
      </c>
      <c r="G2869" s="4">
        <v>8</v>
      </c>
      <c r="H2869" s="115"/>
      <c r="I2869" s="115"/>
      <c r="J2869" s="115"/>
      <c r="K2869" s="115">
        <v>0</v>
      </c>
      <c r="L2869" s="12">
        <f t="shared" si="188"/>
        <v>0</v>
      </c>
      <c r="M2869" s="4">
        <f t="shared" si="189"/>
        <v>0</v>
      </c>
      <c r="N2869" s="4">
        <f t="shared" si="190"/>
        <v>0</v>
      </c>
      <c r="O2869" s="13">
        <f t="shared" si="191"/>
        <v>0</v>
      </c>
    </row>
    <row r="2870" spans="2:15">
      <c r="B2870" s="12">
        <v>24</v>
      </c>
      <c r="C2870" s="4" t="s">
        <v>152</v>
      </c>
      <c r="D2870" s="4" t="s">
        <v>154</v>
      </c>
      <c r="E2870" s="4">
        <v>11</v>
      </c>
      <c r="F2870" s="4">
        <v>11</v>
      </c>
      <c r="G2870" s="4">
        <v>9</v>
      </c>
      <c r="H2870" s="115"/>
      <c r="I2870" s="115"/>
      <c r="J2870" s="115"/>
      <c r="K2870" s="115">
        <v>0</v>
      </c>
      <c r="L2870" s="12">
        <f t="shared" si="188"/>
        <v>0</v>
      </c>
      <c r="M2870" s="4">
        <f t="shared" si="189"/>
        <v>0</v>
      </c>
      <c r="N2870" s="4">
        <f t="shared" si="190"/>
        <v>0</v>
      </c>
      <c r="O2870" s="13">
        <f t="shared" si="191"/>
        <v>0</v>
      </c>
    </row>
    <row r="2871" spans="2:15" ht="13.8" thickBot="1">
      <c r="B2871" s="14">
        <v>24</v>
      </c>
      <c r="C2871" s="15" t="s">
        <v>152</v>
      </c>
      <c r="D2871" s="15" t="s">
        <v>154</v>
      </c>
      <c r="E2871" s="15">
        <v>11</v>
      </c>
      <c r="F2871" s="15">
        <v>11</v>
      </c>
      <c r="G2871" s="15">
        <v>10</v>
      </c>
      <c r="H2871" s="121"/>
      <c r="I2871" s="121"/>
      <c r="J2871" s="121"/>
      <c r="K2871" s="121">
        <v>0</v>
      </c>
      <c r="L2871" s="14">
        <f t="shared" si="188"/>
        <v>0</v>
      </c>
      <c r="M2871" s="15">
        <f t="shared" si="189"/>
        <v>0</v>
      </c>
      <c r="N2871" s="15">
        <f t="shared" si="190"/>
        <v>0</v>
      </c>
      <c r="O2871" s="16">
        <f t="shared" si="191"/>
        <v>0</v>
      </c>
    </row>
    <row r="2872" spans="2:15">
      <c r="B2872" s="117">
        <v>24</v>
      </c>
      <c r="C2872" s="8" t="s">
        <v>152</v>
      </c>
      <c r="D2872" s="8" t="s">
        <v>149</v>
      </c>
      <c r="E2872" s="118">
        <v>12</v>
      </c>
      <c r="F2872" s="118">
        <v>7</v>
      </c>
      <c r="G2872" s="8">
        <v>1</v>
      </c>
      <c r="H2872" s="119">
        <v>2.8349999999999795</v>
      </c>
      <c r="I2872" s="119">
        <v>0.76600000000013324</v>
      </c>
      <c r="J2872" s="119">
        <v>0.38299999999998136</v>
      </c>
      <c r="K2872" s="119">
        <v>3.9840000000000941</v>
      </c>
      <c r="L2872" s="9">
        <f t="shared" si="188"/>
        <v>0.58376536828499748</v>
      </c>
      <c r="M2872" s="10">
        <f t="shared" si="189"/>
        <v>0.24699069924158254</v>
      </c>
      <c r="N2872" s="10">
        <f t="shared" si="190"/>
        <v>0.14082218010930472</v>
      </c>
      <c r="O2872" s="11">
        <f t="shared" si="191"/>
        <v>0.69757803365112137</v>
      </c>
    </row>
    <row r="2873" spans="2:15">
      <c r="B2873" s="12">
        <v>24</v>
      </c>
      <c r="C2873" s="4" t="s">
        <v>152</v>
      </c>
      <c r="D2873" s="4" t="s">
        <v>149</v>
      </c>
      <c r="E2873" s="4">
        <v>12</v>
      </c>
      <c r="F2873" s="4">
        <v>7</v>
      </c>
      <c r="G2873" s="4">
        <v>2</v>
      </c>
      <c r="H2873" s="115"/>
      <c r="I2873" s="115"/>
      <c r="J2873" s="115"/>
      <c r="K2873" s="115">
        <v>0</v>
      </c>
      <c r="L2873" s="12">
        <f t="shared" si="188"/>
        <v>0</v>
      </c>
      <c r="M2873" s="4">
        <f t="shared" si="189"/>
        <v>0</v>
      </c>
      <c r="N2873" s="4">
        <f t="shared" si="190"/>
        <v>0</v>
      </c>
      <c r="O2873" s="13">
        <f t="shared" si="191"/>
        <v>0</v>
      </c>
    </row>
    <row r="2874" spans="2:15">
      <c r="B2874" s="12">
        <v>24</v>
      </c>
      <c r="C2874" s="4" t="s">
        <v>152</v>
      </c>
      <c r="D2874" s="4" t="s">
        <v>149</v>
      </c>
      <c r="E2874" s="4">
        <v>12</v>
      </c>
      <c r="F2874" s="4">
        <v>7</v>
      </c>
      <c r="G2874" s="4">
        <v>3</v>
      </c>
      <c r="H2874" s="115"/>
      <c r="I2874" s="115">
        <v>0.13399999999995771</v>
      </c>
      <c r="J2874" s="115">
        <v>0.33300000000002683</v>
      </c>
      <c r="K2874" s="115">
        <v>0.46699999999998454</v>
      </c>
      <c r="L2874" s="12">
        <f t="shared" si="188"/>
        <v>0</v>
      </c>
      <c r="M2874" s="4">
        <f t="shared" si="189"/>
        <v>5.4613054556871578E-2</v>
      </c>
      <c r="N2874" s="4">
        <f t="shared" si="190"/>
        <v>0.12483014941386794</v>
      </c>
      <c r="O2874" s="13">
        <f t="shared" si="191"/>
        <v>0.1664301138432781</v>
      </c>
    </row>
    <row r="2875" spans="2:15">
      <c r="B2875" s="12">
        <v>24</v>
      </c>
      <c r="C2875" s="4" t="s">
        <v>152</v>
      </c>
      <c r="D2875" s="4" t="s">
        <v>149</v>
      </c>
      <c r="E2875" s="4">
        <v>12</v>
      </c>
      <c r="F2875" s="4">
        <v>7</v>
      </c>
      <c r="G2875" s="4">
        <v>4</v>
      </c>
      <c r="H2875" s="115"/>
      <c r="I2875" s="115"/>
      <c r="J2875" s="115"/>
      <c r="K2875" s="115">
        <v>0</v>
      </c>
      <c r="L2875" s="12">
        <f t="shared" si="188"/>
        <v>0</v>
      </c>
      <c r="M2875" s="4">
        <f t="shared" si="189"/>
        <v>0</v>
      </c>
      <c r="N2875" s="4">
        <f t="shared" si="190"/>
        <v>0</v>
      </c>
      <c r="O2875" s="13">
        <f t="shared" si="191"/>
        <v>0</v>
      </c>
    </row>
    <row r="2876" spans="2:15">
      <c r="B2876" s="12">
        <v>24</v>
      </c>
      <c r="C2876" s="4" t="s">
        <v>152</v>
      </c>
      <c r="D2876" s="4" t="s">
        <v>149</v>
      </c>
      <c r="E2876" s="4">
        <v>12</v>
      </c>
      <c r="F2876" s="4">
        <v>7</v>
      </c>
      <c r="G2876" s="4">
        <v>5</v>
      </c>
      <c r="H2876" s="115"/>
      <c r="I2876" s="115"/>
      <c r="J2876" s="115"/>
      <c r="K2876" s="115">
        <v>0</v>
      </c>
      <c r="L2876" s="12">
        <f t="shared" si="188"/>
        <v>0</v>
      </c>
      <c r="M2876" s="4">
        <f t="shared" si="189"/>
        <v>0</v>
      </c>
      <c r="N2876" s="4">
        <f t="shared" si="190"/>
        <v>0</v>
      </c>
      <c r="O2876" s="13">
        <f t="shared" si="191"/>
        <v>0</v>
      </c>
    </row>
    <row r="2877" spans="2:15">
      <c r="B2877" s="12">
        <v>24</v>
      </c>
      <c r="C2877" s="4" t="s">
        <v>152</v>
      </c>
      <c r="D2877" s="4" t="s">
        <v>149</v>
      </c>
      <c r="E2877" s="4">
        <v>12</v>
      </c>
      <c r="F2877" s="4">
        <v>7</v>
      </c>
      <c r="G2877" s="4">
        <v>6</v>
      </c>
      <c r="H2877" s="115"/>
      <c r="I2877" s="115"/>
      <c r="J2877" s="115"/>
      <c r="K2877" s="115">
        <v>0</v>
      </c>
      <c r="L2877" s="12">
        <f t="shared" si="188"/>
        <v>0</v>
      </c>
      <c r="M2877" s="4">
        <f t="shared" si="189"/>
        <v>0</v>
      </c>
      <c r="N2877" s="4">
        <f t="shared" si="190"/>
        <v>0</v>
      </c>
      <c r="O2877" s="13">
        <f t="shared" si="191"/>
        <v>0</v>
      </c>
    </row>
    <row r="2878" spans="2:15">
      <c r="B2878" s="12">
        <v>24</v>
      </c>
      <c r="C2878" s="4" t="s">
        <v>152</v>
      </c>
      <c r="D2878" s="4" t="s">
        <v>149</v>
      </c>
      <c r="E2878" s="4">
        <v>12</v>
      </c>
      <c r="F2878" s="4">
        <v>7</v>
      </c>
      <c r="G2878" s="4">
        <v>7</v>
      </c>
      <c r="H2878" s="115"/>
      <c r="I2878" s="115"/>
      <c r="J2878" s="115"/>
      <c r="K2878" s="115">
        <v>0</v>
      </c>
      <c r="L2878" s="12">
        <f t="shared" si="188"/>
        <v>0</v>
      </c>
      <c r="M2878" s="4">
        <f t="shared" si="189"/>
        <v>0</v>
      </c>
      <c r="N2878" s="4">
        <f t="shared" si="190"/>
        <v>0</v>
      </c>
      <c r="O2878" s="13">
        <f t="shared" si="191"/>
        <v>0</v>
      </c>
    </row>
    <row r="2879" spans="2:15">
      <c r="B2879" s="12">
        <v>24</v>
      </c>
      <c r="C2879" s="4" t="s">
        <v>152</v>
      </c>
      <c r="D2879" s="4" t="s">
        <v>149</v>
      </c>
      <c r="E2879" s="4">
        <v>12</v>
      </c>
      <c r="F2879" s="4">
        <v>7</v>
      </c>
      <c r="G2879" s="4">
        <v>8</v>
      </c>
      <c r="H2879" s="115"/>
      <c r="I2879" s="115"/>
      <c r="J2879" s="115"/>
      <c r="K2879" s="115">
        <v>0</v>
      </c>
      <c r="L2879" s="12">
        <f t="shared" si="188"/>
        <v>0</v>
      </c>
      <c r="M2879" s="4">
        <f t="shared" si="189"/>
        <v>0</v>
      </c>
      <c r="N2879" s="4">
        <f t="shared" si="190"/>
        <v>0</v>
      </c>
      <c r="O2879" s="13">
        <f t="shared" si="191"/>
        <v>0</v>
      </c>
    </row>
    <row r="2880" spans="2:15">
      <c r="B2880" s="12">
        <v>24</v>
      </c>
      <c r="C2880" s="4" t="s">
        <v>152</v>
      </c>
      <c r="D2880" s="4" t="s">
        <v>149</v>
      </c>
      <c r="E2880" s="4">
        <v>12</v>
      </c>
      <c r="F2880" s="4">
        <v>7</v>
      </c>
      <c r="G2880" s="4">
        <v>9</v>
      </c>
      <c r="H2880" s="115"/>
      <c r="I2880" s="115"/>
      <c r="J2880" s="115"/>
      <c r="K2880" s="115">
        <v>0</v>
      </c>
      <c r="L2880" s="12">
        <f t="shared" si="188"/>
        <v>0</v>
      </c>
      <c r="M2880" s="4">
        <f t="shared" si="189"/>
        <v>0</v>
      </c>
      <c r="N2880" s="4">
        <f t="shared" si="190"/>
        <v>0</v>
      </c>
      <c r="O2880" s="13">
        <f t="shared" si="191"/>
        <v>0</v>
      </c>
    </row>
    <row r="2881" spans="2:15" ht="13.8" thickBot="1">
      <c r="B2881" s="14">
        <v>24</v>
      </c>
      <c r="C2881" s="15" t="s">
        <v>152</v>
      </c>
      <c r="D2881" s="15" t="s">
        <v>149</v>
      </c>
      <c r="E2881" s="15">
        <v>12</v>
      </c>
      <c r="F2881" s="15">
        <v>7</v>
      </c>
      <c r="G2881" s="7">
        <v>10</v>
      </c>
      <c r="H2881" s="115"/>
      <c r="I2881" s="115"/>
      <c r="J2881" s="115"/>
      <c r="K2881" s="115">
        <v>0</v>
      </c>
      <c r="L2881" s="14">
        <f t="shared" si="188"/>
        <v>0</v>
      </c>
      <c r="M2881" s="15">
        <f t="shared" si="189"/>
        <v>0</v>
      </c>
      <c r="N2881" s="15">
        <f t="shared" si="190"/>
        <v>0</v>
      </c>
      <c r="O2881" s="16">
        <f t="shared" si="191"/>
        <v>0</v>
      </c>
    </row>
  </sheetData>
  <sortState ref="B2:O2881">
    <sortCondition ref="B2:B2881"/>
    <sortCondition ref="E2:E2881"/>
    <sortCondition ref="G2:G288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A152"/>
  <sheetViews>
    <sheetView topLeftCell="Q128" zoomScale="90" zoomScaleNormal="90" workbookViewId="0">
      <selection activeCell="N143" sqref="N143"/>
    </sheetView>
  </sheetViews>
  <sheetFormatPr defaultRowHeight="17.399999999999999"/>
  <cols>
    <col min="1" max="1" width="7.8984375" customWidth="1"/>
    <col min="2" max="2" width="4.296875" customWidth="1"/>
    <col min="3" max="3" width="8.296875" customWidth="1"/>
    <col min="4" max="4" width="7" customWidth="1"/>
    <col min="5" max="5" width="7.3984375" customWidth="1"/>
    <col min="6" max="6" width="8.296875" customWidth="1"/>
    <col min="7" max="7" width="7.8984375" customWidth="1"/>
    <col min="8" max="8" width="8" customWidth="1"/>
    <col min="9" max="9" width="6.296875" customWidth="1"/>
    <col min="10" max="12" width="7.8984375" customWidth="1"/>
    <col min="13" max="13" width="10.3984375" style="20" bestFit="1" customWidth="1"/>
    <col min="14" max="14" width="7.296875" style="20" bestFit="1" customWidth="1"/>
    <col min="15" max="15" width="8.3984375" style="20" customWidth="1"/>
    <col min="16" max="16" width="7.8984375" style="20" customWidth="1"/>
    <col min="17" max="26" width="7.8984375" customWidth="1"/>
  </cols>
  <sheetData>
    <row r="2" spans="1:27">
      <c r="A2" s="109" t="s">
        <v>129</v>
      </c>
      <c r="B2" s="21"/>
      <c r="C2" s="21" t="s">
        <v>9</v>
      </c>
      <c r="D2" s="21" t="s">
        <v>126</v>
      </c>
      <c r="E2" s="21" t="s">
        <v>127</v>
      </c>
      <c r="F2" s="21" t="s">
        <v>10</v>
      </c>
      <c r="G2" s="21" t="s">
        <v>126</v>
      </c>
      <c r="H2" s="21" t="s">
        <v>127</v>
      </c>
      <c r="I2" s="21" t="s">
        <v>128</v>
      </c>
      <c r="J2" s="75"/>
      <c r="K2" s="108" t="s">
        <v>129</v>
      </c>
      <c r="L2" s="21"/>
      <c r="M2" s="22" t="s">
        <v>9</v>
      </c>
      <c r="N2" s="22" t="s">
        <v>126</v>
      </c>
      <c r="O2" s="22" t="s">
        <v>127</v>
      </c>
      <c r="P2" s="22" t="s">
        <v>10</v>
      </c>
      <c r="Q2" s="21" t="s">
        <v>126</v>
      </c>
      <c r="R2" s="21" t="s">
        <v>127</v>
      </c>
      <c r="T2" s="108" t="s">
        <v>129</v>
      </c>
      <c r="U2" s="21"/>
      <c r="V2" s="21" t="s">
        <v>9</v>
      </c>
      <c r="W2" s="21" t="s">
        <v>126</v>
      </c>
      <c r="X2" s="21" t="s">
        <v>127</v>
      </c>
      <c r="Y2" s="21" t="s">
        <v>10</v>
      </c>
      <c r="Z2" s="21" t="s">
        <v>126</v>
      </c>
      <c r="AA2" s="21" t="s">
        <v>127</v>
      </c>
    </row>
    <row r="3" spans="1:27">
      <c r="A3" s="110"/>
      <c r="B3" s="21">
        <v>1</v>
      </c>
      <c r="C3" s="21">
        <v>1.19</v>
      </c>
      <c r="D3" s="21">
        <f t="shared" ref="D3:D8" si="0">C3-$I$3</f>
        <v>1.1160999999999999</v>
      </c>
      <c r="E3" s="21">
        <f t="shared" ref="E3:E8" si="1">C3+$I$3</f>
        <v>1.2639</v>
      </c>
      <c r="F3" s="21">
        <v>1.337</v>
      </c>
      <c r="G3" s="21">
        <f t="shared" ref="G3:G8" si="2">F3-$I$3</f>
        <v>1.2630999999999999</v>
      </c>
      <c r="H3" s="21">
        <f t="shared" ref="H3:H8" si="3">F3+$I$3</f>
        <v>1.4109</v>
      </c>
      <c r="I3" s="21">
        <v>7.3899999999999993E-2</v>
      </c>
      <c r="J3" s="75"/>
      <c r="K3" s="108"/>
      <c r="L3" s="21">
        <v>1</v>
      </c>
      <c r="M3" s="22">
        <f t="shared" ref="M3:P8" si="4">10^C3-1</f>
        <v>14.488166189124817</v>
      </c>
      <c r="N3" s="22">
        <f t="shared" si="4"/>
        <v>12.064716797220155</v>
      </c>
      <c r="O3" s="22">
        <f t="shared" si="4"/>
        <v>17.361155134490961</v>
      </c>
      <c r="P3" s="22">
        <f t="shared" si="4"/>
        <v>20.727011788637451</v>
      </c>
      <c r="Q3" s="21">
        <f t="shared" ref="Q3:Q8" si="5">10^G3-1</f>
        <v>17.327363769361245</v>
      </c>
      <c r="R3" s="21">
        <f t="shared" ref="R3:R8" si="6">10^H3-1</f>
        <v>24.757280054252082</v>
      </c>
      <c r="T3" s="108"/>
      <c r="U3" s="21">
        <v>1</v>
      </c>
      <c r="V3" s="21">
        <f t="shared" ref="V3:V8" si="7">M3</f>
        <v>14.488166189124817</v>
      </c>
      <c r="W3" s="21">
        <f t="shared" ref="W3:W8" si="8">M3-N3</f>
        <v>2.4234493919046614</v>
      </c>
      <c r="X3" s="21">
        <f t="shared" ref="X3:X8" si="9">O3-M3</f>
        <v>2.8729889453661439</v>
      </c>
      <c r="Y3" s="21">
        <f t="shared" ref="Y3:Y8" si="10">P3</f>
        <v>20.727011788637451</v>
      </c>
      <c r="Z3" s="21">
        <f t="shared" ref="Z3:Z8" si="11">P3-Q3</f>
        <v>3.3996480192762064</v>
      </c>
      <c r="AA3" s="21">
        <f t="shared" ref="AA3:AA8" si="12">R3-P3</f>
        <v>4.0302682656146303</v>
      </c>
    </row>
    <row r="4" spans="1:27">
      <c r="A4" s="110"/>
      <c r="B4" s="21">
        <v>3</v>
      </c>
      <c r="C4" s="21">
        <v>1.3180000000000001</v>
      </c>
      <c r="D4" s="21">
        <f t="shared" si="0"/>
        <v>1.2441</v>
      </c>
      <c r="E4" s="21">
        <f t="shared" si="1"/>
        <v>1.3919000000000001</v>
      </c>
      <c r="F4" s="21">
        <v>1.3919999999999999</v>
      </c>
      <c r="G4" s="21">
        <f t="shared" si="2"/>
        <v>1.3180999999999998</v>
      </c>
      <c r="H4" s="21">
        <f t="shared" si="3"/>
        <v>1.4659</v>
      </c>
      <c r="I4" s="21"/>
      <c r="J4" s="75"/>
      <c r="K4" s="108"/>
      <c r="L4" s="21">
        <v>3</v>
      </c>
      <c r="M4" s="22">
        <f t="shared" si="4"/>
        <v>19.796966871036972</v>
      </c>
      <c r="N4" s="22">
        <f t="shared" si="4"/>
        <v>16.542843942496525</v>
      </c>
      <c r="O4" s="22">
        <f t="shared" si="4"/>
        <v>23.654715760611044</v>
      </c>
      <c r="P4" s="22">
        <f t="shared" si="4"/>
        <v>23.660393372343396</v>
      </c>
      <c r="Q4" s="21">
        <f t="shared" si="5"/>
        <v>19.801756100985941</v>
      </c>
      <c r="R4" s="21">
        <f t="shared" si="6"/>
        <v>28.234791443876905</v>
      </c>
      <c r="T4" s="108"/>
      <c r="U4" s="21">
        <v>3</v>
      </c>
      <c r="V4" s="21">
        <f t="shared" si="7"/>
        <v>19.796966871036972</v>
      </c>
      <c r="W4" s="21">
        <f t="shared" si="8"/>
        <v>3.2541229285404469</v>
      </c>
      <c r="X4" s="21">
        <f t="shared" si="9"/>
        <v>3.8577488895740721</v>
      </c>
      <c r="Y4" s="21">
        <f t="shared" si="10"/>
        <v>23.660393372343396</v>
      </c>
      <c r="Z4" s="21">
        <f t="shared" si="11"/>
        <v>3.8586372713574555</v>
      </c>
      <c r="AA4" s="21">
        <f t="shared" si="12"/>
        <v>4.5743980715335084</v>
      </c>
    </row>
    <row r="5" spans="1:27">
      <c r="A5" s="110"/>
      <c r="B5" s="21">
        <v>5</v>
      </c>
      <c r="C5" s="21">
        <v>1.407</v>
      </c>
      <c r="D5" s="21">
        <f t="shared" si="0"/>
        <v>1.3331</v>
      </c>
      <c r="E5" s="21">
        <f t="shared" si="1"/>
        <v>1.4809000000000001</v>
      </c>
      <c r="F5" s="21">
        <v>1.43</v>
      </c>
      <c r="G5" s="21">
        <f t="shared" si="2"/>
        <v>1.3560999999999999</v>
      </c>
      <c r="H5" s="21">
        <f t="shared" si="3"/>
        <v>1.5039</v>
      </c>
      <c r="I5" s="21"/>
      <c r="J5" s="75"/>
      <c r="K5" s="108"/>
      <c r="L5" s="21">
        <v>5</v>
      </c>
      <c r="M5" s="22">
        <f t="shared" si="4"/>
        <v>24.52701302661248</v>
      </c>
      <c r="N5" s="22">
        <f t="shared" si="4"/>
        <v>20.532774881109852</v>
      </c>
      <c r="O5" s="22">
        <f t="shared" si="4"/>
        <v>29.262165357633492</v>
      </c>
      <c r="P5" s="22">
        <f t="shared" si="4"/>
        <v>25.915348039269158</v>
      </c>
      <c r="Q5" s="21">
        <f t="shared" si="5"/>
        <v>21.703875677585071</v>
      </c>
      <c r="R5" s="21">
        <f t="shared" si="6"/>
        <v>30.908030609514238</v>
      </c>
      <c r="T5" s="108"/>
      <c r="U5" s="21">
        <v>5</v>
      </c>
      <c r="V5" s="21">
        <f t="shared" si="7"/>
        <v>24.52701302661248</v>
      </c>
      <c r="W5" s="21">
        <f t="shared" si="8"/>
        <v>3.9942381455026279</v>
      </c>
      <c r="X5" s="21">
        <f t="shared" si="9"/>
        <v>4.7351523310210126</v>
      </c>
      <c r="Y5" s="21">
        <f t="shared" si="10"/>
        <v>25.915348039269158</v>
      </c>
      <c r="Z5" s="21">
        <f t="shared" si="11"/>
        <v>4.2114723616840877</v>
      </c>
      <c r="AA5" s="21">
        <f t="shared" si="12"/>
        <v>4.9926825702450799</v>
      </c>
    </row>
    <row r="6" spans="1:27">
      <c r="A6" s="110"/>
      <c r="B6" s="21">
        <v>6</v>
      </c>
      <c r="C6" s="21">
        <v>1.454</v>
      </c>
      <c r="D6" s="21">
        <f t="shared" si="0"/>
        <v>1.3800999999999999</v>
      </c>
      <c r="E6" s="21">
        <f t="shared" si="1"/>
        <v>1.5279</v>
      </c>
      <c r="F6" s="21">
        <v>1.419</v>
      </c>
      <c r="G6" s="21">
        <f t="shared" si="2"/>
        <v>1.3451</v>
      </c>
      <c r="H6" s="21">
        <f t="shared" si="3"/>
        <v>1.4929000000000001</v>
      </c>
      <c r="I6" s="21"/>
      <c r="J6" s="75"/>
      <c r="K6" s="108"/>
      <c r="L6" s="21">
        <v>6</v>
      </c>
      <c r="M6" s="22">
        <f t="shared" si="4"/>
        <v>27.444611074479159</v>
      </c>
      <c r="N6" s="22">
        <f t="shared" si="4"/>
        <v>22.993853343082026</v>
      </c>
      <c r="O6" s="22">
        <f t="shared" si="4"/>
        <v>32.720965432660009</v>
      </c>
      <c r="P6" s="22">
        <f t="shared" si="4"/>
        <v>25.242185433844426</v>
      </c>
      <c r="Q6" s="21">
        <f t="shared" si="5"/>
        <v>21.136043521669265</v>
      </c>
      <c r="R6" s="21">
        <f t="shared" si="6"/>
        <v>30.10999920424559</v>
      </c>
      <c r="T6" s="108"/>
      <c r="U6" s="21">
        <v>6</v>
      </c>
      <c r="V6" s="21">
        <f t="shared" si="7"/>
        <v>27.444611074479159</v>
      </c>
      <c r="W6" s="21">
        <f t="shared" si="8"/>
        <v>4.4507577313971325</v>
      </c>
      <c r="X6" s="21">
        <f t="shared" si="9"/>
        <v>5.2763543581808499</v>
      </c>
      <c r="Y6" s="21">
        <f t="shared" si="10"/>
        <v>25.242185433844426</v>
      </c>
      <c r="Z6" s="21">
        <f t="shared" si="11"/>
        <v>4.1061419121751612</v>
      </c>
      <c r="AA6" s="21">
        <f t="shared" si="12"/>
        <v>4.8678137704011633</v>
      </c>
    </row>
    <row r="7" spans="1:27">
      <c r="A7" s="110"/>
      <c r="B7" s="21">
        <v>8</v>
      </c>
      <c r="C7" s="21">
        <v>1.3879999999999999</v>
      </c>
      <c r="D7" s="21">
        <f t="shared" si="0"/>
        <v>1.3140999999999998</v>
      </c>
      <c r="E7" s="21">
        <f t="shared" si="1"/>
        <v>1.4619</v>
      </c>
      <c r="F7" s="21">
        <v>1.401</v>
      </c>
      <c r="G7" s="21">
        <f t="shared" si="2"/>
        <v>1.3270999999999999</v>
      </c>
      <c r="H7" s="21">
        <f t="shared" si="3"/>
        <v>1.4749000000000001</v>
      </c>
      <c r="I7" s="21"/>
      <c r="J7" s="75"/>
      <c r="K7" s="108"/>
      <c r="L7" s="21">
        <v>8</v>
      </c>
      <c r="M7" s="22">
        <f t="shared" si="4"/>
        <v>23.434305526939717</v>
      </c>
      <c r="N7" s="22">
        <f t="shared" si="4"/>
        <v>19.61104445472489</v>
      </c>
      <c r="O7" s="22">
        <f t="shared" si="4"/>
        <v>27.966765264870993</v>
      </c>
      <c r="P7" s="22">
        <f t="shared" si="4"/>
        <v>24.176769277588562</v>
      </c>
      <c r="Q7" s="21">
        <f t="shared" si="5"/>
        <v>20.237334133953681</v>
      </c>
      <c r="R7" s="21">
        <f t="shared" si="6"/>
        <v>28.84695288301339</v>
      </c>
      <c r="T7" s="108"/>
      <c r="U7" s="21">
        <v>8</v>
      </c>
      <c r="V7" s="21">
        <f t="shared" si="7"/>
        <v>23.434305526939717</v>
      </c>
      <c r="W7" s="21">
        <f t="shared" si="8"/>
        <v>3.8232610722148266</v>
      </c>
      <c r="X7" s="21">
        <f t="shared" si="9"/>
        <v>4.5324597379312763</v>
      </c>
      <c r="Y7" s="21">
        <f t="shared" si="10"/>
        <v>24.176769277588562</v>
      </c>
      <c r="Z7" s="21">
        <f t="shared" si="11"/>
        <v>3.9394351436348813</v>
      </c>
      <c r="AA7" s="21">
        <f t="shared" si="12"/>
        <v>4.6701836054248282</v>
      </c>
    </row>
    <row r="8" spans="1:27">
      <c r="A8" s="111"/>
      <c r="B8" s="21">
        <v>10</v>
      </c>
      <c r="C8" s="21">
        <v>1.4410000000000001</v>
      </c>
      <c r="D8" s="21">
        <f t="shared" si="0"/>
        <v>1.3671</v>
      </c>
      <c r="E8" s="21">
        <f t="shared" si="1"/>
        <v>1.5149000000000001</v>
      </c>
      <c r="F8" s="21">
        <v>1.4670000000000001</v>
      </c>
      <c r="G8" s="21">
        <f t="shared" si="2"/>
        <v>1.3931</v>
      </c>
      <c r="H8" s="21">
        <f t="shared" si="3"/>
        <v>1.5409000000000002</v>
      </c>
      <c r="I8" s="21"/>
      <c r="J8" s="75"/>
      <c r="K8" s="108"/>
      <c r="L8" s="21">
        <v>10</v>
      </c>
      <c r="M8" s="22">
        <f t="shared" si="4"/>
        <v>26.605778562203465</v>
      </c>
      <c r="N8" s="22">
        <f t="shared" si="4"/>
        <v>22.286273822087622</v>
      </c>
      <c r="O8" s="22">
        <f t="shared" si="4"/>
        <v>31.726533057537161</v>
      </c>
      <c r="P8" s="22">
        <f t="shared" si="4"/>
        <v>28.308932452503218</v>
      </c>
      <c r="Q8" s="21">
        <f t="shared" si="5"/>
        <v>23.722933460623395</v>
      </c>
      <c r="R8" s="21">
        <f t="shared" si="6"/>
        <v>33.745614749704394</v>
      </c>
      <c r="T8" s="108"/>
      <c r="U8" s="21">
        <v>10</v>
      </c>
      <c r="V8" s="21">
        <f t="shared" si="7"/>
        <v>26.605778562203465</v>
      </c>
      <c r="W8" s="21">
        <f t="shared" si="8"/>
        <v>4.3195047401158426</v>
      </c>
      <c r="X8" s="21">
        <f t="shared" si="9"/>
        <v>5.1207544953336956</v>
      </c>
      <c r="Y8" s="21">
        <f t="shared" si="10"/>
        <v>28.308932452503218</v>
      </c>
      <c r="Z8" s="21">
        <f t="shared" si="11"/>
        <v>4.5859989918798227</v>
      </c>
      <c r="AA8" s="21">
        <f t="shared" si="12"/>
        <v>5.4366822972011768</v>
      </c>
    </row>
    <row r="12" spans="1:27" ht="17.399999999999999" customHeight="1">
      <c r="A12" s="109" t="s">
        <v>130</v>
      </c>
      <c r="B12" s="21"/>
      <c r="C12" s="21" t="s">
        <v>9</v>
      </c>
      <c r="D12" s="21" t="s">
        <v>126</v>
      </c>
      <c r="E12" s="21" t="s">
        <v>127</v>
      </c>
      <c r="F12" s="21" t="s">
        <v>10</v>
      </c>
      <c r="G12" s="21" t="s">
        <v>126</v>
      </c>
      <c r="H12" s="21" t="s">
        <v>127</v>
      </c>
      <c r="I12" s="21" t="s">
        <v>128</v>
      </c>
      <c r="J12" s="75"/>
      <c r="K12" s="109" t="s">
        <v>130</v>
      </c>
      <c r="L12" s="21"/>
      <c r="M12" s="22" t="s">
        <v>9</v>
      </c>
      <c r="N12" s="22" t="s">
        <v>126</v>
      </c>
      <c r="O12" s="22" t="s">
        <v>127</v>
      </c>
      <c r="P12" s="22" t="s">
        <v>10</v>
      </c>
      <c r="Q12" s="21" t="s">
        <v>126</v>
      </c>
      <c r="R12" s="21" t="s">
        <v>127</v>
      </c>
      <c r="T12" s="109" t="s">
        <v>130</v>
      </c>
      <c r="U12" s="21"/>
      <c r="V12" s="21" t="s">
        <v>9</v>
      </c>
      <c r="W12" s="21" t="s">
        <v>126</v>
      </c>
      <c r="X12" s="21" t="s">
        <v>127</v>
      </c>
      <c r="Y12" s="21" t="s">
        <v>10</v>
      </c>
      <c r="Z12" s="21" t="s">
        <v>126</v>
      </c>
      <c r="AA12" s="21" t="s">
        <v>127</v>
      </c>
    </row>
    <row r="13" spans="1:27">
      <c r="A13" s="110"/>
      <c r="B13" s="21">
        <v>1</v>
      </c>
      <c r="C13" s="21">
        <v>1.607</v>
      </c>
      <c r="D13" s="21">
        <f t="shared" ref="D13:D18" si="13">C13-$I$13</f>
        <v>1.5459000000000001</v>
      </c>
      <c r="E13" s="21">
        <f t="shared" ref="E13:E18" si="14">C13+$I$13</f>
        <v>1.6680999999999999</v>
      </c>
      <c r="F13" s="21">
        <v>1.7270000000000001</v>
      </c>
      <c r="G13" s="21">
        <f t="shared" ref="G13:G18" si="15">F13-$I$13</f>
        <v>1.6659000000000002</v>
      </c>
      <c r="H13" s="21">
        <f t="shared" ref="H13:H18" si="16">F13+$I$13</f>
        <v>1.7881</v>
      </c>
      <c r="I13" s="21">
        <v>6.1100000000000002E-2</v>
      </c>
      <c r="J13" s="75"/>
      <c r="K13" s="110"/>
      <c r="L13" s="21">
        <v>1</v>
      </c>
      <c r="M13" s="22">
        <f t="shared" ref="M13:M18" si="17">10^C13-1</f>
        <v>39.457589169744281</v>
      </c>
      <c r="N13" s="22">
        <f t="shared" ref="N13:N18" si="18">10^D13-1</f>
        <v>34.147950006430655</v>
      </c>
      <c r="O13" s="22">
        <f t="shared" ref="O13:O18" si="19">10^E13-1</f>
        <v>45.569331102620161</v>
      </c>
      <c r="P13" s="22">
        <f t="shared" ref="P13:P18" si="20">10^F13-1</f>
        <v>52.333489548762124</v>
      </c>
      <c r="Q13" s="21">
        <f t="shared" ref="Q13:Q18" si="21">10^G13-1</f>
        <v>45.334021942420932</v>
      </c>
      <c r="R13" s="21">
        <f t="shared" ref="R13:R18" si="22">10^H13-1</f>
        <v>60.390334536093512</v>
      </c>
      <c r="T13" s="110"/>
      <c r="U13" s="21">
        <v>1</v>
      </c>
      <c r="V13" s="21">
        <f t="shared" ref="V13:V18" si="23">M13</f>
        <v>39.457589169744281</v>
      </c>
      <c r="W13" s="21">
        <f t="shared" ref="W13:W18" si="24">M13-N13</f>
        <v>5.3096391633136264</v>
      </c>
      <c r="X13" s="21">
        <f t="shared" ref="X13:X18" si="25">O13-M13</f>
        <v>6.11174193287588</v>
      </c>
      <c r="Y13" s="21">
        <f t="shared" ref="Y13:Y18" si="26">P13</f>
        <v>52.333489548762124</v>
      </c>
      <c r="Z13" s="21">
        <f t="shared" ref="Z13:Z18" si="27">P13-Q13</f>
        <v>6.9994676063411916</v>
      </c>
      <c r="AA13" s="21">
        <f t="shared" ref="AA13:AA18" si="28">R13-P13</f>
        <v>8.0568449873313881</v>
      </c>
    </row>
    <row r="14" spans="1:27">
      <c r="A14" s="110"/>
      <c r="B14" s="21">
        <v>3</v>
      </c>
      <c r="C14" s="21">
        <v>1.673</v>
      </c>
      <c r="D14" s="21">
        <f t="shared" si="13"/>
        <v>1.6119000000000001</v>
      </c>
      <c r="E14" s="21">
        <f t="shared" si="14"/>
        <v>1.7341</v>
      </c>
      <c r="F14" s="21">
        <v>1.7210000000000001</v>
      </c>
      <c r="G14" s="21">
        <f t="shared" si="15"/>
        <v>1.6599000000000002</v>
      </c>
      <c r="H14" s="21">
        <f t="shared" si="16"/>
        <v>1.7821</v>
      </c>
      <c r="I14" s="21"/>
      <c r="J14" s="75"/>
      <c r="K14" s="110"/>
      <c r="L14" s="21">
        <v>3</v>
      </c>
      <c r="M14" s="22">
        <f t="shared" si="17"/>
        <v>46.097732639695309</v>
      </c>
      <c r="N14" s="22">
        <f t="shared" si="18"/>
        <v>39.916643482904568</v>
      </c>
      <c r="O14" s="22">
        <f t="shared" si="19"/>
        <v>53.212570508795707</v>
      </c>
      <c r="P14" s="22">
        <f t="shared" si="20"/>
        <v>51.601726639070655</v>
      </c>
      <c r="Q14" s="21">
        <f t="shared" si="21"/>
        <v>44.698295328596124</v>
      </c>
      <c r="R14" s="21">
        <f t="shared" si="22"/>
        <v>59.548027568986264</v>
      </c>
      <c r="T14" s="110"/>
      <c r="U14" s="21">
        <v>3</v>
      </c>
      <c r="V14" s="21">
        <f t="shared" si="23"/>
        <v>46.097732639695309</v>
      </c>
      <c r="W14" s="21">
        <f t="shared" si="24"/>
        <v>6.1810891567907404</v>
      </c>
      <c r="X14" s="21">
        <f t="shared" si="25"/>
        <v>7.1148378691003984</v>
      </c>
      <c r="Y14" s="21">
        <f t="shared" si="26"/>
        <v>51.601726639070655</v>
      </c>
      <c r="Z14" s="21">
        <f t="shared" si="27"/>
        <v>6.9034313104745308</v>
      </c>
      <c r="AA14" s="21">
        <f t="shared" si="28"/>
        <v>7.9463009299156084</v>
      </c>
    </row>
    <row r="15" spans="1:27">
      <c r="A15" s="110"/>
      <c r="B15" s="21">
        <v>5</v>
      </c>
      <c r="C15" s="21">
        <v>1.786</v>
      </c>
      <c r="D15" s="21">
        <f t="shared" si="13"/>
        <v>1.7249000000000001</v>
      </c>
      <c r="E15" s="21">
        <f t="shared" si="14"/>
        <v>1.8471</v>
      </c>
      <c r="F15" s="21">
        <v>1.732</v>
      </c>
      <c r="G15" s="21">
        <f t="shared" si="15"/>
        <v>1.6709000000000001</v>
      </c>
      <c r="H15" s="21">
        <f t="shared" si="16"/>
        <v>1.7930999999999999</v>
      </c>
      <c r="I15" s="21"/>
      <c r="J15" s="75"/>
      <c r="K15" s="110"/>
      <c r="L15" s="21">
        <v>5</v>
      </c>
      <c r="M15" s="22">
        <f t="shared" si="17"/>
        <v>60.094202490557237</v>
      </c>
      <c r="N15" s="22">
        <f t="shared" si="18"/>
        <v>52.076221764264595</v>
      </c>
      <c r="O15" s="22">
        <f t="shared" si="19"/>
        <v>69.323422690765966</v>
      </c>
      <c r="P15" s="22">
        <f t="shared" si="20"/>
        <v>52.951062251512788</v>
      </c>
      <c r="Q15" s="21">
        <f t="shared" si="21"/>
        <v>45.870544630180326</v>
      </c>
      <c r="R15" s="21">
        <f t="shared" si="22"/>
        <v>61.101201106854077</v>
      </c>
      <c r="T15" s="110"/>
      <c r="U15" s="21">
        <v>5</v>
      </c>
      <c r="V15" s="21">
        <f t="shared" si="23"/>
        <v>60.094202490557237</v>
      </c>
      <c r="W15" s="21">
        <f t="shared" si="24"/>
        <v>8.0179807262926417</v>
      </c>
      <c r="X15" s="21">
        <f t="shared" si="25"/>
        <v>9.2292202002087294</v>
      </c>
      <c r="Y15" s="21">
        <f t="shared" si="26"/>
        <v>52.951062251512788</v>
      </c>
      <c r="Z15" s="21">
        <f t="shared" si="27"/>
        <v>7.0805176213324614</v>
      </c>
      <c r="AA15" s="21">
        <f t="shared" si="28"/>
        <v>8.1501388553412895</v>
      </c>
    </row>
    <row r="16" spans="1:27">
      <c r="A16" s="110"/>
      <c r="B16" s="21">
        <v>6</v>
      </c>
      <c r="C16" s="21">
        <v>1.7490000000000001</v>
      </c>
      <c r="D16" s="21">
        <f t="shared" si="13"/>
        <v>1.6879000000000002</v>
      </c>
      <c r="E16" s="21">
        <f t="shared" si="14"/>
        <v>1.8101</v>
      </c>
      <c r="F16" s="21">
        <v>1.784</v>
      </c>
      <c r="G16" s="21">
        <f t="shared" si="15"/>
        <v>1.7229000000000001</v>
      </c>
      <c r="H16" s="21">
        <f t="shared" si="16"/>
        <v>1.8451</v>
      </c>
      <c r="I16" s="21"/>
      <c r="J16" s="75"/>
      <c r="K16" s="110"/>
      <c r="L16" s="21">
        <v>6</v>
      </c>
      <c r="M16" s="22">
        <f t="shared" si="17"/>
        <v>55.104797603247071</v>
      </c>
      <c r="N16" s="22">
        <f t="shared" si="18"/>
        <v>47.741624544315442</v>
      </c>
      <c r="O16" s="22">
        <f t="shared" si="19"/>
        <v>63.580291353223473</v>
      </c>
      <c r="P16" s="22">
        <f t="shared" si="20"/>
        <v>59.813500127871841</v>
      </c>
      <c r="Q16" s="21">
        <f t="shared" si="21"/>
        <v>51.83235867669999</v>
      </c>
      <c r="R16" s="21">
        <f t="shared" si="22"/>
        <v>69.000315913089707</v>
      </c>
      <c r="T16" s="110"/>
      <c r="U16" s="21">
        <v>6</v>
      </c>
      <c r="V16" s="21">
        <f t="shared" si="23"/>
        <v>55.104797603247071</v>
      </c>
      <c r="W16" s="21">
        <f t="shared" si="24"/>
        <v>7.3631730589316291</v>
      </c>
      <c r="X16" s="21">
        <f t="shared" si="25"/>
        <v>8.4754937499764011</v>
      </c>
      <c r="Y16" s="21">
        <f t="shared" si="26"/>
        <v>59.813500127871841</v>
      </c>
      <c r="Z16" s="21">
        <f t="shared" si="27"/>
        <v>7.981141451171851</v>
      </c>
      <c r="AA16" s="21">
        <f t="shared" si="28"/>
        <v>9.1868157852178669</v>
      </c>
    </row>
    <row r="17" spans="1:27">
      <c r="A17" s="110"/>
      <c r="B17" s="21">
        <v>8</v>
      </c>
      <c r="C17" s="21">
        <v>1.7609999999999999</v>
      </c>
      <c r="D17" s="21">
        <f t="shared" si="13"/>
        <v>1.6999</v>
      </c>
      <c r="E17" s="21">
        <f t="shared" si="14"/>
        <v>1.8220999999999998</v>
      </c>
      <c r="F17" s="21">
        <v>1.8009999999999999</v>
      </c>
      <c r="G17" s="21">
        <f t="shared" si="15"/>
        <v>1.7399</v>
      </c>
      <c r="H17" s="21">
        <f t="shared" si="16"/>
        <v>1.8620999999999999</v>
      </c>
      <c r="I17" s="21"/>
      <c r="J17" s="75"/>
      <c r="K17" s="110"/>
      <c r="L17" s="21">
        <v>8</v>
      </c>
      <c r="M17" s="22">
        <f t="shared" si="17"/>
        <v>56.676646339225066</v>
      </c>
      <c r="N17" s="22">
        <f t="shared" si="18"/>
        <v>49.107184428717595</v>
      </c>
      <c r="O17" s="22">
        <f t="shared" si="19"/>
        <v>65.389592048869872</v>
      </c>
      <c r="P17" s="22">
        <f t="shared" si="20"/>
        <v>62.241185137621969</v>
      </c>
      <c r="Q17" s="21">
        <f t="shared" si="21"/>
        <v>53.941435196214165</v>
      </c>
      <c r="R17" s="21">
        <f t="shared" si="22"/>
        <v>71.794740132426739</v>
      </c>
      <c r="T17" s="110"/>
      <c r="U17" s="21">
        <v>8</v>
      </c>
      <c r="V17" s="21">
        <f t="shared" si="23"/>
        <v>56.676646339225066</v>
      </c>
      <c r="W17" s="21">
        <f t="shared" si="24"/>
        <v>7.5694619105074707</v>
      </c>
      <c r="X17" s="21">
        <f t="shared" si="25"/>
        <v>8.7129457096448064</v>
      </c>
      <c r="Y17" s="21">
        <f t="shared" si="26"/>
        <v>62.241185137621969</v>
      </c>
      <c r="Z17" s="21">
        <f t="shared" si="27"/>
        <v>8.2997499414078035</v>
      </c>
      <c r="AA17" s="21">
        <f t="shared" si="28"/>
        <v>9.5535549948047702</v>
      </c>
    </row>
    <row r="18" spans="1:27">
      <c r="A18" s="111"/>
      <c r="B18" s="21">
        <v>10</v>
      </c>
      <c r="C18" s="21">
        <v>1.766</v>
      </c>
      <c r="D18" s="21">
        <f t="shared" si="13"/>
        <v>1.7049000000000001</v>
      </c>
      <c r="E18" s="21">
        <f t="shared" si="14"/>
        <v>1.8270999999999999</v>
      </c>
      <c r="F18" s="21">
        <v>1.8640000000000001</v>
      </c>
      <c r="G18" s="21">
        <f t="shared" si="15"/>
        <v>1.8029000000000002</v>
      </c>
      <c r="H18" s="21">
        <f t="shared" si="16"/>
        <v>1.9251</v>
      </c>
      <c r="I18" s="21"/>
      <c r="J18" s="75"/>
      <c r="K18" s="111"/>
      <c r="L18" s="21">
        <v>10</v>
      </c>
      <c r="M18" s="22">
        <f t="shared" si="17"/>
        <v>57.344510427374516</v>
      </c>
      <c r="N18" s="22">
        <f t="shared" si="18"/>
        <v>49.687398278902251</v>
      </c>
      <c r="O18" s="22">
        <f t="shared" si="19"/>
        <v>66.15834729333308</v>
      </c>
      <c r="P18" s="22">
        <f t="shared" si="20"/>
        <v>72.113908348341823</v>
      </c>
      <c r="Q18" s="21">
        <f t="shared" si="21"/>
        <v>62.51846583394709</v>
      </c>
      <c r="R18" s="21">
        <f t="shared" si="22"/>
        <v>83.158890234291093</v>
      </c>
      <c r="T18" s="111"/>
      <c r="U18" s="21">
        <v>10</v>
      </c>
      <c r="V18" s="21">
        <f t="shared" si="23"/>
        <v>57.344510427374516</v>
      </c>
      <c r="W18" s="21">
        <f t="shared" si="24"/>
        <v>7.6571121484722653</v>
      </c>
      <c r="X18" s="21">
        <f t="shared" si="25"/>
        <v>8.8138368659585637</v>
      </c>
      <c r="Y18" s="21">
        <f t="shared" si="26"/>
        <v>72.113908348341823</v>
      </c>
      <c r="Z18" s="21">
        <f t="shared" si="27"/>
        <v>9.5954425143947333</v>
      </c>
      <c r="AA18" s="21">
        <f t="shared" si="28"/>
        <v>11.044981885949269</v>
      </c>
    </row>
    <row r="22" spans="1:27" ht="17.399999999999999" customHeight="1">
      <c r="A22" s="109" t="s">
        <v>131</v>
      </c>
      <c r="B22" s="21"/>
      <c r="C22" s="21" t="s">
        <v>9</v>
      </c>
      <c r="D22" s="21" t="s">
        <v>126</v>
      </c>
      <c r="E22" s="21" t="s">
        <v>127</v>
      </c>
      <c r="F22" s="21" t="s">
        <v>10</v>
      </c>
      <c r="G22" s="21" t="s">
        <v>126</v>
      </c>
      <c r="H22" s="21" t="s">
        <v>127</v>
      </c>
      <c r="I22" s="21" t="s">
        <v>128</v>
      </c>
      <c r="J22" s="75"/>
      <c r="K22" s="109" t="s">
        <v>131</v>
      </c>
      <c r="L22" s="21"/>
      <c r="M22" s="22" t="s">
        <v>9</v>
      </c>
      <c r="N22" s="22" t="s">
        <v>126</v>
      </c>
      <c r="O22" s="22" t="s">
        <v>127</v>
      </c>
      <c r="P22" s="22" t="s">
        <v>10</v>
      </c>
      <c r="Q22" s="21" t="s">
        <v>126</v>
      </c>
      <c r="R22" s="21" t="s">
        <v>127</v>
      </c>
      <c r="T22" s="109" t="s">
        <v>131</v>
      </c>
      <c r="U22" s="21"/>
      <c r="V22" s="21" t="s">
        <v>9</v>
      </c>
      <c r="W22" s="21" t="s">
        <v>126</v>
      </c>
      <c r="X22" s="21" t="s">
        <v>127</v>
      </c>
      <c r="Y22" s="21" t="s">
        <v>10</v>
      </c>
      <c r="Z22" s="21" t="s">
        <v>126</v>
      </c>
      <c r="AA22" s="21" t="s">
        <v>127</v>
      </c>
    </row>
    <row r="23" spans="1:27">
      <c r="A23" s="110"/>
      <c r="B23" s="21">
        <v>1</v>
      </c>
      <c r="C23" s="21">
        <v>1.2849999999999999</v>
      </c>
      <c r="D23" s="21">
        <f t="shared" ref="D23:D28" si="29">C23-$I$23</f>
        <v>1.1996</v>
      </c>
      <c r="E23" s="21">
        <f t="shared" ref="E23:E28" si="30">C23+$I$23</f>
        <v>1.3703999999999998</v>
      </c>
      <c r="F23" s="21">
        <v>1.4419999999999999</v>
      </c>
      <c r="G23" s="21">
        <f t="shared" ref="G23:G28" si="31">F23-$I$23</f>
        <v>1.3566</v>
      </c>
      <c r="H23" s="21">
        <f t="shared" ref="H23:H28" si="32">F23+$I$23</f>
        <v>1.5273999999999999</v>
      </c>
      <c r="I23" s="21">
        <v>8.5400000000000004E-2</v>
      </c>
      <c r="J23" s="75"/>
      <c r="K23" s="110"/>
      <c r="L23" s="21">
        <v>1</v>
      </c>
      <c r="M23" s="22">
        <f t="shared" ref="M23:M28" si="33">10^C23-1</f>
        <v>18.275249131909362</v>
      </c>
      <c r="N23" s="22">
        <f t="shared" ref="N23:N28" si="34">10^D23-1</f>
        <v>14.834341239145758</v>
      </c>
      <c r="O23" s="22">
        <f t="shared" ref="O23:O28" si="35">10^E23-1</f>
        <v>22.463889244641319</v>
      </c>
      <c r="P23" s="22">
        <f t="shared" ref="P23:P28" si="36">10^F23-1</f>
        <v>26.669416454115119</v>
      </c>
      <c r="Q23" s="21">
        <f t="shared" ref="Q23:Q28" si="37">10^G23-1</f>
        <v>21.730029532909768</v>
      </c>
      <c r="R23" s="21">
        <f t="shared" ref="R23:R28" si="38">10^H23-1</f>
        <v>32.682165076063107</v>
      </c>
      <c r="T23" s="110"/>
      <c r="U23" s="21">
        <v>1</v>
      </c>
      <c r="V23" s="21">
        <f t="shared" ref="V23:V28" si="39">M23</f>
        <v>18.275249131909362</v>
      </c>
      <c r="W23" s="21">
        <f t="shared" ref="W23:W28" si="40">M23-N23</f>
        <v>3.4409078927636045</v>
      </c>
      <c r="X23" s="21">
        <f t="shared" ref="X23:X28" si="41">O23-M23</f>
        <v>4.1886401127319566</v>
      </c>
      <c r="Y23" s="21">
        <f t="shared" ref="Y23:Y28" si="42">P23</f>
        <v>26.669416454115119</v>
      </c>
      <c r="Z23" s="21">
        <f t="shared" ref="Z23:Z28" si="43">P23-Q23</f>
        <v>4.9393869212053509</v>
      </c>
      <c r="AA23" s="21">
        <f t="shared" ref="AA23:AA28" si="44">R23-P23</f>
        <v>6.0127486219479884</v>
      </c>
    </row>
    <row r="24" spans="1:27">
      <c r="A24" s="110"/>
      <c r="B24" s="21">
        <v>3</v>
      </c>
      <c r="C24" s="21">
        <v>1.3879999999999999</v>
      </c>
      <c r="D24" s="21">
        <f t="shared" si="29"/>
        <v>1.3026</v>
      </c>
      <c r="E24" s="21">
        <f t="shared" si="30"/>
        <v>1.4733999999999998</v>
      </c>
      <c r="F24" s="21">
        <v>1.472</v>
      </c>
      <c r="G24" s="21">
        <f t="shared" si="31"/>
        <v>1.3866000000000001</v>
      </c>
      <c r="H24" s="21">
        <f t="shared" si="32"/>
        <v>1.5573999999999999</v>
      </c>
      <c r="I24" s="21"/>
      <c r="J24" s="75"/>
      <c r="K24" s="110"/>
      <c r="L24" s="21">
        <v>3</v>
      </c>
      <c r="M24" s="22">
        <f t="shared" si="33"/>
        <v>23.434305526939717</v>
      </c>
      <c r="N24" s="22">
        <f t="shared" si="34"/>
        <v>19.072432216432947</v>
      </c>
      <c r="O24" s="22">
        <f t="shared" si="35"/>
        <v>28.744042981251397</v>
      </c>
      <c r="P24" s="22">
        <f t="shared" si="36"/>
        <v>28.648313895243433</v>
      </c>
      <c r="Q24" s="21">
        <f t="shared" si="37"/>
        <v>23.355665453133756</v>
      </c>
      <c r="R24" s="21">
        <f t="shared" si="38"/>
        <v>35.091090121201518</v>
      </c>
      <c r="T24" s="110"/>
      <c r="U24" s="21">
        <v>3</v>
      </c>
      <c r="V24" s="21">
        <f t="shared" si="39"/>
        <v>23.434305526939717</v>
      </c>
      <c r="W24" s="21">
        <f t="shared" si="40"/>
        <v>4.3618733105067697</v>
      </c>
      <c r="X24" s="21">
        <f t="shared" si="41"/>
        <v>5.30973745431168</v>
      </c>
      <c r="Y24" s="21">
        <f t="shared" si="42"/>
        <v>28.648313895243433</v>
      </c>
      <c r="Z24" s="21">
        <f t="shared" si="43"/>
        <v>5.2926484421096767</v>
      </c>
      <c r="AA24" s="21">
        <f t="shared" si="44"/>
        <v>6.4427762259580845</v>
      </c>
    </row>
    <row r="25" spans="1:27">
      <c r="A25" s="110"/>
      <c r="B25" s="21">
        <v>5</v>
      </c>
      <c r="C25" s="21">
        <v>1.544</v>
      </c>
      <c r="D25" s="21">
        <f t="shared" si="29"/>
        <v>1.4586000000000001</v>
      </c>
      <c r="E25" s="21">
        <f t="shared" si="30"/>
        <v>1.6294</v>
      </c>
      <c r="F25" s="21">
        <v>1.4690000000000001</v>
      </c>
      <c r="G25" s="21">
        <f t="shared" si="31"/>
        <v>1.3836000000000002</v>
      </c>
      <c r="H25" s="21">
        <f t="shared" si="32"/>
        <v>1.5544</v>
      </c>
      <c r="I25" s="21"/>
      <c r="J25" s="75"/>
      <c r="K25" s="110"/>
      <c r="L25" s="21">
        <v>5</v>
      </c>
      <c r="M25" s="22">
        <f t="shared" si="33"/>
        <v>33.994516702835746</v>
      </c>
      <c r="N25" s="22">
        <f t="shared" si="34"/>
        <v>27.747494529363713</v>
      </c>
      <c r="O25" s="22">
        <f t="shared" si="35"/>
        <v>41.599058433220449</v>
      </c>
      <c r="P25" s="22">
        <f t="shared" si="36"/>
        <v>28.444216337987623</v>
      </c>
      <c r="Q25" s="21">
        <f t="shared" si="37"/>
        <v>23.18800223147846</v>
      </c>
      <c r="R25" s="21">
        <f t="shared" si="38"/>
        <v>34.842640804371456</v>
      </c>
      <c r="T25" s="110"/>
      <c r="U25" s="21">
        <v>5</v>
      </c>
      <c r="V25" s="21">
        <f t="shared" si="39"/>
        <v>33.994516702835746</v>
      </c>
      <c r="W25" s="21">
        <f t="shared" si="40"/>
        <v>6.2470221734720326</v>
      </c>
      <c r="X25" s="21">
        <f t="shared" si="41"/>
        <v>7.6045417303847032</v>
      </c>
      <c r="Y25" s="21">
        <f t="shared" si="42"/>
        <v>28.444216337987623</v>
      </c>
      <c r="Z25" s="21">
        <f t="shared" si="43"/>
        <v>5.2562141065091623</v>
      </c>
      <c r="AA25" s="21">
        <f t="shared" si="44"/>
        <v>6.3984244663838332</v>
      </c>
    </row>
    <row r="26" spans="1:27">
      <c r="A26" s="110"/>
      <c r="B26" s="21">
        <v>6</v>
      </c>
      <c r="C26" s="21">
        <v>1.5629999999999999</v>
      </c>
      <c r="D26" s="21">
        <f t="shared" si="29"/>
        <v>1.4776</v>
      </c>
      <c r="E26" s="21">
        <f t="shared" si="30"/>
        <v>1.6483999999999999</v>
      </c>
      <c r="F26" s="21">
        <v>1.577</v>
      </c>
      <c r="G26" s="21">
        <f t="shared" si="31"/>
        <v>1.4916</v>
      </c>
      <c r="H26" s="21">
        <f t="shared" si="32"/>
        <v>1.6623999999999999</v>
      </c>
      <c r="I26" s="21"/>
      <c r="J26" s="75"/>
      <c r="K26" s="110"/>
      <c r="L26" s="21">
        <v>6</v>
      </c>
      <c r="M26" s="22">
        <f t="shared" si="33"/>
        <v>35.559479161312495</v>
      </c>
      <c r="N26" s="22">
        <f t="shared" si="34"/>
        <v>29.033088786765596</v>
      </c>
      <c r="O26" s="22">
        <f t="shared" si="35"/>
        <v>43.504097664953719</v>
      </c>
      <c r="P26" s="22">
        <f t="shared" si="36"/>
        <v>36.757219092541611</v>
      </c>
      <c r="Q26" s="21">
        <f t="shared" si="37"/>
        <v>30.0170149947769</v>
      </c>
      <c r="R26" s="21">
        <f t="shared" si="38"/>
        <v>44.962114466600127</v>
      </c>
      <c r="T26" s="110"/>
      <c r="U26" s="21">
        <v>6</v>
      </c>
      <c r="V26" s="21">
        <f t="shared" si="39"/>
        <v>35.559479161312495</v>
      </c>
      <c r="W26" s="21">
        <f t="shared" si="40"/>
        <v>6.5263903745468994</v>
      </c>
      <c r="X26" s="21">
        <f t="shared" si="41"/>
        <v>7.9446185036412231</v>
      </c>
      <c r="Y26" s="21">
        <f t="shared" si="42"/>
        <v>36.757219092541611</v>
      </c>
      <c r="Z26" s="21">
        <f t="shared" si="43"/>
        <v>6.7402040977647104</v>
      </c>
      <c r="AA26" s="21">
        <f t="shared" si="44"/>
        <v>8.2048953740585162</v>
      </c>
    </row>
    <row r="27" spans="1:27">
      <c r="A27" s="110"/>
      <c r="B27" s="21">
        <v>8</v>
      </c>
      <c r="C27" s="21">
        <v>1.5009999999999999</v>
      </c>
      <c r="D27" s="21">
        <f t="shared" si="29"/>
        <v>1.4156</v>
      </c>
      <c r="E27" s="21">
        <f t="shared" si="30"/>
        <v>1.5863999999999998</v>
      </c>
      <c r="F27" s="21">
        <v>1.6240000000000001</v>
      </c>
      <c r="G27" s="21">
        <f t="shared" si="31"/>
        <v>1.5386000000000002</v>
      </c>
      <c r="H27" s="21">
        <f t="shared" si="32"/>
        <v>1.7094</v>
      </c>
      <c r="I27" s="21"/>
      <c r="J27" s="75"/>
      <c r="K27" s="110"/>
      <c r="L27" s="21">
        <v>8</v>
      </c>
      <c r="M27" s="22">
        <f t="shared" si="33"/>
        <v>30.695674630434915</v>
      </c>
      <c r="N27" s="22">
        <f t="shared" si="34"/>
        <v>25.037542989387365</v>
      </c>
      <c r="O27" s="22">
        <f t="shared" si="35"/>
        <v>37.583355990535146</v>
      </c>
      <c r="P27" s="22">
        <f t="shared" si="36"/>
        <v>41.072662838444437</v>
      </c>
      <c r="Q27" s="21">
        <f t="shared" si="37"/>
        <v>33.562090257012642</v>
      </c>
      <c r="R27" s="21">
        <f t="shared" si="38"/>
        <v>50.215332902449923</v>
      </c>
      <c r="T27" s="110"/>
      <c r="U27" s="21">
        <v>8</v>
      </c>
      <c r="V27" s="21">
        <f t="shared" si="39"/>
        <v>30.695674630434915</v>
      </c>
      <c r="W27" s="21">
        <f t="shared" si="40"/>
        <v>5.6581316410475502</v>
      </c>
      <c r="X27" s="21">
        <f t="shared" si="41"/>
        <v>6.8876813601002311</v>
      </c>
      <c r="Y27" s="21">
        <f t="shared" si="42"/>
        <v>41.072662838444437</v>
      </c>
      <c r="Z27" s="21">
        <f t="shared" si="43"/>
        <v>7.510572581431795</v>
      </c>
      <c r="AA27" s="21">
        <f t="shared" si="44"/>
        <v>9.1426700640054861</v>
      </c>
    </row>
    <row r="28" spans="1:27">
      <c r="A28" s="111"/>
      <c r="B28" s="21">
        <v>10</v>
      </c>
      <c r="C28" s="21">
        <v>1.5680000000000001</v>
      </c>
      <c r="D28" s="21">
        <f t="shared" si="29"/>
        <v>1.4826000000000001</v>
      </c>
      <c r="E28" s="21">
        <f t="shared" si="30"/>
        <v>1.6534</v>
      </c>
      <c r="F28" s="21">
        <v>1.728</v>
      </c>
      <c r="G28" s="21">
        <f t="shared" si="31"/>
        <v>1.6426000000000001</v>
      </c>
      <c r="H28" s="21">
        <f t="shared" si="32"/>
        <v>1.8133999999999999</v>
      </c>
      <c r="I28" s="21"/>
      <c r="J28" s="75"/>
      <c r="K28" s="111"/>
      <c r="L28" s="21">
        <v>10</v>
      </c>
      <c r="M28" s="22">
        <f t="shared" si="33"/>
        <v>35.982817978026638</v>
      </c>
      <c r="N28" s="22">
        <f t="shared" si="34"/>
        <v>29.38085556465543</v>
      </c>
      <c r="O28" s="22">
        <f t="shared" si="35"/>
        <v>44.019430828243124</v>
      </c>
      <c r="P28" s="22">
        <f t="shared" si="36"/>
        <v>52.45643593969718</v>
      </c>
      <c r="Q28" s="21">
        <f t="shared" si="37"/>
        <v>42.913696902440677</v>
      </c>
      <c r="R28" s="21">
        <f t="shared" si="38"/>
        <v>64.072875775487873</v>
      </c>
      <c r="T28" s="111"/>
      <c r="U28" s="21">
        <v>10</v>
      </c>
      <c r="V28" s="21">
        <f t="shared" si="39"/>
        <v>35.982817978026638</v>
      </c>
      <c r="W28" s="21">
        <f t="shared" si="40"/>
        <v>6.6019624133712078</v>
      </c>
      <c r="X28" s="21">
        <f t="shared" si="41"/>
        <v>8.0366128502164855</v>
      </c>
      <c r="Y28" s="21">
        <f t="shared" si="42"/>
        <v>52.45643593969718</v>
      </c>
      <c r="Z28" s="21">
        <f t="shared" si="43"/>
        <v>9.5427390372565029</v>
      </c>
      <c r="AA28" s="21">
        <f t="shared" si="44"/>
        <v>11.616439835790693</v>
      </c>
    </row>
    <row r="32" spans="1:27" ht="17.399999999999999" customHeight="1">
      <c r="A32" s="109" t="s">
        <v>21</v>
      </c>
      <c r="B32" s="21"/>
      <c r="C32" s="21" t="s">
        <v>9</v>
      </c>
      <c r="D32" s="21" t="s">
        <v>126</v>
      </c>
      <c r="E32" s="21" t="s">
        <v>127</v>
      </c>
      <c r="F32" s="21" t="s">
        <v>10</v>
      </c>
      <c r="G32" s="21" t="s">
        <v>126</v>
      </c>
      <c r="H32" s="21" t="s">
        <v>127</v>
      </c>
      <c r="I32" s="21" t="s">
        <v>128</v>
      </c>
      <c r="J32" s="75"/>
      <c r="K32" s="109" t="s">
        <v>21</v>
      </c>
      <c r="L32" s="21"/>
      <c r="M32" s="22" t="s">
        <v>9</v>
      </c>
      <c r="N32" s="22" t="s">
        <v>126</v>
      </c>
      <c r="O32" s="22" t="s">
        <v>127</v>
      </c>
      <c r="P32" s="22" t="s">
        <v>10</v>
      </c>
      <c r="Q32" s="21" t="s">
        <v>126</v>
      </c>
      <c r="R32" s="21" t="s">
        <v>127</v>
      </c>
      <c r="T32" s="109" t="s">
        <v>21</v>
      </c>
      <c r="U32" s="21"/>
      <c r="V32" s="21" t="s">
        <v>9</v>
      </c>
      <c r="W32" s="21" t="s">
        <v>126</v>
      </c>
      <c r="X32" s="21" t="s">
        <v>127</v>
      </c>
      <c r="Y32" s="21" t="s">
        <v>10</v>
      </c>
      <c r="Z32" s="21" t="s">
        <v>126</v>
      </c>
      <c r="AA32" s="21" t="s">
        <v>127</v>
      </c>
    </row>
    <row r="33" spans="1:27">
      <c r="A33" s="110"/>
      <c r="B33" s="21">
        <v>1</v>
      </c>
      <c r="C33" s="21">
        <v>1.26</v>
      </c>
      <c r="D33" s="21">
        <f>C33-$I$33</f>
        <v>1.1832</v>
      </c>
      <c r="E33" s="21">
        <f t="shared" ref="E33:E38" si="45">C33+$I$33</f>
        <v>1.3368</v>
      </c>
      <c r="F33" s="21">
        <v>1.401</v>
      </c>
      <c r="G33" s="21">
        <f t="shared" ref="G33:G38" si="46">F33-$I$33</f>
        <v>1.3242</v>
      </c>
      <c r="H33" s="21">
        <f t="shared" ref="H33:H38" si="47">F33+$I$33</f>
        <v>1.4778</v>
      </c>
      <c r="I33" s="21">
        <v>7.6799999999999993E-2</v>
      </c>
      <c r="J33" s="75"/>
      <c r="K33" s="110"/>
      <c r="L33" s="21">
        <v>1</v>
      </c>
      <c r="M33" s="22">
        <f t="shared" ref="M33:M38" si="48">10^C33-1</f>
        <v>17.197008586099841</v>
      </c>
      <c r="N33" s="22">
        <f t="shared" ref="N33:N38" si="49">10^D33-1</f>
        <v>14.247547676599165</v>
      </c>
      <c r="O33" s="22">
        <f t="shared" ref="O33:O38" si="50">10^E33-1</f>
        <v>20.717008433479918</v>
      </c>
      <c r="P33" s="22">
        <f t="shared" ref="P33:P38" si="51">10^F33-1</f>
        <v>24.176769277588562</v>
      </c>
      <c r="Q33" s="21">
        <f t="shared" ref="Q33:Q38" si="52">10^G33-1</f>
        <v>20.095994327111903</v>
      </c>
      <c r="R33" s="21">
        <f t="shared" ref="R33:R38" si="53">10^H33-1</f>
        <v>29.046922720409448</v>
      </c>
      <c r="T33" s="110"/>
      <c r="U33" s="21">
        <v>1</v>
      </c>
      <c r="V33" s="21">
        <f t="shared" ref="V33:V38" si="54">M33</f>
        <v>17.197008586099841</v>
      </c>
      <c r="W33" s="21">
        <f t="shared" ref="W33:W38" si="55">M33-N33</f>
        <v>2.9494609095006759</v>
      </c>
      <c r="X33" s="21">
        <f t="shared" ref="X33:X38" si="56">O33-M33</f>
        <v>3.5199998473800775</v>
      </c>
      <c r="Y33" s="21">
        <f t="shared" ref="Y33:Y38" si="57">P33</f>
        <v>24.176769277588562</v>
      </c>
      <c r="Z33" s="21">
        <f t="shared" ref="Z33:Z38" si="58">P33-Q33</f>
        <v>4.0807749504766591</v>
      </c>
      <c r="AA33" s="21">
        <f t="shared" ref="AA33:AA38" si="59">R33-P33</f>
        <v>4.8701534428208859</v>
      </c>
    </row>
    <row r="34" spans="1:27">
      <c r="A34" s="110"/>
      <c r="B34" s="21">
        <v>3</v>
      </c>
      <c r="C34" s="21">
        <v>1.371</v>
      </c>
      <c r="D34" s="21">
        <f t="shared" ref="D34:D38" si="60">C34-$I$33</f>
        <v>1.2942</v>
      </c>
      <c r="E34" s="21">
        <f t="shared" si="45"/>
        <v>1.4478</v>
      </c>
      <c r="F34" s="21">
        <v>1.4390000000000001</v>
      </c>
      <c r="G34" s="21">
        <f t="shared" si="46"/>
        <v>1.3622000000000001</v>
      </c>
      <c r="H34" s="21">
        <f t="shared" si="47"/>
        <v>1.5158</v>
      </c>
      <c r="I34" s="21"/>
      <c r="J34" s="75"/>
      <c r="K34" s="110"/>
      <c r="L34" s="21">
        <v>3</v>
      </c>
      <c r="M34" s="22">
        <f t="shared" si="48"/>
        <v>22.496328208483085</v>
      </c>
      <c r="N34" s="22">
        <f t="shared" si="49"/>
        <v>18.687927435366106</v>
      </c>
      <c r="O34" s="22">
        <f t="shared" si="50"/>
        <v>27.041419854536937</v>
      </c>
      <c r="P34" s="22">
        <f t="shared" si="51"/>
        <v>26.478941531023988</v>
      </c>
      <c r="Q34" s="21">
        <f t="shared" si="52"/>
        <v>22.025019146104075</v>
      </c>
      <c r="R34" s="21">
        <f t="shared" si="53"/>
        <v>31.794423443213475</v>
      </c>
      <c r="T34" s="110"/>
      <c r="U34" s="21">
        <v>3</v>
      </c>
      <c r="V34" s="21">
        <f t="shared" si="54"/>
        <v>22.496328208483085</v>
      </c>
      <c r="W34" s="21">
        <f t="shared" si="55"/>
        <v>3.8084007731169791</v>
      </c>
      <c r="X34" s="21">
        <f t="shared" si="56"/>
        <v>4.5450916460538515</v>
      </c>
      <c r="Y34" s="21">
        <f t="shared" si="57"/>
        <v>26.478941531023988</v>
      </c>
      <c r="Z34" s="21">
        <f t="shared" si="58"/>
        <v>4.4539223849199132</v>
      </c>
      <c r="AA34" s="21">
        <f t="shared" si="59"/>
        <v>5.3154819121894867</v>
      </c>
    </row>
    <row r="35" spans="1:27">
      <c r="A35" s="110"/>
      <c r="B35" s="21">
        <v>5</v>
      </c>
      <c r="C35" s="21">
        <v>1.464</v>
      </c>
      <c r="D35" s="21">
        <f t="shared" si="60"/>
        <v>1.3872</v>
      </c>
      <c r="E35" s="21">
        <f t="shared" si="45"/>
        <v>1.5407999999999999</v>
      </c>
      <c r="F35" s="21">
        <v>1.4510000000000001</v>
      </c>
      <c r="G35" s="21">
        <f t="shared" si="46"/>
        <v>1.3742000000000001</v>
      </c>
      <c r="H35" s="21">
        <f t="shared" si="47"/>
        <v>1.5278</v>
      </c>
      <c r="I35" s="21"/>
      <c r="J35" s="75"/>
      <c r="K35" s="110"/>
      <c r="L35" s="21">
        <v>5</v>
      </c>
      <c r="M35" s="22">
        <f t="shared" si="48"/>
        <v>28.107171180666064</v>
      </c>
      <c r="N35" s="22">
        <f t="shared" si="49"/>
        <v>23.389337302789137</v>
      </c>
      <c r="O35" s="22">
        <f t="shared" si="50"/>
        <v>33.737615197265278</v>
      </c>
      <c r="P35" s="22">
        <f t="shared" si="51"/>
        <v>27.24879974915709</v>
      </c>
      <c r="Q35" s="21">
        <f t="shared" si="52"/>
        <v>22.670094946869089</v>
      </c>
      <c r="R35" s="21">
        <f t="shared" si="53"/>
        <v>32.713201787284355</v>
      </c>
      <c r="T35" s="110"/>
      <c r="U35" s="21">
        <v>5</v>
      </c>
      <c r="V35" s="21">
        <f t="shared" si="54"/>
        <v>28.107171180666064</v>
      </c>
      <c r="W35" s="21">
        <f t="shared" si="55"/>
        <v>4.7178338778769273</v>
      </c>
      <c r="X35" s="21">
        <f t="shared" si="56"/>
        <v>5.6304440165992133</v>
      </c>
      <c r="Y35" s="21">
        <f t="shared" si="57"/>
        <v>27.24879974915709</v>
      </c>
      <c r="Z35" s="21">
        <f t="shared" si="58"/>
        <v>4.5787048022880015</v>
      </c>
      <c r="AA35" s="21">
        <f t="shared" si="59"/>
        <v>5.4644020381272647</v>
      </c>
    </row>
    <row r="36" spans="1:27">
      <c r="A36" s="110"/>
      <c r="B36" s="21">
        <v>6</v>
      </c>
      <c r="C36" s="21">
        <v>1.514</v>
      </c>
      <c r="D36" s="21">
        <f t="shared" si="60"/>
        <v>1.4372</v>
      </c>
      <c r="E36" s="21">
        <f t="shared" si="45"/>
        <v>1.5908</v>
      </c>
      <c r="F36" s="21">
        <v>1.51</v>
      </c>
      <c r="G36" s="21">
        <f t="shared" si="46"/>
        <v>1.4332</v>
      </c>
      <c r="H36" s="21">
        <f t="shared" si="47"/>
        <v>1.5868</v>
      </c>
      <c r="I36" s="21"/>
      <c r="J36" s="75"/>
      <c r="K36" s="110"/>
      <c r="L36" s="21">
        <v>6</v>
      </c>
      <c r="M36" s="22">
        <f t="shared" si="48"/>
        <v>31.658783217233591</v>
      </c>
      <c r="N36" s="22">
        <f t="shared" si="49"/>
        <v>26.365286541924682</v>
      </c>
      <c r="O36" s="22">
        <f t="shared" si="50"/>
        <v>37.976245309771997</v>
      </c>
      <c r="P36" s="22">
        <f t="shared" si="51"/>
        <v>31.359365692962832</v>
      </c>
      <c r="Q36" s="21">
        <f t="shared" si="52"/>
        <v>26.114400086883119</v>
      </c>
      <c r="R36" s="21">
        <f t="shared" si="53"/>
        <v>37.61890894489899</v>
      </c>
      <c r="T36" s="110"/>
      <c r="U36" s="21">
        <v>6</v>
      </c>
      <c r="V36" s="21">
        <f t="shared" si="54"/>
        <v>31.658783217233591</v>
      </c>
      <c r="W36" s="21">
        <f t="shared" si="55"/>
        <v>5.2934966753089086</v>
      </c>
      <c r="X36" s="21">
        <f t="shared" si="56"/>
        <v>6.3174620925384062</v>
      </c>
      <c r="Y36" s="21">
        <f t="shared" si="57"/>
        <v>31.359365692962832</v>
      </c>
      <c r="Z36" s="21">
        <f t="shared" si="58"/>
        <v>5.2449656060797132</v>
      </c>
      <c r="AA36" s="21">
        <f t="shared" si="59"/>
        <v>6.259543251936158</v>
      </c>
    </row>
    <row r="37" spans="1:27">
      <c r="A37" s="110"/>
      <c r="B37" s="21">
        <v>8</v>
      </c>
      <c r="C37" s="21">
        <v>1.4630000000000001</v>
      </c>
      <c r="D37" s="21">
        <f t="shared" si="60"/>
        <v>1.3862000000000001</v>
      </c>
      <c r="E37" s="21">
        <f t="shared" si="45"/>
        <v>1.5398000000000001</v>
      </c>
      <c r="F37" s="21">
        <v>1.5629999999999999</v>
      </c>
      <c r="G37" s="21">
        <f t="shared" si="46"/>
        <v>1.4862</v>
      </c>
      <c r="H37" s="21">
        <f t="shared" si="47"/>
        <v>1.6397999999999999</v>
      </c>
      <c r="I37" s="21"/>
      <c r="J37" s="75"/>
      <c r="K37" s="110"/>
      <c r="L37" s="21">
        <v>8</v>
      </c>
      <c r="M37" s="22">
        <f t="shared" si="48"/>
        <v>28.040226544644522</v>
      </c>
      <c r="N37" s="22">
        <f t="shared" si="49"/>
        <v>23.333243383582506</v>
      </c>
      <c r="O37" s="22">
        <f t="shared" si="50"/>
        <v>33.657720899354871</v>
      </c>
      <c r="P37" s="22">
        <f t="shared" si="51"/>
        <v>35.559479161312495</v>
      </c>
      <c r="Q37" s="21">
        <f t="shared" si="52"/>
        <v>29.633738446964298</v>
      </c>
      <c r="R37" s="21">
        <f t="shared" si="53"/>
        <v>42.631485555067641</v>
      </c>
      <c r="T37" s="110"/>
      <c r="U37" s="21">
        <v>8</v>
      </c>
      <c r="V37" s="21">
        <f t="shared" si="54"/>
        <v>28.040226544644522</v>
      </c>
      <c r="W37" s="21">
        <f t="shared" si="55"/>
        <v>4.7069831610620163</v>
      </c>
      <c r="X37" s="21">
        <f t="shared" si="56"/>
        <v>5.6174943547103489</v>
      </c>
      <c r="Y37" s="21">
        <f t="shared" si="57"/>
        <v>35.559479161312495</v>
      </c>
      <c r="Z37" s="21">
        <f t="shared" si="58"/>
        <v>5.9257407143481977</v>
      </c>
      <c r="AA37" s="21">
        <f t="shared" si="59"/>
        <v>7.0720063937551458</v>
      </c>
    </row>
    <row r="38" spans="1:27">
      <c r="A38" s="111"/>
      <c r="B38" s="21">
        <v>10</v>
      </c>
      <c r="C38" s="21">
        <v>1.504</v>
      </c>
      <c r="D38" s="21">
        <f t="shared" si="60"/>
        <v>1.4272</v>
      </c>
      <c r="E38" s="21">
        <f t="shared" si="45"/>
        <v>1.5808</v>
      </c>
      <c r="F38" s="21">
        <v>1.635</v>
      </c>
      <c r="G38" s="21">
        <f t="shared" si="46"/>
        <v>1.5582</v>
      </c>
      <c r="H38" s="21">
        <f t="shared" si="47"/>
        <v>1.7118</v>
      </c>
      <c r="I38" s="21"/>
      <c r="J38" s="75"/>
      <c r="K38" s="111"/>
      <c r="L38" s="21">
        <v>10</v>
      </c>
      <c r="M38" s="22">
        <f t="shared" si="48"/>
        <v>30.915378551007631</v>
      </c>
      <c r="N38" s="22">
        <f t="shared" si="49"/>
        <v>25.742376570889927</v>
      </c>
      <c r="O38" s="22">
        <f t="shared" si="50"/>
        <v>37.08903764981352</v>
      </c>
      <c r="P38" s="22">
        <f t="shared" si="51"/>
        <v>42.151907682776539</v>
      </c>
      <c r="Q38" s="21">
        <f t="shared" si="52"/>
        <v>35.157633636109722</v>
      </c>
      <c r="R38" s="21">
        <f t="shared" si="53"/>
        <v>50.499142764786711</v>
      </c>
      <c r="T38" s="111"/>
      <c r="U38" s="21">
        <v>10</v>
      </c>
      <c r="V38" s="21">
        <f t="shared" si="54"/>
        <v>30.915378551007631</v>
      </c>
      <c r="W38" s="21">
        <f t="shared" si="55"/>
        <v>5.1730019801177036</v>
      </c>
      <c r="X38" s="21">
        <f t="shared" si="56"/>
        <v>6.1736590988058886</v>
      </c>
      <c r="Y38" s="21">
        <f t="shared" si="57"/>
        <v>42.151907682776539</v>
      </c>
      <c r="Z38" s="21">
        <f t="shared" si="58"/>
        <v>6.994274046666817</v>
      </c>
      <c r="AA38" s="21">
        <f t="shared" si="59"/>
        <v>8.3472350820101724</v>
      </c>
    </row>
    <row r="42" spans="1:27" ht="17.399999999999999" customHeight="1">
      <c r="A42" s="109" t="s">
        <v>0</v>
      </c>
      <c r="B42" s="21"/>
      <c r="C42" s="21" t="s">
        <v>9</v>
      </c>
      <c r="D42" s="21" t="s">
        <v>126</v>
      </c>
      <c r="E42" s="21" t="s">
        <v>127</v>
      </c>
      <c r="F42" s="21" t="s">
        <v>10</v>
      </c>
      <c r="G42" s="21" t="s">
        <v>126</v>
      </c>
      <c r="H42" s="21" t="s">
        <v>127</v>
      </c>
      <c r="I42" s="21" t="s">
        <v>128</v>
      </c>
      <c r="J42" s="75"/>
      <c r="K42" s="109" t="s">
        <v>0</v>
      </c>
      <c r="L42" s="21"/>
      <c r="M42" s="22" t="s">
        <v>9</v>
      </c>
      <c r="N42" s="22" t="s">
        <v>126</v>
      </c>
      <c r="O42" s="22" t="s">
        <v>127</v>
      </c>
      <c r="P42" s="22" t="s">
        <v>10</v>
      </c>
      <c r="Q42" s="21" t="s">
        <v>126</v>
      </c>
      <c r="R42" s="21" t="s">
        <v>127</v>
      </c>
      <c r="T42" s="109" t="s">
        <v>0</v>
      </c>
      <c r="U42" s="21"/>
      <c r="V42" s="21" t="s">
        <v>9</v>
      </c>
      <c r="W42" s="21" t="s">
        <v>126</v>
      </c>
      <c r="X42" s="21" t="s">
        <v>127</v>
      </c>
      <c r="Y42" s="21" t="s">
        <v>10</v>
      </c>
      <c r="Z42" s="21" t="s">
        <v>126</v>
      </c>
      <c r="AA42" s="21" t="s">
        <v>127</v>
      </c>
    </row>
    <row r="43" spans="1:27">
      <c r="A43" s="110"/>
      <c r="B43" s="21">
        <v>1</v>
      </c>
      <c r="C43" s="21">
        <v>1.609</v>
      </c>
      <c r="D43" s="21">
        <f>C43-$I$43</f>
        <v>0.85</v>
      </c>
      <c r="E43" s="21">
        <f>C43+$I$43</f>
        <v>2.3679999999999999</v>
      </c>
      <c r="F43" s="21">
        <v>1.335</v>
      </c>
      <c r="G43" s="21">
        <f>F43-$I$43</f>
        <v>0.57599999999999996</v>
      </c>
      <c r="H43" s="21">
        <f>F43+$I$43</f>
        <v>2.0939999999999999</v>
      </c>
      <c r="I43" s="21">
        <v>0.75900000000000001</v>
      </c>
      <c r="J43" s="75"/>
      <c r="K43" s="110"/>
      <c r="L43" s="21">
        <v>1</v>
      </c>
      <c r="M43" s="22">
        <f>EXP(C43)/(1+EXP(C43))</f>
        <v>0.8332725032834909</v>
      </c>
      <c r="N43" s="22">
        <f t="shared" ref="N43:O43" si="61">EXP(D43)/(1+EXP(D43))</f>
        <v>0.70056714247397289</v>
      </c>
      <c r="O43" s="22">
        <f t="shared" si="61"/>
        <v>0.91435436938982662</v>
      </c>
      <c r="P43" s="22">
        <f>EXP(F43)/(1+EXP(F43))</f>
        <v>0.79166649072985451</v>
      </c>
      <c r="Q43" s="21">
        <f t="shared" ref="Q43:Q48" si="62">EXP(G43)/(1+EXP(G43))</f>
        <v>0.64014648796896678</v>
      </c>
      <c r="R43" s="21">
        <f t="shared" ref="R43:R48" si="63">EXP(H43)/(1+EXP(H43))</f>
        <v>0.89031864134388594</v>
      </c>
      <c r="T43" s="110"/>
      <c r="U43" s="21">
        <v>1</v>
      </c>
      <c r="V43" s="21">
        <f t="shared" ref="V43:V48" si="64">M43</f>
        <v>0.8332725032834909</v>
      </c>
      <c r="W43" s="21">
        <f t="shared" ref="W43:W48" si="65">M43-N43</f>
        <v>0.132705360809518</v>
      </c>
      <c r="X43" s="21">
        <f t="shared" ref="X43:X48" si="66">O43-M43</f>
        <v>8.108186610633572E-2</v>
      </c>
      <c r="Y43" s="21">
        <f t="shared" ref="Y43:Y48" si="67">P43</f>
        <v>0.79166649072985451</v>
      </c>
      <c r="Z43" s="21">
        <f t="shared" ref="Z43:Z48" si="68">P43-Q43</f>
        <v>0.15152000276088773</v>
      </c>
      <c r="AA43" s="21">
        <f t="shared" ref="AA43:AA48" si="69">R43-P43</f>
        <v>9.8652150614031431E-2</v>
      </c>
    </row>
    <row r="44" spans="1:27">
      <c r="A44" s="110"/>
      <c r="B44" s="21">
        <v>3</v>
      </c>
      <c r="C44" s="21">
        <v>1.946</v>
      </c>
      <c r="D44" s="21">
        <f>C44-$I$44</f>
        <v>1.153</v>
      </c>
      <c r="E44" s="21">
        <f>C44+$I$44</f>
        <v>2.7389999999999999</v>
      </c>
      <c r="F44" s="21">
        <v>1.099</v>
      </c>
      <c r="G44" s="21">
        <f>F44-$I$44</f>
        <v>0.30599999999999994</v>
      </c>
      <c r="H44" s="21">
        <f>F44+$I$44</f>
        <v>1.8919999999999999</v>
      </c>
      <c r="I44" s="21">
        <v>0.79300000000000004</v>
      </c>
      <c r="J44" s="75"/>
      <c r="K44" s="110"/>
      <c r="L44" s="21">
        <v>3</v>
      </c>
      <c r="M44" s="22">
        <f t="shared" ref="M44:M48" si="70">EXP(C44)/(1+EXP(C44))</f>
        <v>0.87500982711595265</v>
      </c>
      <c r="N44" s="22">
        <f t="shared" ref="N44:N48" si="71">EXP(D44)/(1+EXP(D44))</f>
        <v>0.76005845251604109</v>
      </c>
      <c r="O44" s="22">
        <f t="shared" ref="O44:O48" si="72">EXP(E44)/(1+EXP(E44))</f>
        <v>0.93928909663902216</v>
      </c>
      <c r="P44" s="22">
        <f t="shared" ref="P44:P48" si="73">EXP(F44)/(1+EXP(F44))</f>
        <v>0.7500726888282484</v>
      </c>
      <c r="Q44" s="21">
        <f t="shared" si="62"/>
        <v>0.57590860744667371</v>
      </c>
      <c r="R44" s="21">
        <f t="shared" si="63"/>
        <v>0.86898340114580397</v>
      </c>
      <c r="T44" s="110"/>
      <c r="U44" s="21">
        <v>3</v>
      </c>
      <c r="V44" s="21">
        <f t="shared" si="64"/>
        <v>0.87500982711595265</v>
      </c>
      <c r="W44" s="21">
        <f t="shared" si="65"/>
        <v>0.11495137459991156</v>
      </c>
      <c r="X44" s="21">
        <f t="shared" si="66"/>
        <v>6.4279269523069504E-2</v>
      </c>
      <c r="Y44" s="21">
        <f t="shared" si="67"/>
        <v>0.7500726888282484</v>
      </c>
      <c r="Z44" s="21">
        <f t="shared" si="68"/>
        <v>0.17416408138157469</v>
      </c>
      <c r="AA44" s="21">
        <f t="shared" si="69"/>
        <v>0.11891071231755557</v>
      </c>
    </row>
    <row r="45" spans="1:27">
      <c r="A45" s="110"/>
      <c r="B45" s="21">
        <v>5</v>
      </c>
      <c r="C45" s="21">
        <v>0.69299999999999995</v>
      </c>
      <c r="D45" s="21">
        <f>C45-$I$45</f>
        <v>-0.18200000000000005</v>
      </c>
      <c r="E45" s="21">
        <f>C45+$I$45</f>
        <v>1.5680000000000001</v>
      </c>
      <c r="F45" s="21">
        <v>2.3980000000000001</v>
      </c>
      <c r="G45" s="21">
        <f>F45-$I$45</f>
        <v>1.5230000000000001</v>
      </c>
      <c r="H45" s="21">
        <f>F45+$I$45</f>
        <v>3.2730000000000001</v>
      </c>
      <c r="I45" s="21">
        <v>0.875</v>
      </c>
      <c r="J45" s="75"/>
      <c r="K45" s="110"/>
      <c r="L45" s="21">
        <v>5</v>
      </c>
      <c r="M45" s="22">
        <f t="shared" si="70"/>
        <v>0.66663395907330647</v>
      </c>
      <c r="N45" s="22">
        <f t="shared" si="71"/>
        <v>0.45462518053500739</v>
      </c>
      <c r="O45" s="22">
        <f t="shared" si="72"/>
        <v>0.82749830551378778</v>
      </c>
      <c r="P45" s="22">
        <f t="shared" si="73"/>
        <v>0.91667466631215311</v>
      </c>
      <c r="Q45" s="21">
        <f t="shared" si="62"/>
        <v>0.8209798211091901</v>
      </c>
      <c r="R45" s="21">
        <f t="shared" si="63"/>
        <v>0.9634908472886613</v>
      </c>
      <c r="T45" s="110"/>
      <c r="U45" s="21">
        <v>5</v>
      </c>
      <c r="V45" s="21">
        <f t="shared" si="64"/>
        <v>0.66663395907330647</v>
      </c>
      <c r="W45" s="21">
        <f t="shared" si="65"/>
        <v>0.21200877853829908</v>
      </c>
      <c r="X45" s="21">
        <f t="shared" si="66"/>
        <v>0.16086434644048131</v>
      </c>
      <c r="Y45" s="21">
        <f t="shared" si="67"/>
        <v>0.91667466631215311</v>
      </c>
      <c r="Z45" s="22">
        <f>P45-Q45</f>
        <v>9.5694845202963008E-2</v>
      </c>
      <c r="AA45" s="21">
        <f t="shared" si="69"/>
        <v>4.6816180976508193E-2</v>
      </c>
    </row>
    <row r="46" spans="1:27">
      <c r="A46" s="110"/>
      <c r="B46" s="21">
        <v>6</v>
      </c>
      <c r="C46" s="21">
        <v>1.335</v>
      </c>
      <c r="D46" s="21">
        <f>C46-$I$46</f>
        <v>0.65699999999999992</v>
      </c>
      <c r="E46" s="21">
        <f>C46+$I$46</f>
        <v>2.0129999999999999</v>
      </c>
      <c r="F46" s="21">
        <v>0.69299999999999995</v>
      </c>
      <c r="G46" s="21">
        <f>F46-$I$46</f>
        <v>1.4999999999999902E-2</v>
      </c>
      <c r="H46" s="21">
        <f>F46+$I$46</f>
        <v>1.371</v>
      </c>
      <c r="I46" s="21">
        <v>0.67800000000000005</v>
      </c>
      <c r="J46" s="75"/>
      <c r="K46" s="110"/>
      <c r="L46" s="21">
        <v>6</v>
      </c>
      <c r="M46" s="22">
        <f t="shared" si="70"/>
        <v>0.79166649072985451</v>
      </c>
      <c r="N46" s="22">
        <f t="shared" si="71"/>
        <v>0.6585861584366447</v>
      </c>
      <c r="O46" s="22">
        <f t="shared" si="72"/>
        <v>0.88215525200744038</v>
      </c>
      <c r="P46" s="22">
        <f t="shared" si="73"/>
        <v>0.66663395907330647</v>
      </c>
      <c r="Q46" s="21">
        <f t="shared" si="62"/>
        <v>0.50374992968908194</v>
      </c>
      <c r="R46" s="21">
        <f t="shared" si="63"/>
        <v>0.79754167056772329</v>
      </c>
      <c r="T46" s="110"/>
      <c r="U46" s="21">
        <v>6</v>
      </c>
      <c r="V46" s="21">
        <f t="shared" si="64"/>
        <v>0.79166649072985451</v>
      </c>
      <c r="W46" s="22">
        <f>M46-N46</f>
        <v>0.13308033229320981</v>
      </c>
      <c r="X46" s="21">
        <f t="shared" si="66"/>
        <v>9.0488761277585872E-2</v>
      </c>
      <c r="Y46" s="21">
        <f t="shared" si="67"/>
        <v>0.66663395907330647</v>
      </c>
      <c r="Z46" s="21">
        <f t="shared" si="68"/>
        <v>0.16288402938422453</v>
      </c>
      <c r="AA46" s="21">
        <f t="shared" si="69"/>
        <v>0.13090771149441682</v>
      </c>
    </row>
    <row r="47" spans="1:27">
      <c r="A47" s="110"/>
      <c r="B47" s="21">
        <v>8</v>
      </c>
      <c r="C47" s="21">
        <v>1.335</v>
      </c>
      <c r="D47" s="21">
        <f>C47-$I$47</f>
        <v>0.66999999999999993</v>
      </c>
      <c r="E47" s="21">
        <f>C47+$I$47</f>
        <v>2</v>
      </c>
      <c r="F47" s="21">
        <v>0.33600000000000002</v>
      </c>
      <c r="G47" s="21">
        <f>F47-$I$47</f>
        <v>-0.32900000000000001</v>
      </c>
      <c r="H47" s="21">
        <f>F47+$I$47</f>
        <v>1.0010000000000001</v>
      </c>
      <c r="I47" s="21">
        <v>0.66500000000000004</v>
      </c>
      <c r="J47" s="75"/>
      <c r="K47" s="110"/>
      <c r="L47" s="21">
        <v>8</v>
      </c>
      <c r="M47" s="22">
        <f t="shared" si="70"/>
        <v>0.79166649072985451</v>
      </c>
      <c r="N47" s="22">
        <f t="shared" si="71"/>
        <v>0.66150315920295244</v>
      </c>
      <c r="O47" s="22">
        <f t="shared" si="72"/>
        <v>0.88079707797788243</v>
      </c>
      <c r="P47" s="22">
        <f t="shared" si="73"/>
        <v>0.58321854908403337</v>
      </c>
      <c r="Q47" s="21">
        <f t="shared" si="62"/>
        <v>0.41848395843712505</v>
      </c>
      <c r="R47" s="21">
        <f t="shared" si="63"/>
        <v>0.7312551451284901</v>
      </c>
      <c r="T47" s="110"/>
      <c r="U47" s="21">
        <v>8</v>
      </c>
      <c r="V47" s="21">
        <f t="shared" si="64"/>
        <v>0.79166649072985451</v>
      </c>
      <c r="W47" s="21">
        <f t="shared" si="65"/>
        <v>0.13016333152690207</v>
      </c>
      <c r="X47" s="21">
        <f t="shared" si="66"/>
        <v>8.9130587248027915E-2</v>
      </c>
      <c r="Y47" s="21">
        <f t="shared" si="67"/>
        <v>0.58321854908403337</v>
      </c>
      <c r="Z47" s="21">
        <f t="shared" si="68"/>
        <v>0.16473459064690832</v>
      </c>
      <c r="AA47" s="21">
        <f t="shared" si="69"/>
        <v>0.14803659604445674</v>
      </c>
    </row>
    <row r="48" spans="1:27">
      <c r="A48" s="111"/>
      <c r="B48" s="21">
        <v>10</v>
      </c>
      <c r="C48" s="21">
        <v>1.099</v>
      </c>
      <c r="D48" s="21">
        <f>C48-$I$48</f>
        <v>0.46199999999999997</v>
      </c>
      <c r="E48" s="21">
        <f>C48+$I$48</f>
        <v>1.736</v>
      </c>
      <c r="F48" s="21">
        <v>0</v>
      </c>
      <c r="G48" s="21">
        <f>F48-$I$48</f>
        <v>-0.63700000000000001</v>
      </c>
      <c r="H48" s="21">
        <f>F48+$I$48</f>
        <v>0.63700000000000001</v>
      </c>
      <c r="I48" s="21">
        <v>0.63700000000000001</v>
      </c>
      <c r="J48" s="75"/>
      <c r="K48" s="111"/>
      <c r="L48" s="21">
        <v>10</v>
      </c>
      <c r="M48" s="22">
        <f t="shared" si="70"/>
        <v>0.7500726888282484</v>
      </c>
      <c r="N48" s="22">
        <f t="shared" si="71"/>
        <v>0.61348852435705636</v>
      </c>
      <c r="O48" s="22">
        <f t="shared" si="72"/>
        <v>0.85017827811851687</v>
      </c>
      <c r="P48" s="22">
        <f t="shared" si="73"/>
        <v>0.5</v>
      </c>
      <c r="Q48" s="21">
        <f t="shared" si="62"/>
        <v>0.34592500797020093</v>
      </c>
      <c r="R48" s="21">
        <f t="shared" si="63"/>
        <v>0.65407499202979913</v>
      </c>
      <c r="T48" s="111"/>
      <c r="U48" s="21">
        <v>10</v>
      </c>
      <c r="V48" s="21">
        <f t="shared" si="64"/>
        <v>0.7500726888282484</v>
      </c>
      <c r="W48" s="21">
        <f t="shared" si="65"/>
        <v>0.13658416447119204</v>
      </c>
      <c r="X48" s="21">
        <f t="shared" si="66"/>
        <v>0.10010558929026847</v>
      </c>
      <c r="Y48" s="21">
        <f t="shared" si="67"/>
        <v>0.5</v>
      </c>
      <c r="Z48" s="21">
        <f t="shared" si="68"/>
        <v>0.15407499202979907</v>
      </c>
      <c r="AA48" s="21">
        <f t="shared" si="69"/>
        <v>0.15407499202979913</v>
      </c>
    </row>
    <row r="52" spans="1:27" ht="17.399999999999999" customHeight="1">
      <c r="A52" s="112" t="s">
        <v>3</v>
      </c>
      <c r="B52" s="79"/>
      <c r="C52" s="79" t="s">
        <v>9</v>
      </c>
      <c r="D52" s="79" t="s">
        <v>126</v>
      </c>
      <c r="E52" s="79" t="s">
        <v>127</v>
      </c>
      <c r="F52" s="79" t="s">
        <v>10</v>
      </c>
      <c r="G52" s="79" t="s">
        <v>126</v>
      </c>
      <c r="H52" s="79" t="s">
        <v>127</v>
      </c>
      <c r="I52" s="79" t="s">
        <v>128</v>
      </c>
      <c r="J52" s="76"/>
      <c r="K52" s="112" t="s">
        <v>3</v>
      </c>
      <c r="L52" s="79"/>
      <c r="M52" s="80" t="s">
        <v>9</v>
      </c>
      <c r="N52" s="80" t="s">
        <v>126</v>
      </c>
      <c r="O52" s="80" t="s">
        <v>127</v>
      </c>
      <c r="P52" s="80" t="s">
        <v>10</v>
      </c>
      <c r="Q52" s="79" t="s">
        <v>126</v>
      </c>
      <c r="R52" s="79" t="s">
        <v>127</v>
      </c>
      <c r="S52" s="77"/>
      <c r="T52" s="112" t="s">
        <v>3</v>
      </c>
      <c r="U52" s="79"/>
      <c r="V52" s="79" t="s">
        <v>9</v>
      </c>
      <c r="W52" s="79" t="s">
        <v>126</v>
      </c>
      <c r="X52" s="79" t="s">
        <v>127</v>
      </c>
      <c r="Y52" s="79" t="s">
        <v>10</v>
      </c>
      <c r="Z52" s="79" t="s">
        <v>126</v>
      </c>
      <c r="AA52" s="79" t="s">
        <v>127</v>
      </c>
    </row>
    <row r="53" spans="1:27">
      <c r="A53" s="113"/>
      <c r="B53" s="79">
        <v>1</v>
      </c>
      <c r="C53" s="79">
        <v>5.7919999999999998</v>
      </c>
      <c r="D53" s="79">
        <f>C53-$I$53</f>
        <v>5.5660999999999996</v>
      </c>
      <c r="E53" s="79">
        <f>C53+$I$53</f>
        <v>6.0179</v>
      </c>
      <c r="F53" s="79">
        <v>5.6669999999999998</v>
      </c>
      <c r="G53" s="79">
        <f>F53-$I$53</f>
        <v>5.4410999999999996</v>
      </c>
      <c r="H53" s="79">
        <f>F53+$I$53</f>
        <v>5.8929</v>
      </c>
      <c r="I53" s="79">
        <v>0.22589999999999999</v>
      </c>
      <c r="J53" s="76"/>
      <c r="K53" s="113"/>
      <c r="L53" s="79">
        <v>1</v>
      </c>
      <c r="M53" s="80">
        <v>5.7919999999999998</v>
      </c>
      <c r="N53" s="80">
        <f>M53-$I$53</f>
        <v>5.5660999999999996</v>
      </c>
      <c r="O53" s="80">
        <f>M53+$I$53</f>
        <v>6.0179</v>
      </c>
      <c r="P53" s="80">
        <v>5.6669999999999998</v>
      </c>
      <c r="Q53" s="79">
        <f>P53-$I$53</f>
        <v>5.4410999999999996</v>
      </c>
      <c r="R53" s="79">
        <f>P53+$I$53</f>
        <v>5.8929</v>
      </c>
      <c r="S53" s="77"/>
      <c r="T53" s="113"/>
      <c r="U53" s="79">
        <v>1</v>
      </c>
      <c r="V53" s="79">
        <f t="shared" ref="V53:V58" si="74">M53</f>
        <v>5.7919999999999998</v>
      </c>
      <c r="W53" s="79">
        <f t="shared" ref="W53:W58" si="75">M53-N53</f>
        <v>0.22590000000000021</v>
      </c>
      <c r="X53" s="79">
        <f t="shared" ref="X53:X58" si="76">O53-M53</f>
        <v>0.22590000000000021</v>
      </c>
      <c r="Y53" s="79">
        <f t="shared" ref="Y53:Y58" si="77">P53</f>
        <v>5.6669999999999998</v>
      </c>
      <c r="Z53" s="79">
        <f t="shared" ref="Z53:Z58" si="78">P53-Q53</f>
        <v>0.22590000000000021</v>
      </c>
      <c r="AA53" s="79">
        <f t="shared" ref="AA53:AA58" si="79">R53-P53</f>
        <v>0.22590000000000021</v>
      </c>
    </row>
    <row r="54" spans="1:27">
      <c r="A54" s="113"/>
      <c r="B54" s="79">
        <v>3</v>
      </c>
      <c r="C54" s="79">
        <v>5.4580000000000002</v>
      </c>
      <c r="D54" s="79">
        <f t="shared" ref="D54:D58" si="80">C54-$I$53</f>
        <v>5.2321</v>
      </c>
      <c r="E54" s="79">
        <f t="shared" ref="E54:E58" si="81">C54+$I$53</f>
        <v>5.6839000000000004</v>
      </c>
      <c r="F54" s="79">
        <v>5.75</v>
      </c>
      <c r="G54" s="79">
        <f t="shared" ref="G54:G58" si="82">F54-$I$53</f>
        <v>5.5240999999999998</v>
      </c>
      <c r="H54" s="79">
        <f t="shared" ref="H54:H58" si="83">F54+$I$53</f>
        <v>5.9759000000000002</v>
      </c>
      <c r="I54" s="79"/>
      <c r="J54" s="76"/>
      <c r="K54" s="113"/>
      <c r="L54" s="79">
        <v>3</v>
      </c>
      <c r="M54" s="80">
        <v>5.4580000000000002</v>
      </c>
      <c r="N54" s="80">
        <f t="shared" ref="N54:N58" si="84">M54-$I$53</f>
        <v>5.2321</v>
      </c>
      <c r="O54" s="80">
        <f t="shared" ref="O54:O58" si="85">M54+$I$53</f>
        <v>5.6839000000000004</v>
      </c>
      <c r="P54" s="80">
        <v>5.75</v>
      </c>
      <c r="Q54" s="79">
        <f t="shared" ref="Q54:Q58" si="86">P54-$I$53</f>
        <v>5.5240999999999998</v>
      </c>
      <c r="R54" s="79">
        <f t="shared" ref="R54:R58" si="87">P54+$I$53</f>
        <v>5.9759000000000002</v>
      </c>
      <c r="S54" s="77"/>
      <c r="T54" s="113"/>
      <c r="U54" s="79">
        <v>3</v>
      </c>
      <c r="V54" s="79">
        <f t="shared" si="74"/>
        <v>5.4580000000000002</v>
      </c>
      <c r="W54" s="79">
        <f t="shared" si="75"/>
        <v>0.22590000000000021</v>
      </c>
      <c r="X54" s="79">
        <f t="shared" si="76"/>
        <v>0.22590000000000021</v>
      </c>
      <c r="Y54" s="79">
        <f t="shared" si="77"/>
        <v>5.75</v>
      </c>
      <c r="Z54" s="79">
        <f t="shared" si="78"/>
        <v>0.22590000000000021</v>
      </c>
      <c r="AA54" s="79">
        <f t="shared" si="79"/>
        <v>0.22590000000000021</v>
      </c>
    </row>
    <row r="55" spans="1:27">
      <c r="A55" s="113"/>
      <c r="B55" s="79">
        <v>5</v>
      </c>
      <c r="C55" s="79">
        <v>5.5419999999999998</v>
      </c>
      <c r="D55" s="79">
        <f t="shared" si="80"/>
        <v>5.3160999999999996</v>
      </c>
      <c r="E55" s="79">
        <f t="shared" si="81"/>
        <v>5.7679</v>
      </c>
      <c r="F55" s="79">
        <v>5.7919999999999998</v>
      </c>
      <c r="G55" s="79">
        <f t="shared" si="82"/>
        <v>5.5660999999999996</v>
      </c>
      <c r="H55" s="79">
        <f t="shared" si="83"/>
        <v>6.0179</v>
      </c>
      <c r="I55" s="79"/>
      <c r="J55" s="76"/>
      <c r="K55" s="113"/>
      <c r="L55" s="79">
        <v>5</v>
      </c>
      <c r="M55" s="80">
        <v>5.5419999999999998</v>
      </c>
      <c r="N55" s="80">
        <f t="shared" si="84"/>
        <v>5.3160999999999996</v>
      </c>
      <c r="O55" s="80">
        <f t="shared" si="85"/>
        <v>5.7679</v>
      </c>
      <c r="P55" s="80">
        <v>5.7919999999999998</v>
      </c>
      <c r="Q55" s="79">
        <f t="shared" si="86"/>
        <v>5.5660999999999996</v>
      </c>
      <c r="R55" s="79">
        <f t="shared" si="87"/>
        <v>6.0179</v>
      </c>
      <c r="S55" s="77"/>
      <c r="T55" s="113"/>
      <c r="U55" s="79">
        <v>5</v>
      </c>
      <c r="V55" s="79">
        <f t="shared" si="74"/>
        <v>5.5419999999999998</v>
      </c>
      <c r="W55" s="79">
        <f t="shared" si="75"/>
        <v>0.22590000000000021</v>
      </c>
      <c r="X55" s="79">
        <f t="shared" si="76"/>
        <v>0.22590000000000021</v>
      </c>
      <c r="Y55" s="79">
        <f t="shared" si="77"/>
        <v>5.7919999999999998</v>
      </c>
      <c r="Z55" s="79">
        <f t="shared" si="78"/>
        <v>0.22590000000000021</v>
      </c>
      <c r="AA55" s="79">
        <f t="shared" si="79"/>
        <v>0.22590000000000021</v>
      </c>
    </row>
    <row r="56" spans="1:27">
      <c r="A56" s="113"/>
      <c r="B56" s="79">
        <v>6</v>
      </c>
      <c r="C56" s="79">
        <v>5.5830000000000002</v>
      </c>
      <c r="D56" s="79">
        <f t="shared" si="80"/>
        <v>5.3571</v>
      </c>
      <c r="E56" s="79">
        <f t="shared" si="81"/>
        <v>5.8089000000000004</v>
      </c>
      <c r="F56" s="79">
        <v>5.75</v>
      </c>
      <c r="G56" s="79">
        <f t="shared" si="82"/>
        <v>5.5240999999999998</v>
      </c>
      <c r="H56" s="79">
        <f t="shared" si="83"/>
        <v>5.9759000000000002</v>
      </c>
      <c r="I56" s="79"/>
      <c r="J56" s="76"/>
      <c r="K56" s="113"/>
      <c r="L56" s="79">
        <v>6</v>
      </c>
      <c r="M56" s="80">
        <v>5.5830000000000002</v>
      </c>
      <c r="N56" s="80">
        <f t="shared" si="84"/>
        <v>5.3571</v>
      </c>
      <c r="O56" s="80">
        <f t="shared" si="85"/>
        <v>5.8089000000000004</v>
      </c>
      <c r="P56" s="80">
        <v>5.75</v>
      </c>
      <c r="Q56" s="79">
        <f t="shared" si="86"/>
        <v>5.5240999999999998</v>
      </c>
      <c r="R56" s="79">
        <f t="shared" si="87"/>
        <v>5.9759000000000002</v>
      </c>
      <c r="S56" s="77"/>
      <c r="T56" s="113"/>
      <c r="U56" s="79">
        <v>6</v>
      </c>
      <c r="V56" s="79">
        <f t="shared" si="74"/>
        <v>5.5830000000000002</v>
      </c>
      <c r="W56" s="79">
        <f t="shared" si="75"/>
        <v>0.22590000000000021</v>
      </c>
      <c r="X56" s="79">
        <f t="shared" si="76"/>
        <v>0.22590000000000021</v>
      </c>
      <c r="Y56" s="79">
        <f t="shared" si="77"/>
        <v>5.75</v>
      </c>
      <c r="Z56" s="79">
        <f t="shared" si="78"/>
        <v>0.22590000000000021</v>
      </c>
      <c r="AA56" s="79">
        <f t="shared" si="79"/>
        <v>0.22590000000000021</v>
      </c>
    </row>
    <row r="57" spans="1:27">
      <c r="A57" s="113"/>
      <c r="B57" s="79">
        <v>8</v>
      </c>
      <c r="C57" s="79">
        <v>5.4580000000000002</v>
      </c>
      <c r="D57" s="79">
        <f t="shared" si="80"/>
        <v>5.2321</v>
      </c>
      <c r="E57" s="79">
        <f t="shared" si="81"/>
        <v>5.6839000000000004</v>
      </c>
      <c r="F57" s="79">
        <v>5.5</v>
      </c>
      <c r="G57" s="79">
        <f t="shared" si="82"/>
        <v>5.2740999999999998</v>
      </c>
      <c r="H57" s="79">
        <f t="shared" si="83"/>
        <v>5.7259000000000002</v>
      </c>
      <c r="I57" s="79"/>
      <c r="J57" s="76"/>
      <c r="K57" s="113"/>
      <c r="L57" s="79">
        <v>8</v>
      </c>
      <c r="M57" s="80">
        <v>5.4580000000000002</v>
      </c>
      <c r="N57" s="80">
        <f t="shared" si="84"/>
        <v>5.2321</v>
      </c>
      <c r="O57" s="80">
        <f t="shared" si="85"/>
        <v>5.6839000000000004</v>
      </c>
      <c r="P57" s="80">
        <v>5.5</v>
      </c>
      <c r="Q57" s="79">
        <f t="shared" si="86"/>
        <v>5.2740999999999998</v>
      </c>
      <c r="R57" s="79">
        <f t="shared" si="87"/>
        <v>5.7259000000000002</v>
      </c>
      <c r="S57" s="77"/>
      <c r="T57" s="113"/>
      <c r="U57" s="79">
        <v>8</v>
      </c>
      <c r="V57" s="79">
        <f t="shared" si="74"/>
        <v>5.4580000000000002</v>
      </c>
      <c r="W57" s="79">
        <f t="shared" si="75"/>
        <v>0.22590000000000021</v>
      </c>
      <c r="X57" s="79">
        <f t="shared" si="76"/>
        <v>0.22590000000000021</v>
      </c>
      <c r="Y57" s="79">
        <f t="shared" si="77"/>
        <v>5.5</v>
      </c>
      <c r="Z57" s="79">
        <f t="shared" si="78"/>
        <v>0.22590000000000021</v>
      </c>
      <c r="AA57" s="79">
        <f t="shared" si="79"/>
        <v>0.22590000000000021</v>
      </c>
    </row>
    <row r="58" spans="1:27">
      <c r="A58" s="114"/>
      <c r="B58" s="79">
        <v>10</v>
      </c>
      <c r="C58" s="79">
        <v>5.4169999999999998</v>
      </c>
      <c r="D58" s="79">
        <f t="shared" si="80"/>
        <v>5.1910999999999996</v>
      </c>
      <c r="E58" s="79">
        <f t="shared" si="81"/>
        <v>5.6429</v>
      </c>
      <c r="F58" s="79">
        <v>5.0830000000000002</v>
      </c>
      <c r="G58" s="79">
        <f t="shared" si="82"/>
        <v>4.8571</v>
      </c>
      <c r="H58" s="79">
        <f t="shared" si="83"/>
        <v>5.3089000000000004</v>
      </c>
      <c r="I58" s="79"/>
      <c r="J58" s="76"/>
      <c r="K58" s="114"/>
      <c r="L58" s="79">
        <v>10</v>
      </c>
      <c r="M58" s="80">
        <v>5.4169999999999998</v>
      </c>
      <c r="N58" s="80">
        <f t="shared" si="84"/>
        <v>5.1910999999999996</v>
      </c>
      <c r="O58" s="80">
        <f t="shared" si="85"/>
        <v>5.6429</v>
      </c>
      <c r="P58" s="80">
        <v>5.0830000000000002</v>
      </c>
      <c r="Q58" s="79">
        <f t="shared" si="86"/>
        <v>4.8571</v>
      </c>
      <c r="R58" s="79">
        <f t="shared" si="87"/>
        <v>5.3089000000000004</v>
      </c>
      <c r="S58" s="77"/>
      <c r="T58" s="114"/>
      <c r="U58" s="79">
        <v>10</v>
      </c>
      <c r="V58" s="79">
        <f t="shared" si="74"/>
        <v>5.4169999999999998</v>
      </c>
      <c r="W58" s="79">
        <f t="shared" si="75"/>
        <v>0.22590000000000021</v>
      </c>
      <c r="X58" s="79">
        <f t="shared" si="76"/>
        <v>0.22590000000000021</v>
      </c>
      <c r="Y58" s="79">
        <f t="shared" si="77"/>
        <v>5.0830000000000002</v>
      </c>
      <c r="Z58" s="79">
        <f t="shared" si="78"/>
        <v>0.22590000000000021</v>
      </c>
      <c r="AA58" s="79">
        <f t="shared" si="79"/>
        <v>0.22590000000000021</v>
      </c>
    </row>
    <row r="62" spans="1:27" ht="17.399999999999999" customHeight="1">
      <c r="A62" s="109" t="s">
        <v>132</v>
      </c>
      <c r="B62" s="21"/>
      <c r="C62" s="21" t="s">
        <v>9</v>
      </c>
      <c r="D62" s="21" t="s">
        <v>126</v>
      </c>
      <c r="E62" s="21" t="s">
        <v>127</v>
      </c>
      <c r="F62" s="21" t="s">
        <v>10</v>
      </c>
      <c r="G62" s="21" t="s">
        <v>126</v>
      </c>
      <c r="H62" s="21" t="s">
        <v>127</v>
      </c>
      <c r="I62" s="21" t="s">
        <v>128</v>
      </c>
      <c r="J62" s="75"/>
      <c r="K62" s="109" t="s">
        <v>132</v>
      </c>
      <c r="L62" s="21"/>
      <c r="M62" s="22" t="s">
        <v>9</v>
      </c>
      <c r="N62" s="22" t="s">
        <v>126</v>
      </c>
      <c r="O62" s="22" t="s">
        <v>127</v>
      </c>
      <c r="P62" s="22" t="s">
        <v>10</v>
      </c>
      <c r="Q62" s="21" t="s">
        <v>126</v>
      </c>
      <c r="R62" s="21" t="s">
        <v>127</v>
      </c>
      <c r="T62" s="109" t="s">
        <v>132</v>
      </c>
      <c r="U62" s="21"/>
      <c r="V62" s="21" t="s">
        <v>9</v>
      </c>
      <c r="W62" s="21" t="s">
        <v>126</v>
      </c>
      <c r="X62" s="21" t="s">
        <v>127</v>
      </c>
      <c r="Y62" s="21" t="s">
        <v>10</v>
      </c>
      <c r="Z62" s="21" t="s">
        <v>126</v>
      </c>
      <c r="AA62" s="21" t="s">
        <v>127</v>
      </c>
    </row>
    <row r="63" spans="1:27">
      <c r="A63" s="110"/>
      <c r="B63" s="21">
        <v>1</v>
      </c>
      <c r="C63" s="21">
        <v>-0.73899999999999999</v>
      </c>
      <c r="D63" s="21">
        <f>C63-$I$63</f>
        <v>-1.339</v>
      </c>
      <c r="E63" s="21">
        <f>C63+$I$63</f>
        <v>-0.13900000000000001</v>
      </c>
      <c r="F63" s="21">
        <v>-0.35699999999999998</v>
      </c>
      <c r="G63" s="21">
        <f>F63-$I$63</f>
        <v>-0.95699999999999996</v>
      </c>
      <c r="H63" s="21">
        <f>F63+$I$63</f>
        <v>0.24299999999999999</v>
      </c>
      <c r="I63" s="21">
        <v>0.6</v>
      </c>
      <c r="J63" s="75"/>
      <c r="K63" s="110"/>
      <c r="L63" s="21">
        <v>1</v>
      </c>
      <c r="M63" s="22">
        <f>EXP(C63)/(1+EXP(C63))</f>
        <v>0.32322285492109443</v>
      </c>
      <c r="N63" s="22">
        <f t="shared" ref="N63:N68" si="88">EXP(D63)/(1+EXP(D63))</f>
        <v>0.20767455629401638</v>
      </c>
      <c r="O63" s="22">
        <f t="shared" ref="O63:O68" si="89">EXP(E63)/(1+EXP(E63))</f>
        <v>0.4653058425050105</v>
      </c>
      <c r="P63" s="22">
        <f>EXP(F63)/(1+EXP(F63))</f>
        <v>0.41168597483912689</v>
      </c>
      <c r="Q63" s="21">
        <f t="shared" ref="Q63:Q68" si="90">EXP(G63)/(1+EXP(G63))</f>
        <v>0.27747924672837854</v>
      </c>
      <c r="R63" s="21">
        <f t="shared" ref="R63:R68" si="91">EXP(H63)/(1+EXP(H63))</f>
        <v>0.56045281913749811</v>
      </c>
      <c r="T63" s="110"/>
      <c r="U63" s="21">
        <v>1</v>
      </c>
      <c r="V63" s="21">
        <f t="shared" ref="V63:V68" si="92">M63</f>
        <v>0.32322285492109443</v>
      </c>
      <c r="W63" s="21">
        <f t="shared" ref="W63:W68" si="93">M63-N63</f>
        <v>0.11554829862707805</v>
      </c>
      <c r="X63" s="21">
        <f t="shared" ref="X63:X68" si="94">O63-M63</f>
        <v>0.14208298758391608</v>
      </c>
      <c r="Y63" s="21">
        <f t="shared" ref="Y63:Y68" si="95">P63</f>
        <v>0.41168597483912689</v>
      </c>
      <c r="Z63" s="21">
        <f t="shared" ref="Z63:Z68" si="96">P63-Q63</f>
        <v>0.13420672811074835</v>
      </c>
      <c r="AA63" s="21">
        <f t="shared" ref="AA63:AA68" si="97">R63-P63</f>
        <v>0.14876684429837123</v>
      </c>
    </row>
    <row r="64" spans="1:27">
      <c r="A64" s="110"/>
      <c r="B64" s="21">
        <v>3</v>
      </c>
      <c r="C64" s="21">
        <v>-0.17499999999999999</v>
      </c>
      <c r="D64" s="21">
        <f>C64-$I$64</f>
        <v>-0.7589999999999999</v>
      </c>
      <c r="E64" s="21">
        <f>C64+$I$64</f>
        <v>0.40899999999999997</v>
      </c>
      <c r="F64" s="21">
        <v>-0.35699999999999998</v>
      </c>
      <c r="G64" s="21">
        <f>F64-$I$64</f>
        <v>-0.94099999999999995</v>
      </c>
      <c r="H64" s="21">
        <f>F64+$I$64</f>
        <v>0.22699999999999998</v>
      </c>
      <c r="I64" s="21">
        <v>0.58399999999999996</v>
      </c>
      <c r="J64" s="75"/>
      <c r="K64" s="110"/>
      <c r="L64" s="21">
        <v>3</v>
      </c>
      <c r="M64" s="22">
        <f t="shared" ref="M64:M68" si="98">EXP(C64)/(1+EXP(C64))</f>
        <v>0.45636131276292113</v>
      </c>
      <c r="N64" s="22">
        <f t="shared" si="88"/>
        <v>0.31886341639711641</v>
      </c>
      <c r="O64" s="22">
        <f t="shared" si="89"/>
        <v>0.60084807338617807</v>
      </c>
      <c r="P64" s="22">
        <f t="shared" ref="P64:P68" si="99">EXP(F64)/(1+EXP(F64))</f>
        <v>0.41168597483912689</v>
      </c>
      <c r="Q64" s="21">
        <f t="shared" si="90"/>
        <v>0.2806983915077369</v>
      </c>
      <c r="R64" s="21">
        <f t="shared" si="91"/>
        <v>0.55650755996350598</v>
      </c>
      <c r="T64" s="110"/>
      <c r="U64" s="21">
        <v>3</v>
      </c>
      <c r="V64" s="21">
        <f t="shared" si="92"/>
        <v>0.45636131276292113</v>
      </c>
      <c r="W64" s="21">
        <f t="shared" si="93"/>
        <v>0.13749789636580473</v>
      </c>
      <c r="X64" s="21">
        <f t="shared" si="94"/>
        <v>0.14448676062325694</v>
      </c>
      <c r="Y64" s="21">
        <f t="shared" si="95"/>
        <v>0.41168597483912689</v>
      </c>
      <c r="Z64" s="21">
        <f t="shared" si="96"/>
        <v>0.13098758333138999</v>
      </c>
      <c r="AA64" s="21">
        <f t="shared" si="97"/>
        <v>0.14482158512437909</v>
      </c>
    </row>
    <row r="65" spans="1:27">
      <c r="A65" s="110"/>
      <c r="B65" s="21">
        <v>5</v>
      </c>
      <c r="C65" s="21">
        <v>-0.17499999999999999</v>
      </c>
      <c r="D65" s="21">
        <f>C65-$I$65</f>
        <v>-0.82099999999999995</v>
      </c>
      <c r="E65" s="21">
        <f>C65+$I$65</f>
        <v>0.47100000000000003</v>
      </c>
      <c r="F65" s="21">
        <v>1.423</v>
      </c>
      <c r="G65" s="21">
        <f>F65-$I$65</f>
        <v>0.77700000000000002</v>
      </c>
      <c r="H65" s="21">
        <f>F65+$I$65</f>
        <v>2.069</v>
      </c>
      <c r="I65" s="21">
        <v>0.64600000000000002</v>
      </c>
      <c r="J65" s="75"/>
      <c r="K65" s="110"/>
      <c r="L65" s="21">
        <v>5</v>
      </c>
      <c r="M65" s="22">
        <f t="shared" si="98"/>
        <v>0.45636131276292113</v>
      </c>
      <c r="N65" s="22">
        <f t="shared" si="88"/>
        <v>0.30555142888844739</v>
      </c>
      <c r="O65" s="22">
        <f t="shared" si="89"/>
        <v>0.61562041565358694</v>
      </c>
      <c r="P65" s="22">
        <f t="shared" si="99"/>
        <v>0.80580829099812235</v>
      </c>
      <c r="Q65" s="21">
        <f t="shared" si="90"/>
        <v>0.68503318537227709</v>
      </c>
      <c r="R65" s="21">
        <f t="shared" si="91"/>
        <v>0.8878534303382094</v>
      </c>
      <c r="T65" s="110"/>
      <c r="U65" s="21">
        <v>5</v>
      </c>
      <c r="V65" s="21">
        <f t="shared" si="92"/>
        <v>0.45636131276292113</v>
      </c>
      <c r="W65" s="21">
        <f t="shared" si="93"/>
        <v>0.15080988387447375</v>
      </c>
      <c r="X65" s="21">
        <f t="shared" si="94"/>
        <v>0.1592591028906658</v>
      </c>
      <c r="Y65" s="21">
        <f t="shared" si="95"/>
        <v>0.80580829099812235</v>
      </c>
      <c r="Z65" s="21">
        <f t="shared" si="96"/>
        <v>0.12077510562584526</v>
      </c>
      <c r="AA65" s="21">
        <f t="shared" si="97"/>
        <v>8.2045139340087059E-2</v>
      </c>
    </row>
    <row r="66" spans="1:27">
      <c r="A66" s="110"/>
      <c r="B66" s="21">
        <v>6</v>
      </c>
      <c r="C66" s="21">
        <v>1.7090000000000001</v>
      </c>
      <c r="D66" s="21">
        <f>C66-$I$66</f>
        <v>0.89700000000000002</v>
      </c>
      <c r="E66" s="21">
        <f>C66+$I$66</f>
        <v>2.5209999999999999</v>
      </c>
      <c r="F66" s="21">
        <v>2.0569999999999999</v>
      </c>
      <c r="G66" s="21">
        <f>F66-$I$66</f>
        <v>1.2449999999999999</v>
      </c>
      <c r="H66" s="21">
        <f>F66+$I$66</f>
        <v>2.8689999999999998</v>
      </c>
      <c r="I66" s="21">
        <v>0.81200000000000006</v>
      </c>
      <c r="J66" s="75"/>
      <c r="K66" s="110"/>
      <c r="L66" s="21">
        <v>6</v>
      </c>
      <c r="M66" s="22">
        <f t="shared" si="98"/>
        <v>0.84670653465192491</v>
      </c>
      <c r="N66" s="22">
        <f t="shared" si="88"/>
        <v>0.71033261176718632</v>
      </c>
      <c r="O66" s="22">
        <f t="shared" si="89"/>
        <v>0.92560094798229664</v>
      </c>
      <c r="P66" s="22">
        <f t="shared" si="99"/>
        <v>0.88665302115033073</v>
      </c>
      <c r="Q66" s="21">
        <f t="shared" si="90"/>
        <v>0.77643313733339825</v>
      </c>
      <c r="R66" s="21">
        <f t="shared" si="91"/>
        <v>0.94629254770698923</v>
      </c>
      <c r="T66" s="110"/>
      <c r="U66" s="21">
        <v>6</v>
      </c>
      <c r="V66" s="21">
        <f t="shared" si="92"/>
        <v>0.84670653465192491</v>
      </c>
      <c r="W66" s="21">
        <f t="shared" si="93"/>
        <v>0.1363739228847386</v>
      </c>
      <c r="X66" s="21">
        <f t="shared" si="94"/>
        <v>7.8894413330371727E-2</v>
      </c>
      <c r="Y66" s="21">
        <f t="shared" si="95"/>
        <v>0.88665302115033073</v>
      </c>
      <c r="Z66" s="21">
        <f t="shared" si="96"/>
        <v>0.11021988381693248</v>
      </c>
      <c r="AA66" s="21">
        <f t="shared" si="97"/>
        <v>5.9639526556658495E-2</v>
      </c>
    </row>
    <row r="67" spans="1:27">
      <c r="A67" s="110"/>
      <c r="B67" s="21">
        <v>8</v>
      </c>
      <c r="C67" s="21">
        <v>1.423</v>
      </c>
      <c r="D67" s="21">
        <f>C67-$I$67</f>
        <v>0.74</v>
      </c>
      <c r="E67" s="21">
        <f>C67+$I$67</f>
        <v>2.1059999999999999</v>
      </c>
      <c r="F67" s="21">
        <v>1.175</v>
      </c>
      <c r="G67" s="21">
        <f>F67-$I$67</f>
        <v>0.49199999999999999</v>
      </c>
      <c r="H67" s="21">
        <f>F67+$I$67</f>
        <v>1.8580000000000001</v>
      </c>
      <c r="I67" s="21">
        <v>0.68300000000000005</v>
      </c>
      <c r="J67" s="75"/>
      <c r="K67" s="110"/>
      <c r="L67" s="21">
        <v>8</v>
      </c>
      <c r="M67" s="22">
        <f t="shared" si="98"/>
        <v>0.80580829099812235</v>
      </c>
      <c r="N67" s="22">
        <f t="shared" si="88"/>
        <v>0.67699585623852299</v>
      </c>
      <c r="O67" s="22">
        <f t="shared" si="89"/>
        <v>0.89148498071848015</v>
      </c>
      <c r="P67" s="22">
        <f t="shared" si="99"/>
        <v>0.76404759979746606</v>
      </c>
      <c r="Q67" s="21">
        <f t="shared" si="90"/>
        <v>0.6205774679270909</v>
      </c>
      <c r="R67" s="21">
        <f t="shared" si="91"/>
        <v>0.86506366140844559</v>
      </c>
      <c r="T67" s="110"/>
      <c r="U67" s="21">
        <v>8</v>
      </c>
      <c r="V67" s="21">
        <f t="shared" si="92"/>
        <v>0.80580829099812235</v>
      </c>
      <c r="W67" s="21">
        <f t="shared" si="93"/>
        <v>0.12881243475959936</v>
      </c>
      <c r="X67" s="21">
        <f t="shared" si="94"/>
        <v>8.5676689720357802E-2</v>
      </c>
      <c r="Y67" s="21">
        <f t="shared" si="95"/>
        <v>0.76404759979746606</v>
      </c>
      <c r="Z67" s="21">
        <f t="shared" si="96"/>
        <v>0.14347013187037516</v>
      </c>
      <c r="AA67" s="21">
        <f t="shared" si="97"/>
        <v>0.10101606161097954</v>
      </c>
    </row>
    <row r="68" spans="1:27">
      <c r="A68" s="111"/>
      <c r="B68" s="21">
        <v>10</v>
      </c>
      <c r="C68" s="21">
        <v>2.0569999999999999</v>
      </c>
      <c r="D68" s="21">
        <f>C68-$I$68</f>
        <v>1.2909999999999999</v>
      </c>
      <c r="E68" s="21">
        <f>C68+$I$68</f>
        <v>2.823</v>
      </c>
      <c r="F68" s="21">
        <v>1.175</v>
      </c>
      <c r="G68" s="21">
        <f>F68-$I$68</f>
        <v>0.40900000000000003</v>
      </c>
      <c r="H68" s="21">
        <f>F68+$I$68</f>
        <v>1.9410000000000001</v>
      </c>
      <c r="I68" s="21">
        <v>0.76600000000000001</v>
      </c>
      <c r="J68" s="75"/>
      <c r="K68" s="111"/>
      <c r="L68" s="21">
        <v>10</v>
      </c>
      <c r="M68" s="22">
        <f t="shared" si="98"/>
        <v>0.88665302115033073</v>
      </c>
      <c r="N68" s="22">
        <f t="shared" si="88"/>
        <v>0.78431640145707338</v>
      </c>
      <c r="O68" s="22">
        <f t="shared" si="89"/>
        <v>0.94390612019173037</v>
      </c>
      <c r="P68" s="22">
        <f t="shared" si="99"/>
        <v>0.76404759979746606</v>
      </c>
      <c r="Q68" s="21">
        <f t="shared" si="90"/>
        <v>0.60084807338617807</v>
      </c>
      <c r="R68" s="21">
        <f t="shared" si="91"/>
        <v>0.87446196283706124</v>
      </c>
      <c r="T68" s="111"/>
      <c r="U68" s="21">
        <v>10</v>
      </c>
      <c r="V68" s="21">
        <f t="shared" si="92"/>
        <v>0.88665302115033073</v>
      </c>
      <c r="W68" s="21">
        <f t="shared" si="93"/>
        <v>0.10233661969325736</v>
      </c>
      <c r="X68" s="21">
        <f t="shared" si="94"/>
        <v>5.7253099041399635E-2</v>
      </c>
      <c r="Y68" s="21">
        <f t="shared" si="95"/>
        <v>0.76404759979746606</v>
      </c>
      <c r="Z68" s="21">
        <f t="shared" si="96"/>
        <v>0.16319952641128799</v>
      </c>
      <c r="AA68" s="21">
        <f t="shared" si="97"/>
        <v>0.11041436303959518</v>
      </c>
    </row>
    <row r="72" spans="1:27" ht="17.399999999999999" customHeight="1">
      <c r="A72" s="108" t="s">
        <v>133</v>
      </c>
      <c r="B72" s="21"/>
      <c r="C72" s="21" t="s">
        <v>9</v>
      </c>
      <c r="D72" s="21" t="s">
        <v>126</v>
      </c>
      <c r="E72" s="21" t="s">
        <v>127</v>
      </c>
      <c r="F72" s="21" t="s">
        <v>10</v>
      </c>
      <c r="G72" s="21" t="s">
        <v>126</v>
      </c>
      <c r="H72" s="21" t="s">
        <v>127</v>
      </c>
      <c r="I72" s="21" t="s">
        <v>128</v>
      </c>
      <c r="J72" s="75"/>
      <c r="K72" s="108" t="s">
        <v>21</v>
      </c>
      <c r="L72" s="21"/>
      <c r="M72" s="22" t="s">
        <v>9</v>
      </c>
      <c r="N72" s="22" t="s">
        <v>126</v>
      </c>
      <c r="O72" s="22" t="s">
        <v>127</v>
      </c>
      <c r="P72" s="22" t="s">
        <v>10</v>
      </c>
      <c r="Q72" s="21" t="s">
        <v>126</v>
      </c>
      <c r="R72" s="21" t="s">
        <v>127</v>
      </c>
      <c r="T72" s="108" t="s">
        <v>21</v>
      </c>
      <c r="U72" s="21"/>
      <c r="V72" s="21" t="s">
        <v>9</v>
      </c>
      <c r="W72" s="21" t="s">
        <v>126</v>
      </c>
      <c r="X72" s="21" t="s">
        <v>127</v>
      </c>
      <c r="Y72" s="21" t="s">
        <v>10</v>
      </c>
      <c r="Z72" s="21" t="s">
        <v>126</v>
      </c>
      <c r="AA72" s="21" t="s">
        <v>127</v>
      </c>
    </row>
    <row r="73" spans="1:27">
      <c r="A73" s="108"/>
      <c r="B73" s="21">
        <v>1</v>
      </c>
      <c r="C73" s="21">
        <v>0.5585</v>
      </c>
      <c r="D73" s="21">
        <f>C73-$I$73</f>
        <v>0.49714999999999998</v>
      </c>
      <c r="E73" s="21">
        <f>C73+$I$73</f>
        <v>0.61985000000000001</v>
      </c>
      <c r="F73" s="21">
        <v>0.58960000000000001</v>
      </c>
      <c r="G73" s="21">
        <f>F73-$I$73</f>
        <v>0.52825</v>
      </c>
      <c r="H73" s="21">
        <f>F73+$I$73</f>
        <v>0.65095000000000003</v>
      </c>
      <c r="I73" s="21">
        <v>6.1350000000000002E-2</v>
      </c>
      <c r="J73" s="75"/>
      <c r="K73" s="108"/>
      <c r="L73" s="21">
        <v>1</v>
      </c>
      <c r="M73" s="22">
        <f t="shared" ref="M73:M78" si="100">10^C73-1</f>
        <v>2.6182619073242988</v>
      </c>
      <c r="N73" s="22">
        <f t="shared" ref="N73:N78" si="101">10^D73-1</f>
        <v>2.1415935744931187</v>
      </c>
      <c r="O73" s="22">
        <f t="shared" ref="O73:O78" si="102">10^E73-1</f>
        <v>3.1672542674799615</v>
      </c>
      <c r="P73" s="22">
        <f t="shared" ref="P73:P78" si="103">10^F73-1</f>
        <v>2.8868698613730239</v>
      </c>
      <c r="Q73" s="21">
        <f t="shared" ref="Q73:Q78" si="104">10^G73-1</f>
        <v>2.3748152273505396</v>
      </c>
      <c r="R73" s="21">
        <f t="shared" ref="R73:R78" si="105">10^H73-1</f>
        <v>3.476617622444051</v>
      </c>
      <c r="T73" s="108"/>
      <c r="U73" s="21">
        <v>1</v>
      </c>
      <c r="V73" s="21">
        <f t="shared" ref="V73:V78" si="106">M73</f>
        <v>2.6182619073242988</v>
      </c>
      <c r="W73" s="21">
        <f t="shared" ref="W73:W78" si="107">M73-N73</f>
        <v>0.47666833283118004</v>
      </c>
      <c r="X73" s="21">
        <f t="shared" ref="X73:X78" si="108">O73-M73</f>
        <v>0.54899236015566277</v>
      </c>
      <c r="Y73" s="21">
        <f t="shared" ref="Y73:Y78" si="109">P73</f>
        <v>2.8868698613730239</v>
      </c>
      <c r="Z73" s="21">
        <f t="shared" ref="Z73:Z78" si="110">P73-Q73</f>
        <v>0.5120546340224843</v>
      </c>
      <c r="AA73" s="21">
        <f t="shared" ref="AA73:AA78" si="111">R73-P73</f>
        <v>0.58974776107102711</v>
      </c>
    </row>
    <row r="74" spans="1:27">
      <c r="A74" s="108"/>
      <c r="B74" s="21">
        <v>2</v>
      </c>
      <c r="C74" s="21">
        <v>0.30449999999999999</v>
      </c>
      <c r="D74" s="21">
        <f t="shared" ref="D74:D82" si="112">C74-$I$73</f>
        <v>0.24314999999999998</v>
      </c>
      <c r="E74" s="21">
        <f t="shared" ref="E74:E82" si="113">C74+$I$73</f>
        <v>0.36585000000000001</v>
      </c>
      <c r="F74" s="21">
        <v>0.46289999999999998</v>
      </c>
      <c r="G74" s="21">
        <f t="shared" ref="G74:G82" si="114">F74-$I$73</f>
        <v>0.40154999999999996</v>
      </c>
      <c r="H74" s="21">
        <f t="shared" ref="H74:H82" si="115">F74+$I$73</f>
        <v>0.52424999999999999</v>
      </c>
      <c r="I74" s="21"/>
      <c r="J74" s="75"/>
      <c r="K74" s="108"/>
      <c r="L74" s="21">
        <v>2</v>
      </c>
      <c r="M74" s="22">
        <f t="shared" si="100"/>
        <v>1.0160439706643625</v>
      </c>
      <c r="N74" s="22">
        <f t="shared" si="101"/>
        <v>0.75045116864368677</v>
      </c>
      <c r="O74" s="22">
        <f t="shared" si="102"/>
        <v>1.3219346900156026</v>
      </c>
      <c r="P74" s="22">
        <f t="shared" si="103"/>
        <v>1.9033540555153148</v>
      </c>
      <c r="Q74" s="21">
        <f t="shared" si="104"/>
        <v>1.5208673885165318</v>
      </c>
      <c r="R74" s="21">
        <f t="shared" si="105"/>
        <v>2.3438747353694622</v>
      </c>
      <c r="T74" s="108"/>
      <c r="U74" s="21">
        <v>2</v>
      </c>
      <c r="V74" s="21">
        <f t="shared" si="106"/>
        <v>1.0160439706643625</v>
      </c>
      <c r="W74" s="21">
        <f t="shared" si="107"/>
        <v>0.2655928020206757</v>
      </c>
      <c r="X74" s="21">
        <f t="shared" si="108"/>
        <v>0.30589071935124013</v>
      </c>
      <c r="Y74" s="21">
        <f t="shared" si="109"/>
        <v>1.9033540555153148</v>
      </c>
      <c r="Z74" s="21">
        <f t="shared" si="110"/>
        <v>0.38248666699878298</v>
      </c>
      <c r="AA74" s="21">
        <f t="shared" si="111"/>
        <v>0.44052067985414745</v>
      </c>
    </row>
    <row r="75" spans="1:27">
      <c r="A75" s="108"/>
      <c r="B75" s="21">
        <v>3</v>
      </c>
      <c r="C75" s="21">
        <v>0.2114</v>
      </c>
      <c r="D75" s="21">
        <f t="shared" si="112"/>
        <v>0.15005000000000002</v>
      </c>
      <c r="E75" s="21">
        <f t="shared" si="113"/>
        <v>0.27274999999999999</v>
      </c>
      <c r="F75" s="21">
        <v>0.38350000000000001</v>
      </c>
      <c r="G75" s="21">
        <f t="shared" si="114"/>
        <v>0.32214999999999999</v>
      </c>
      <c r="H75" s="21">
        <f t="shared" si="115"/>
        <v>0.44485000000000002</v>
      </c>
      <c r="I75" s="21"/>
      <c r="J75" s="75"/>
      <c r="K75" s="108"/>
      <c r="L75" s="21">
        <v>3</v>
      </c>
      <c r="M75" s="22">
        <f t="shared" si="100"/>
        <v>0.62704663117489146</v>
      </c>
      <c r="N75" s="22">
        <f t="shared" si="101"/>
        <v>0.41270017837920348</v>
      </c>
      <c r="O75" s="22">
        <f t="shared" si="102"/>
        <v>0.8739154850640698</v>
      </c>
      <c r="P75" s="22">
        <f t="shared" si="103"/>
        <v>1.4182433379304098</v>
      </c>
      <c r="Q75" s="21">
        <f t="shared" si="104"/>
        <v>1.099664956985118</v>
      </c>
      <c r="R75" s="21">
        <f t="shared" si="105"/>
        <v>1.7851590426320842</v>
      </c>
      <c r="T75" s="108"/>
      <c r="U75" s="21">
        <v>3</v>
      </c>
      <c r="V75" s="21">
        <f t="shared" si="106"/>
        <v>0.62704663117489146</v>
      </c>
      <c r="W75" s="21">
        <f t="shared" si="107"/>
        <v>0.21434645279568798</v>
      </c>
      <c r="X75" s="21">
        <f t="shared" si="108"/>
        <v>0.24686885388917834</v>
      </c>
      <c r="Y75" s="21">
        <f t="shared" si="109"/>
        <v>1.4182433379304098</v>
      </c>
      <c r="Z75" s="21">
        <f t="shared" si="110"/>
        <v>0.31857838094529178</v>
      </c>
      <c r="AA75" s="21">
        <f t="shared" si="111"/>
        <v>0.36691570470167445</v>
      </c>
    </row>
    <row r="76" spans="1:27">
      <c r="A76" s="108"/>
      <c r="B76" s="21">
        <v>4</v>
      </c>
      <c r="C76" s="21">
        <v>0.14580000000000001</v>
      </c>
      <c r="D76" s="21">
        <f t="shared" si="112"/>
        <v>8.4450000000000011E-2</v>
      </c>
      <c r="E76" s="21">
        <f t="shared" si="113"/>
        <v>0.20715</v>
      </c>
      <c r="F76" s="21">
        <v>0.25619999999999998</v>
      </c>
      <c r="G76" s="21">
        <f t="shared" si="114"/>
        <v>0.19484999999999997</v>
      </c>
      <c r="H76" s="21">
        <f t="shared" si="115"/>
        <v>0.31755</v>
      </c>
      <c r="I76" s="21"/>
      <c r="J76" s="75"/>
      <c r="K76" s="108"/>
      <c r="L76" s="21">
        <v>4</v>
      </c>
      <c r="M76" s="22">
        <f t="shared" si="100"/>
        <v>0.39894293717816698</v>
      </c>
      <c r="N76" s="22">
        <f t="shared" si="101"/>
        <v>0.21464677104358421</v>
      </c>
      <c r="O76" s="22">
        <f t="shared" si="102"/>
        <v>0.61120202855291983</v>
      </c>
      <c r="P76" s="22">
        <f t="shared" si="103"/>
        <v>0.8038482524317494</v>
      </c>
      <c r="Q76" s="21">
        <f t="shared" si="104"/>
        <v>0.56621002689960998</v>
      </c>
      <c r="R76" s="21">
        <f t="shared" si="105"/>
        <v>1.0775428977697641</v>
      </c>
      <c r="T76" s="108"/>
      <c r="U76" s="21">
        <v>4</v>
      </c>
      <c r="V76" s="21">
        <f t="shared" si="106"/>
        <v>0.39894293717816698</v>
      </c>
      <c r="W76" s="21">
        <f t="shared" si="107"/>
        <v>0.18429616613458277</v>
      </c>
      <c r="X76" s="21">
        <f t="shared" si="108"/>
        <v>0.21225909137475285</v>
      </c>
      <c r="Y76" s="21">
        <f t="shared" si="109"/>
        <v>0.8038482524317494</v>
      </c>
      <c r="Z76" s="21">
        <f t="shared" si="110"/>
        <v>0.23763822553213942</v>
      </c>
      <c r="AA76" s="21">
        <f t="shared" si="111"/>
        <v>0.27369464533801469</v>
      </c>
    </row>
    <row r="77" spans="1:27">
      <c r="A77" s="108"/>
      <c r="B77" s="21">
        <v>5</v>
      </c>
      <c r="C77" s="21">
        <v>0.13550000000000001</v>
      </c>
      <c r="D77" s="21">
        <f t="shared" si="112"/>
        <v>7.4150000000000008E-2</v>
      </c>
      <c r="E77" s="21">
        <f t="shared" si="113"/>
        <v>0.19685000000000002</v>
      </c>
      <c r="F77" s="21">
        <v>0.21060000000000001</v>
      </c>
      <c r="G77" s="21">
        <f t="shared" si="114"/>
        <v>0.14924999999999999</v>
      </c>
      <c r="H77" s="21">
        <f t="shared" si="115"/>
        <v>0.27195000000000003</v>
      </c>
      <c r="I77" s="21"/>
      <c r="J77" s="75"/>
      <c r="K77" s="108"/>
      <c r="L77" s="21">
        <v>5</v>
      </c>
      <c r="M77" s="22">
        <f t="shared" si="100"/>
        <v>0.36615507569041017</v>
      </c>
      <c r="N77" s="22">
        <f t="shared" si="101"/>
        <v>0.18617836891857587</v>
      </c>
      <c r="O77" s="22">
        <f t="shared" si="102"/>
        <v>0.57343932391569852</v>
      </c>
      <c r="P77" s="22">
        <f t="shared" si="103"/>
        <v>0.62405225928519448</v>
      </c>
      <c r="Q77" s="21">
        <f t="shared" si="104"/>
        <v>0.41010028380847818</v>
      </c>
      <c r="R77" s="21">
        <f t="shared" si="105"/>
        <v>0.87046678252252585</v>
      </c>
      <c r="T77" s="108"/>
      <c r="U77" s="21">
        <v>5</v>
      </c>
      <c r="V77" s="21">
        <f t="shared" si="106"/>
        <v>0.36615507569041017</v>
      </c>
      <c r="W77" s="21">
        <f t="shared" si="107"/>
        <v>0.1799767067718343</v>
      </c>
      <c r="X77" s="21">
        <f t="shared" si="108"/>
        <v>0.20728424822528835</v>
      </c>
      <c r="Y77" s="21">
        <f t="shared" si="109"/>
        <v>0.62405225928519448</v>
      </c>
      <c r="Z77" s="21">
        <f t="shared" si="110"/>
        <v>0.21395197547671629</v>
      </c>
      <c r="AA77" s="21">
        <f t="shared" si="111"/>
        <v>0.24641452323733137</v>
      </c>
    </row>
    <row r="78" spans="1:27">
      <c r="A78" s="108"/>
      <c r="B78" s="21">
        <v>6</v>
      </c>
      <c r="C78" s="21">
        <v>0.15290000000000001</v>
      </c>
      <c r="D78" s="21">
        <f t="shared" si="112"/>
        <v>9.1550000000000006E-2</v>
      </c>
      <c r="E78" s="21">
        <f t="shared" si="113"/>
        <v>0.21425</v>
      </c>
      <c r="F78" s="21">
        <v>0.17780000000000001</v>
      </c>
      <c r="G78" s="21">
        <f t="shared" si="114"/>
        <v>0.11645000000000001</v>
      </c>
      <c r="H78" s="21">
        <f t="shared" si="115"/>
        <v>0.23915000000000003</v>
      </c>
      <c r="I78" s="21"/>
      <c r="J78" s="75"/>
      <c r="K78" s="108"/>
      <c r="L78" s="21">
        <v>6</v>
      </c>
      <c r="M78" s="22">
        <f t="shared" si="100"/>
        <v>0.42200132151888115</v>
      </c>
      <c r="N78" s="22">
        <f t="shared" si="101"/>
        <v>0.23466745333204497</v>
      </c>
      <c r="O78" s="22">
        <f t="shared" si="102"/>
        <v>0.63775902000523077</v>
      </c>
      <c r="P78" s="22">
        <f t="shared" si="103"/>
        <v>0.50591340772544413</v>
      </c>
      <c r="Q78" s="21">
        <f t="shared" si="104"/>
        <v>0.30752499587622095</v>
      </c>
      <c r="R78" s="21">
        <f t="shared" si="105"/>
        <v>0.73440293586704208</v>
      </c>
      <c r="T78" s="108"/>
      <c r="U78" s="21">
        <v>6</v>
      </c>
      <c r="V78" s="21">
        <f t="shared" si="106"/>
        <v>0.42200132151888115</v>
      </c>
      <c r="W78" s="21">
        <f t="shared" si="107"/>
        <v>0.18733386818683617</v>
      </c>
      <c r="X78" s="21">
        <f t="shared" si="108"/>
        <v>0.21575769848634963</v>
      </c>
      <c r="Y78" s="21">
        <f t="shared" si="109"/>
        <v>0.50591340772544413</v>
      </c>
      <c r="Z78" s="21">
        <f t="shared" si="110"/>
        <v>0.19838841184922318</v>
      </c>
      <c r="AA78" s="21">
        <f t="shared" si="111"/>
        <v>0.22848952814159795</v>
      </c>
    </row>
    <row r="79" spans="1:27">
      <c r="A79" s="108"/>
      <c r="B79" s="78">
        <v>7</v>
      </c>
      <c r="C79" s="21">
        <v>0.27400000000000002</v>
      </c>
      <c r="D79" s="21">
        <f t="shared" si="112"/>
        <v>0.21265000000000001</v>
      </c>
      <c r="E79" s="21">
        <f t="shared" si="113"/>
        <v>0.33535000000000004</v>
      </c>
      <c r="F79" s="21">
        <v>0.18729999999999999</v>
      </c>
      <c r="G79" s="21">
        <f t="shared" si="114"/>
        <v>0.12595000000000001</v>
      </c>
      <c r="H79" s="21">
        <f t="shared" si="115"/>
        <v>0.24864999999999998</v>
      </c>
      <c r="I79" s="21"/>
      <c r="K79" s="108"/>
      <c r="L79" s="78">
        <v>7</v>
      </c>
      <c r="M79" s="22">
        <f t="shared" ref="M79:M82" si="116">10^C79-1</f>
        <v>0.87931681680326856</v>
      </c>
      <c r="N79" s="22">
        <f t="shared" ref="N79:N82" si="117">10^D79-1</f>
        <v>0.63173639369628964</v>
      </c>
      <c r="O79" s="22">
        <f t="shared" ref="O79:O82" si="118">10^E79-1</f>
        <v>1.1644621714412406</v>
      </c>
      <c r="P79" s="22">
        <f t="shared" ref="P79:P82" si="119">10^F79-1</f>
        <v>0.5392175269524575</v>
      </c>
      <c r="Q79" s="21">
        <f t="shared" ref="Q79:Q82" si="120">10^G79-1</f>
        <v>0.33644164415863065</v>
      </c>
      <c r="R79" s="21">
        <f t="shared" ref="R79:R82" si="121">10^H79-1</f>
        <v>0.77276022910015274</v>
      </c>
      <c r="T79" s="108"/>
      <c r="U79" s="78">
        <v>7</v>
      </c>
      <c r="V79" s="21">
        <f t="shared" ref="V79:V82" si="122">M79</f>
        <v>0.87931681680326856</v>
      </c>
      <c r="W79" s="21">
        <f t="shared" ref="W79:W82" si="123">M79-N79</f>
        <v>0.24758042310697892</v>
      </c>
      <c r="X79" s="21">
        <f t="shared" ref="X79:X82" si="124">O79-M79</f>
        <v>0.28514535463797208</v>
      </c>
      <c r="Y79" s="21">
        <f t="shared" ref="Y79:Y82" si="125">P79</f>
        <v>0.5392175269524575</v>
      </c>
      <c r="Z79" s="21">
        <f t="shared" ref="Z79:Z82" si="126">P79-Q79</f>
        <v>0.20277588279382686</v>
      </c>
      <c r="AA79" s="21">
        <f t="shared" ref="AA79:AA82" si="127">R79-P79</f>
        <v>0.23354270214769524</v>
      </c>
    </row>
    <row r="80" spans="1:27">
      <c r="A80" s="108"/>
      <c r="B80" s="78">
        <v>8</v>
      </c>
      <c r="C80" s="21">
        <v>0.1244</v>
      </c>
      <c r="D80" s="21">
        <f t="shared" si="112"/>
        <v>6.3049999999999995E-2</v>
      </c>
      <c r="E80" s="21">
        <f t="shared" si="113"/>
        <v>0.18575</v>
      </c>
      <c r="F80" s="21">
        <v>0.14729999999999999</v>
      </c>
      <c r="G80" s="21">
        <f t="shared" si="114"/>
        <v>8.5949999999999985E-2</v>
      </c>
      <c r="H80" s="21">
        <f t="shared" si="115"/>
        <v>0.20865</v>
      </c>
      <c r="I80" s="21"/>
      <c r="K80" s="108"/>
      <c r="L80" s="78">
        <v>8</v>
      </c>
      <c r="M80" s="22">
        <f t="shared" si="116"/>
        <v>0.33168037626998093</v>
      </c>
      <c r="N80" s="22">
        <f t="shared" si="117"/>
        <v>0.1562453521951146</v>
      </c>
      <c r="O80" s="22">
        <f t="shared" si="118"/>
        <v>0.5337338404654659</v>
      </c>
      <c r="P80" s="22">
        <f t="shared" si="119"/>
        <v>0.40378306870723835</v>
      </c>
      <c r="Q80" s="21">
        <f t="shared" si="120"/>
        <v>0.21884926563930485</v>
      </c>
      <c r="R80" s="21">
        <f t="shared" si="121"/>
        <v>0.61677654451840525</v>
      </c>
      <c r="T80" s="108"/>
      <c r="U80" s="78">
        <v>8</v>
      </c>
      <c r="V80" s="21">
        <f t="shared" si="122"/>
        <v>0.33168037626998093</v>
      </c>
      <c r="W80" s="21">
        <f t="shared" si="123"/>
        <v>0.17543502407486633</v>
      </c>
      <c r="X80" s="21">
        <f t="shared" si="124"/>
        <v>0.20205346419548498</v>
      </c>
      <c r="Y80" s="21">
        <f t="shared" si="125"/>
        <v>0.40378306870723835</v>
      </c>
      <c r="Z80" s="21">
        <f t="shared" si="126"/>
        <v>0.1849338030679335</v>
      </c>
      <c r="AA80" s="21">
        <f t="shared" si="127"/>
        <v>0.2129934758111669</v>
      </c>
    </row>
    <row r="81" spans="1:27">
      <c r="A81" s="108"/>
      <c r="B81" s="78">
        <v>9</v>
      </c>
      <c r="C81" s="21">
        <v>6.6000000000000003E-2</v>
      </c>
      <c r="D81" s="21">
        <f t="shared" si="112"/>
        <v>4.6500000000000014E-3</v>
      </c>
      <c r="E81" s="21">
        <f t="shared" si="113"/>
        <v>0.12735000000000002</v>
      </c>
      <c r="F81" s="21">
        <v>0.1166</v>
      </c>
      <c r="G81" s="21">
        <f t="shared" si="114"/>
        <v>5.5249999999999994E-2</v>
      </c>
      <c r="H81" s="21">
        <f t="shared" si="115"/>
        <v>0.17795</v>
      </c>
      <c r="I81" s="21"/>
      <c r="K81" s="108"/>
      <c r="L81" s="78">
        <v>9</v>
      </c>
      <c r="M81" s="22">
        <f t="shared" si="116"/>
        <v>0.16412602941049137</v>
      </c>
      <c r="N81" s="22">
        <f t="shared" si="117"/>
        <v>1.0764545953139804E-2</v>
      </c>
      <c r="O81" s="22">
        <f t="shared" si="118"/>
        <v>0.34075677444058683</v>
      </c>
      <c r="P81" s="22">
        <f t="shared" si="119"/>
        <v>0.30797667700893228</v>
      </c>
      <c r="Q81" s="21">
        <f t="shared" si="120"/>
        <v>0.13566436850803343</v>
      </c>
      <c r="R81" s="21">
        <f t="shared" si="121"/>
        <v>0.50643362162262529</v>
      </c>
      <c r="T81" s="108"/>
      <c r="U81" s="78">
        <v>9</v>
      </c>
      <c r="V81" s="21">
        <f t="shared" si="122"/>
        <v>0.16412602941049137</v>
      </c>
      <c r="W81" s="21">
        <f t="shared" si="123"/>
        <v>0.15336148345735157</v>
      </c>
      <c r="X81" s="21">
        <f t="shared" si="124"/>
        <v>0.17663074503009546</v>
      </c>
      <c r="Y81" s="21">
        <f t="shared" si="125"/>
        <v>0.30797667700893228</v>
      </c>
      <c r="Z81" s="21">
        <f t="shared" si="126"/>
        <v>0.17231230850089885</v>
      </c>
      <c r="AA81" s="21">
        <f t="shared" si="127"/>
        <v>0.19845694461369301</v>
      </c>
    </row>
    <row r="82" spans="1:27">
      <c r="A82" s="108"/>
      <c r="B82" s="78">
        <v>10</v>
      </c>
      <c r="C82" s="21">
        <v>6.7699999999999996E-2</v>
      </c>
      <c r="D82" s="21">
        <f t="shared" si="112"/>
        <v>6.3499999999999945E-3</v>
      </c>
      <c r="E82" s="21">
        <f t="shared" si="113"/>
        <v>0.12905</v>
      </c>
      <c r="F82" s="21">
        <v>3.2899999999999999E-2</v>
      </c>
      <c r="G82" s="21">
        <f t="shared" si="114"/>
        <v>-2.8450000000000003E-2</v>
      </c>
      <c r="H82" s="21">
        <f t="shared" si="115"/>
        <v>9.425E-2</v>
      </c>
      <c r="I82" s="21"/>
      <c r="K82" s="108"/>
      <c r="L82" s="78">
        <v>10</v>
      </c>
      <c r="M82" s="22">
        <f t="shared" si="116"/>
        <v>0.16869180842192311</v>
      </c>
      <c r="N82" s="22">
        <f t="shared" si="117"/>
        <v>1.4728831118852925E-2</v>
      </c>
      <c r="O82" s="22">
        <f t="shared" si="118"/>
        <v>0.34601531087523374</v>
      </c>
      <c r="P82" s="22">
        <f t="shared" si="119"/>
        <v>7.8698314166087524E-2</v>
      </c>
      <c r="Q82" s="21">
        <f t="shared" si="120"/>
        <v>-6.3408957283919265E-2</v>
      </c>
      <c r="R82" s="21">
        <f t="shared" si="121"/>
        <v>0.24236726587774049</v>
      </c>
      <c r="T82" s="108"/>
      <c r="U82" s="78">
        <v>10</v>
      </c>
      <c r="V82" s="21">
        <f t="shared" si="122"/>
        <v>0.16869180842192311</v>
      </c>
      <c r="W82" s="21">
        <f t="shared" si="123"/>
        <v>0.15396297730307018</v>
      </c>
      <c r="X82" s="21">
        <f t="shared" si="124"/>
        <v>0.17732350245331063</v>
      </c>
      <c r="Y82" s="21">
        <f t="shared" si="125"/>
        <v>7.8698314166087524E-2</v>
      </c>
      <c r="Z82" s="21">
        <f t="shared" si="126"/>
        <v>0.14210727145000679</v>
      </c>
      <c r="AA82" s="21">
        <f t="shared" si="127"/>
        <v>0.16366895171165297</v>
      </c>
    </row>
    <row r="86" spans="1:27">
      <c r="A86" s="108" t="s">
        <v>134</v>
      </c>
      <c r="B86" s="21"/>
      <c r="C86" s="21" t="s">
        <v>9</v>
      </c>
      <c r="D86" s="21" t="s">
        <v>126</v>
      </c>
      <c r="E86" s="21" t="s">
        <v>127</v>
      </c>
      <c r="F86" s="21" t="s">
        <v>10</v>
      </c>
      <c r="G86" s="21" t="s">
        <v>126</v>
      </c>
      <c r="H86" s="21" t="s">
        <v>127</v>
      </c>
      <c r="I86" s="21" t="s">
        <v>128</v>
      </c>
      <c r="J86" s="75"/>
      <c r="K86" s="108" t="s">
        <v>21</v>
      </c>
      <c r="L86" s="21"/>
      <c r="M86" s="22" t="s">
        <v>9</v>
      </c>
      <c r="N86" s="22" t="s">
        <v>126</v>
      </c>
      <c r="O86" s="22" t="s">
        <v>127</v>
      </c>
      <c r="P86" s="22" t="s">
        <v>10</v>
      </c>
      <c r="Q86" s="21" t="s">
        <v>126</v>
      </c>
      <c r="R86" s="21" t="s">
        <v>127</v>
      </c>
      <c r="T86" s="108" t="s">
        <v>21</v>
      </c>
      <c r="U86" s="21"/>
      <c r="V86" s="21" t="s">
        <v>9</v>
      </c>
      <c r="W86" s="21" t="s">
        <v>126</v>
      </c>
      <c r="X86" s="21" t="s">
        <v>127</v>
      </c>
      <c r="Y86" s="21" t="s">
        <v>10</v>
      </c>
      <c r="Z86" s="21" t="s">
        <v>126</v>
      </c>
      <c r="AA86" s="21" t="s">
        <v>127</v>
      </c>
    </row>
    <row r="87" spans="1:27">
      <c r="A87" s="108"/>
      <c r="B87" s="21">
        <v>1</v>
      </c>
      <c r="C87" s="21">
        <v>0.3831</v>
      </c>
      <c r="D87" s="21">
        <f>C87-$I$87</f>
        <v>0.32545000000000002</v>
      </c>
      <c r="E87" s="21">
        <f>C87+$I$87</f>
        <v>0.44074999999999998</v>
      </c>
      <c r="F87" s="21">
        <v>0.40189999999999998</v>
      </c>
      <c r="G87" s="21">
        <f>F87-$I$87</f>
        <v>0.34425</v>
      </c>
      <c r="H87" s="21">
        <f>F87+$I$87</f>
        <v>0.45954999999999996</v>
      </c>
      <c r="I87" s="21">
        <v>5.765E-2</v>
      </c>
      <c r="J87" s="75"/>
      <c r="K87" s="108"/>
      <c r="L87" s="21">
        <v>1</v>
      </c>
      <c r="M87" s="22">
        <f t="shared" ref="M87:M96" si="128">10^C87-1</f>
        <v>1.416017078893502</v>
      </c>
      <c r="N87" s="22">
        <f t="shared" ref="N87:N96" si="129">10^D87-1</f>
        <v>1.1156800945466454</v>
      </c>
      <c r="O87" s="22">
        <f t="shared" ref="O87:O96" si="130">10^E87-1</f>
        <v>1.7589891971621028</v>
      </c>
      <c r="P87" s="22">
        <f t="shared" ref="P87:P96" si="131">10^F87-1</f>
        <v>1.5228997864507132</v>
      </c>
      <c r="Q87" s="21">
        <f t="shared" ref="Q87:Q96" si="132">10^G87-1</f>
        <v>1.2092761286167377</v>
      </c>
      <c r="R87" s="21">
        <f t="shared" ref="R87:R96" si="133">10^H87-1</f>
        <v>1.881044723213614</v>
      </c>
      <c r="T87" s="108"/>
      <c r="U87" s="21">
        <v>1</v>
      </c>
      <c r="V87" s="21">
        <f t="shared" ref="V87:V96" si="134">M87</f>
        <v>1.416017078893502</v>
      </c>
      <c r="W87" s="21">
        <f t="shared" ref="W87:W96" si="135">M87-N87</f>
        <v>0.30033698434685663</v>
      </c>
      <c r="X87" s="21">
        <f t="shared" ref="X87:X96" si="136">O87-M87</f>
        <v>0.34297211826860075</v>
      </c>
      <c r="Y87" s="21">
        <f t="shared" ref="Y87:Y96" si="137">P87</f>
        <v>1.5228997864507132</v>
      </c>
      <c r="Z87" s="21">
        <f t="shared" ref="Z87:Z96" si="138">P87-Q87</f>
        <v>0.3136236578339755</v>
      </c>
      <c r="AA87" s="21">
        <f t="shared" ref="AA87:AA96" si="139">R87-P87</f>
        <v>0.35814493676290082</v>
      </c>
    </row>
    <row r="88" spans="1:27">
      <c r="A88" s="108"/>
      <c r="B88" s="21">
        <v>2</v>
      </c>
      <c r="C88" s="21">
        <v>0.39269999999999999</v>
      </c>
      <c r="D88" s="21">
        <f t="shared" ref="D88:D96" si="140">C88-$I$87</f>
        <v>0.33505000000000001</v>
      </c>
      <c r="E88" s="21">
        <f t="shared" ref="E88:E96" si="141">C88+$I$87</f>
        <v>0.45034999999999997</v>
      </c>
      <c r="F88" s="21">
        <v>0.19420000000000001</v>
      </c>
      <c r="G88" s="21">
        <f t="shared" ref="G88:G96" si="142">F88-$I$87</f>
        <v>0.13655</v>
      </c>
      <c r="H88" s="21">
        <f t="shared" ref="H88:H96" si="143">F88+$I$87</f>
        <v>0.25185000000000002</v>
      </c>
      <c r="I88" s="21"/>
      <c r="J88" s="75"/>
      <c r="K88" s="108"/>
      <c r="L88" s="21">
        <v>2</v>
      </c>
      <c r="M88" s="22">
        <f t="shared" si="128"/>
        <v>1.4700173280466049</v>
      </c>
      <c r="N88" s="22">
        <f t="shared" si="129"/>
        <v>1.1629675302323657</v>
      </c>
      <c r="O88" s="22">
        <f t="shared" si="130"/>
        <v>1.8206551950389498</v>
      </c>
      <c r="P88" s="22">
        <f t="shared" si="131"/>
        <v>0.56386766451141046</v>
      </c>
      <c r="Q88" s="21">
        <f t="shared" si="132"/>
        <v>0.36946204446007025</v>
      </c>
      <c r="R88" s="21">
        <f t="shared" si="133"/>
        <v>0.78587065044845295</v>
      </c>
      <c r="T88" s="108"/>
      <c r="U88" s="21">
        <v>2</v>
      </c>
      <c r="V88" s="21">
        <f t="shared" si="134"/>
        <v>1.4700173280466049</v>
      </c>
      <c r="W88" s="21">
        <f t="shared" si="135"/>
        <v>0.30704979781423924</v>
      </c>
      <c r="X88" s="21">
        <f t="shared" si="136"/>
        <v>0.35063786699234489</v>
      </c>
      <c r="Y88" s="21">
        <f t="shared" si="137"/>
        <v>0.56386766451141046</v>
      </c>
      <c r="Z88" s="21">
        <f t="shared" si="138"/>
        <v>0.19440562005134021</v>
      </c>
      <c r="AA88" s="21">
        <f t="shared" si="139"/>
        <v>0.22200298593704249</v>
      </c>
    </row>
    <row r="89" spans="1:27">
      <c r="A89" s="108"/>
      <c r="B89" s="21">
        <v>3</v>
      </c>
      <c r="C89" s="21">
        <v>0.60829999999999995</v>
      </c>
      <c r="D89" s="21">
        <f t="shared" si="140"/>
        <v>0.55064999999999997</v>
      </c>
      <c r="E89" s="21">
        <f t="shared" si="141"/>
        <v>0.66594999999999993</v>
      </c>
      <c r="F89" s="21">
        <v>0.55779999999999996</v>
      </c>
      <c r="G89" s="21">
        <f t="shared" si="142"/>
        <v>0.50014999999999998</v>
      </c>
      <c r="H89" s="21">
        <f t="shared" si="143"/>
        <v>0.61544999999999994</v>
      </c>
      <c r="I89" s="21"/>
      <c r="J89" s="75"/>
      <c r="K89" s="108"/>
      <c r="L89" s="21">
        <v>3</v>
      </c>
      <c r="M89" s="22">
        <f t="shared" si="128"/>
        <v>3.0578874759172869</v>
      </c>
      <c r="N89" s="22">
        <f t="shared" si="129"/>
        <v>2.5534482904567111</v>
      </c>
      <c r="O89" s="22">
        <f t="shared" si="130"/>
        <v>3.6339356650916672</v>
      </c>
      <c r="P89" s="22">
        <f t="shared" si="131"/>
        <v>2.612434655644615</v>
      </c>
      <c r="Q89" s="21">
        <f t="shared" si="132"/>
        <v>2.1633700608184605</v>
      </c>
      <c r="R89" s="21">
        <f t="shared" si="133"/>
        <v>3.1252474071673664</v>
      </c>
      <c r="T89" s="108"/>
      <c r="U89" s="21">
        <v>3</v>
      </c>
      <c r="V89" s="21">
        <f t="shared" si="134"/>
        <v>3.0578874759172869</v>
      </c>
      <c r="W89" s="21">
        <f t="shared" si="135"/>
        <v>0.50443918546057587</v>
      </c>
      <c r="X89" s="21">
        <f t="shared" si="136"/>
        <v>0.57604818917438028</v>
      </c>
      <c r="Y89" s="21">
        <f t="shared" si="137"/>
        <v>2.612434655644615</v>
      </c>
      <c r="Z89" s="21">
        <f t="shared" si="138"/>
        <v>0.44906459482615446</v>
      </c>
      <c r="AA89" s="21">
        <f t="shared" si="139"/>
        <v>0.51281275152275141</v>
      </c>
    </row>
    <row r="90" spans="1:27">
      <c r="A90" s="108"/>
      <c r="B90" s="21">
        <v>4</v>
      </c>
      <c r="C90" s="21">
        <v>0.2737</v>
      </c>
      <c r="D90" s="21">
        <f t="shared" si="140"/>
        <v>0.21604999999999999</v>
      </c>
      <c r="E90" s="21">
        <f t="shared" si="141"/>
        <v>0.33134999999999998</v>
      </c>
      <c r="F90" s="21">
        <v>0.3664</v>
      </c>
      <c r="G90" s="21">
        <f t="shared" si="142"/>
        <v>0.30875000000000002</v>
      </c>
      <c r="H90" s="21">
        <f t="shared" si="143"/>
        <v>0.42404999999999998</v>
      </c>
      <c r="I90" s="21"/>
      <c r="J90" s="75"/>
      <c r="K90" s="108"/>
      <c r="L90" s="21">
        <v>4</v>
      </c>
      <c r="M90" s="22">
        <f t="shared" si="128"/>
        <v>0.87801907901141085</v>
      </c>
      <c r="N90" s="22">
        <f t="shared" si="129"/>
        <v>0.64456104940407477</v>
      </c>
      <c r="O90" s="22">
        <f t="shared" si="130"/>
        <v>1.1446182629759472</v>
      </c>
      <c r="P90" s="22">
        <f t="shared" si="131"/>
        <v>1.3248771015016447</v>
      </c>
      <c r="Q90" s="21">
        <f t="shared" si="132"/>
        <v>1.0358697994664081</v>
      </c>
      <c r="R90" s="21">
        <f t="shared" si="133"/>
        <v>1.6549112023290142</v>
      </c>
      <c r="T90" s="108"/>
      <c r="U90" s="21">
        <v>4</v>
      </c>
      <c r="V90" s="21">
        <f t="shared" si="134"/>
        <v>0.87801907901141085</v>
      </c>
      <c r="W90" s="21">
        <f t="shared" si="135"/>
        <v>0.23345802960733608</v>
      </c>
      <c r="X90" s="21">
        <f t="shared" si="136"/>
        <v>0.2665991839645363</v>
      </c>
      <c r="Y90" s="21">
        <f t="shared" si="137"/>
        <v>1.3248771015016447</v>
      </c>
      <c r="Z90" s="21">
        <f t="shared" si="138"/>
        <v>0.28900730203523661</v>
      </c>
      <c r="AA90" s="21">
        <f t="shared" si="139"/>
        <v>0.3300341008273695</v>
      </c>
    </row>
    <row r="91" spans="1:27">
      <c r="A91" s="108"/>
      <c r="B91" s="21">
        <v>5</v>
      </c>
      <c r="C91" s="21">
        <v>0.15740000000000001</v>
      </c>
      <c r="D91" s="21">
        <f t="shared" si="140"/>
        <v>9.9750000000000005E-2</v>
      </c>
      <c r="E91" s="21">
        <f t="shared" si="141"/>
        <v>0.21505000000000002</v>
      </c>
      <c r="F91" s="21">
        <v>0.24940000000000001</v>
      </c>
      <c r="G91" s="21">
        <f t="shared" si="142"/>
        <v>0.19175</v>
      </c>
      <c r="H91" s="21">
        <f t="shared" si="143"/>
        <v>0.30704999999999999</v>
      </c>
      <c r="I91" s="21"/>
      <c r="J91" s="75"/>
      <c r="K91" s="108"/>
      <c r="L91" s="21">
        <v>5</v>
      </c>
      <c r="M91" s="22">
        <f t="shared" si="128"/>
        <v>0.43681217703428099</v>
      </c>
      <c r="N91" s="22">
        <f t="shared" si="129"/>
        <v>0.25820092461674804</v>
      </c>
      <c r="O91" s="22">
        <f t="shared" si="130"/>
        <v>0.64077866395053085</v>
      </c>
      <c r="P91" s="22">
        <f t="shared" si="131"/>
        <v>0.77582432254733935</v>
      </c>
      <c r="Q91" s="21">
        <f t="shared" si="132"/>
        <v>0.55507020353757963</v>
      </c>
      <c r="R91" s="21">
        <f t="shared" si="133"/>
        <v>1.0279161785601714</v>
      </c>
      <c r="T91" s="108"/>
      <c r="U91" s="21">
        <v>5</v>
      </c>
      <c r="V91" s="21">
        <f t="shared" si="134"/>
        <v>0.43681217703428099</v>
      </c>
      <c r="W91" s="21">
        <f t="shared" si="135"/>
        <v>0.17861125241753295</v>
      </c>
      <c r="X91" s="21">
        <f t="shared" si="136"/>
        <v>0.20396648691624986</v>
      </c>
      <c r="Y91" s="21">
        <f t="shared" si="137"/>
        <v>0.77582432254733935</v>
      </c>
      <c r="Z91" s="21">
        <f t="shared" si="138"/>
        <v>0.22075411900975972</v>
      </c>
      <c r="AA91" s="21">
        <f t="shared" si="139"/>
        <v>0.25209185601283202</v>
      </c>
    </row>
    <row r="92" spans="1:27">
      <c r="A92" s="108"/>
      <c r="B92" s="21">
        <v>6</v>
      </c>
      <c r="C92" s="21">
        <v>0.1636</v>
      </c>
      <c r="D92" s="21">
        <f t="shared" si="140"/>
        <v>0.10594999999999999</v>
      </c>
      <c r="E92" s="21">
        <f t="shared" si="141"/>
        <v>0.22125</v>
      </c>
      <c r="F92" s="21">
        <v>0.17399999999999999</v>
      </c>
      <c r="G92" s="21">
        <f t="shared" si="142"/>
        <v>0.11634999999999998</v>
      </c>
      <c r="H92" s="21">
        <f t="shared" si="143"/>
        <v>0.23164999999999999</v>
      </c>
      <c r="I92" s="21"/>
      <c r="J92" s="75"/>
      <c r="K92" s="108"/>
      <c r="L92" s="21">
        <v>6</v>
      </c>
      <c r="M92" s="22">
        <f t="shared" si="128"/>
        <v>0.45747126125652904</v>
      </c>
      <c r="N92" s="22">
        <f t="shared" si="129"/>
        <v>0.27629186182179044</v>
      </c>
      <c r="O92" s="22">
        <f t="shared" si="130"/>
        <v>0.66437046331750738</v>
      </c>
      <c r="P92" s="22">
        <f t="shared" si="131"/>
        <v>0.49279440957899623</v>
      </c>
      <c r="Q92" s="21">
        <f t="shared" si="132"/>
        <v>0.30722396177896005</v>
      </c>
      <c r="R92" s="21">
        <f t="shared" si="133"/>
        <v>0.70470800293294533</v>
      </c>
      <c r="T92" s="108"/>
      <c r="U92" s="21">
        <v>6</v>
      </c>
      <c r="V92" s="21">
        <f t="shared" si="134"/>
        <v>0.45747126125652904</v>
      </c>
      <c r="W92" s="21">
        <f t="shared" si="135"/>
        <v>0.1811793994347386</v>
      </c>
      <c r="X92" s="21">
        <f t="shared" si="136"/>
        <v>0.20689920206097834</v>
      </c>
      <c r="Y92" s="21">
        <f t="shared" si="137"/>
        <v>0.49279440957899623</v>
      </c>
      <c r="Z92" s="21">
        <f t="shared" si="138"/>
        <v>0.18557044780003618</v>
      </c>
      <c r="AA92" s="21">
        <f t="shared" si="139"/>
        <v>0.2119135933539491</v>
      </c>
    </row>
    <row r="93" spans="1:27">
      <c r="A93" s="108"/>
      <c r="B93" s="78">
        <v>7</v>
      </c>
      <c r="C93" s="21">
        <v>0.17610000000000001</v>
      </c>
      <c r="D93" s="21">
        <f t="shared" si="140"/>
        <v>0.11845</v>
      </c>
      <c r="E93" s="21">
        <f t="shared" si="141"/>
        <v>0.23375000000000001</v>
      </c>
      <c r="F93" s="21">
        <v>0.19350000000000001</v>
      </c>
      <c r="G93" s="21">
        <f t="shared" si="142"/>
        <v>0.13585</v>
      </c>
      <c r="H93" s="21">
        <f t="shared" si="143"/>
        <v>0.25114999999999998</v>
      </c>
      <c r="I93" s="21"/>
      <c r="K93" s="108"/>
      <c r="L93" s="78">
        <v>7</v>
      </c>
      <c r="M93" s="22">
        <f t="shared" si="128"/>
        <v>0.50003019045594788</v>
      </c>
      <c r="N93" s="22">
        <f t="shared" si="129"/>
        <v>0.31356025704094503</v>
      </c>
      <c r="O93" s="22">
        <f t="shared" si="130"/>
        <v>0.71297095829321333</v>
      </c>
      <c r="P93" s="22">
        <f t="shared" si="131"/>
        <v>0.56134903796965041</v>
      </c>
      <c r="Q93" s="21">
        <f t="shared" si="132"/>
        <v>0.3672565103657337</v>
      </c>
      <c r="R93" s="21">
        <f t="shared" si="133"/>
        <v>0.78299448558972395</v>
      </c>
      <c r="T93" s="108"/>
      <c r="U93" s="78">
        <v>7</v>
      </c>
      <c r="V93" s="21">
        <f t="shared" si="134"/>
        <v>0.50003019045594788</v>
      </c>
      <c r="W93" s="21">
        <f t="shared" si="135"/>
        <v>0.18646993341500284</v>
      </c>
      <c r="X93" s="21">
        <f t="shared" si="136"/>
        <v>0.21294076783726545</v>
      </c>
      <c r="Y93" s="21">
        <f t="shared" si="137"/>
        <v>0.56134903796965041</v>
      </c>
      <c r="Z93" s="21">
        <f t="shared" si="138"/>
        <v>0.19409252760391671</v>
      </c>
      <c r="AA93" s="21">
        <f t="shared" si="139"/>
        <v>0.22164544762007354</v>
      </c>
    </row>
    <row r="94" spans="1:27">
      <c r="A94" s="108"/>
      <c r="B94" s="78">
        <v>8</v>
      </c>
      <c r="C94" s="21">
        <v>0.17019999999999999</v>
      </c>
      <c r="D94" s="21">
        <f t="shared" si="140"/>
        <v>0.11254999999999998</v>
      </c>
      <c r="E94" s="21">
        <f t="shared" si="141"/>
        <v>0.22785</v>
      </c>
      <c r="F94" s="21">
        <v>0.1653</v>
      </c>
      <c r="G94" s="21">
        <f t="shared" si="142"/>
        <v>0.10765</v>
      </c>
      <c r="H94" s="21">
        <f t="shared" si="143"/>
        <v>0.22295000000000001</v>
      </c>
      <c r="I94" s="21"/>
      <c r="K94" s="108"/>
      <c r="L94" s="78">
        <v>8</v>
      </c>
      <c r="M94" s="22">
        <f t="shared" si="128"/>
        <v>0.4797896996190294</v>
      </c>
      <c r="N94" s="22">
        <f t="shared" si="129"/>
        <v>0.29583587754809226</v>
      </c>
      <c r="O94" s="22">
        <f t="shared" si="130"/>
        <v>0.68985717484682652</v>
      </c>
      <c r="P94" s="22">
        <f t="shared" si="131"/>
        <v>0.46318755960077262</v>
      </c>
      <c r="Q94" s="21">
        <f t="shared" si="132"/>
        <v>0.28129756262045591</v>
      </c>
      <c r="R94" s="21">
        <f t="shared" si="133"/>
        <v>0.67089823396834514</v>
      </c>
      <c r="T94" s="108"/>
      <c r="U94" s="78">
        <v>8</v>
      </c>
      <c r="V94" s="21">
        <f t="shared" si="134"/>
        <v>0.4797896996190294</v>
      </c>
      <c r="W94" s="21">
        <f t="shared" si="135"/>
        <v>0.18395382207093713</v>
      </c>
      <c r="X94" s="21">
        <f t="shared" si="136"/>
        <v>0.21006747522779712</v>
      </c>
      <c r="Y94" s="21">
        <f t="shared" si="137"/>
        <v>0.46318755960077262</v>
      </c>
      <c r="Z94" s="21">
        <f t="shared" si="138"/>
        <v>0.18188999698031671</v>
      </c>
      <c r="AA94" s="21">
        <f t="shared" si="139"/>
        <v>0.20771067436757251</v>
      </c>
    </row>
    <row r="95" spans="1:27">
      <c r="A95" s="108"/>
      <c r="B95" s="78">
        <v>9</v>
      </c>
      <c r="C95" s="21">
        <v>0.14249999999999999</v>
      </c>
      <c r="D95" s="21">
        <f t="shared" si="140"/>
        <v>8.4849999999999981E-2</v>
      </c>
      <c r="E95" s="21">
        <f t="shared" si="141"/>
        <v>0.20014999999999999</v>
      </c>
      <c r="F95" s="21">
        <v>0.1197</v>
      </c>
      <c r="G95" s="21">
        <f t="shared" si="142"/>
        <v>6.2050000000000001E-2</v>
      </c>
      <c r="H95" s="21">
        <f t="shared" si="143"/>
        <v>0.17735000000000001</v>
      </c>
      <c r="I95" s="21"/>
      <c r="K95" s="108"/>
      <c r="L95" s="78">
        <v>9</v>
      </c>
      <c r="M95" s="22">
        <f t="shared" si="128"/>
        <v>0.38835330992904549</v>
      </c>
      <c r="N95" s="22">
        <f t="shared" si="129"/>
        <v>0.21576601741576806</v>
      </c>
      <c r="O95" s="22">
        <f t="shared" si="130"/>
        <v>0.58544068972094032</v>
      </c>
      <c r="P95" s="22">
        <f t="shared" si="131"/>
        <v>0.31734643350634872</v>
      </c>
      <c r="Q95" s="21">
        <f t="shared" si="132"/>
        <v>0.15358606167959632</v>
      </c>
      <c r="R95" s="21">
        <f t="shared" si="133"/>
        <v>0.50435384365271352</v>
      </c>
      <c r="T95" s="108"/>
      <c r="U95" s="78">
        <v>9</v>
      </c>
      <c r="V95" s="21">
        <f t="shared" si="134"/>
        <v>0.38835330992904549</v>
      </c>
      <c r="W95" s="21">
        <f t="shared" si="135"/>
        <v>0.17258729251327742</v>
      </c>
      <c r="X95" s="21">
        <f t="shared" si="136"/>
        <v>0.19708737979189483</v>
      </c>
      <c r="Y95" s="21">
        <f t="shared" si="137"/>
        <v>0.31734643350634872</v>
      </c>
      <c r="Z95" s="21">
        <f t="shared" si="138"/>
        <v>0.1637603718267524</v>
      </c>
      <c r="AA95" s="21">
        <f t="shared" si="139"/>
        <v>0.18700741014636479</v>
      </c>
    </row>
    <row r="96" spans="1:27">
      <c r="A96" s="108"/>
      <c r="B96" s="78">
        <v>10</v>
      </c>
      <c r="C96" s="21">
        <v>9.0999999999999998E-2</v>
      </c>
      <c r="D96" s="21">
        <f t="shared" si="140"/>
        <v>3.3349999999999998E-2</v>
      </c>
      <c r="E96" s="21">
        <f t="shared" si="141"/>
        <v>0.14865</v>
      </c>
      <c r="F96" s="21">
        <v>8.6499999999999994E-2</v>
      </c>
      <c r="G96" s="21">
        <f t="shared" si="142"/>
        <v>2.8849999999999994E-2</v>
      </c>
      <c r="H96" s="21">
        <f t="shared" si="143"/>
        <v>0.14415</v>
      </c>
      <c r="I96" s="21"/>
      <c r="K96" s="108"/>
      <c r="L96" s="78">
        <v>10</v>
      </c>
      <c r="M96" s="22">
        <f t="shared" si="128"/>
        <v>0.23310483322890918</v>
      </c>
      <c r="N96" s="22">
        <f t="shared" si="129"/>
        <v>7.9816601026048373E-2</v>
      </c>
      <c r="O96" s="22">
        <f t="shared" si="130"/>
        <v>0.40815350337053724</v>
      </c>
      <c r="P96" s="22">
        <f t="shared" si="131"/>
        <v>0.22039382074431835</v>
      </c>
      <c r="Q96" s="21">
        <f t="shared" si="132"/>
        <v>6.8685704506269207E-2</v>
      </c>
      <c r="R96" s="21">
        <f t="shared" si="133"/>
        <v>0.39363806536459411</v>
      </c>
      <c r="T96" s="108"/>
      <c r="U96" s="78">
        <v>10</v>
      </c>
      <c r="V96" s="21">
        <f t="shared" si="134"/>
        <v>0.23310483322890918</v>
      </c>
      <c r="W96" s="21">
        <f t="shared" si="135"/>
        <v>0.15328823220286081</v>
      </c>
      <c r="X96" s="21">
        <f t="shared" si="136"/>
        <v>0.17504867014162806</v>
      </c>
      <c r="Y96" s="21">
        <f t="shared" si="137"/>
        <v>0.22039382074431835</v>
      </c>
      <c r="Z96" s="21">
        <f t="shared" si="138"/>
        <v>0.15170811623804914</v>
      </c>
      <c r="AA96" s="21">
        <f t="shared" si="139"/>
        <v>0.17324424462027577</v>
      </c>
    </row>
    <row r="100" spans="1:27">
      <c r="A100" s="108" t="s">
        <v>135</v>
      </c>
      <c r="B100" s="21"/>
      <c r="C100" s="21" t="s">
        <v>9</v>
      </c>
      <c r="D100" s="21" t="s">
        <v>126</v>
      </c>
      <c r="E100" s="21" t="s">
        <v>127</v>
      </c>
      <c r="F100" s="21" t="s">
        <v>10</v>
      </c>
      <c r="G100" s="21" t="s">
        <v>126</v>
      </c>
      <c r="H100" s="21" t="s">
        <v>127</v>
      </c>
      <c r="I100" s="21" t="s">
        <v>128</v>
      </c>
      <c r="J100" s="75"/>
      <c r="K100" s="108" t="s">
        <v>21</v>
      </c>
      <c r="L100" s="21"/>
      <c r="M100" s="22" t="s">
        <v>9</v>
      </c>
      <c r="N100" s="22" t="s">
        <v>126</v>
      </c>
      <c r="O100" s="22" t="s">
        <v>127</v>
      </c>
      <c r="P100" s="22" t="s">
        <v>10</v>
      </c>
      <c r="Q100" s="21" t="s">
        <v>126</v>
      </c>
      <c r="R100" s="21" t="s">
        <v>127</v>
      </c>
      <c r="T100" s="108" t="s">
        <v>21</v>
      </c>
      <c r="U100" s="21"/>
      <c r="V100" s="21" t="s">
        <v>9</v>
      </c>
      <c r="W100" s="21" t="s">
        <v>126</v>
      </c>
      <c r="X100" s="21" t="s">
        <v>127</v>
      </c>
      <c r="Y100" s="21" t="s">
        <v>10</v>
      </c>
      <c r="Z100" s="21" t="s">
        <v>126</v>
      </c>
      <c r="AA100" s="21" t="s">
        <v>127</v>
      </c>
    </row>
    <row r="101" spans="1:27">
      <c r="A101" s="108"/>
      <c r="B101" s="21">
        <v>1</v>
      </c>
      <c r="C101" s="21">
        <v>0.52229999999999999</v>
      </c>
      <c r="D101" s="21">
        <f>C101-$I$101</f>
        <v>0.46210000000000001</v>
      </c>
      <c r="E101" s="21">
        <f>C101+$I$101</f>
        <v>0.58250000000000002</v>
      </c>
      <c r="F101" s="21">
        <v>0.37259999999999999</v>
      </c>
      <c r="G101" s="21">
        <f>F101-$I$101</f>
        <v>0.31240000000000001</v>
      </c>
      <c r="H101" s="21">
        <f>F101+$I$101</f>
        <v>0.43279999999999996</v>
      </c>
      <c r="I101" s="21">
        <v>6.0199999999999997E-2</v>
      </c>
      <c r="J101" s="75"/>
      <c r="K101" s="108"/>
      <c r="L101" s="21">
        <v>1</v>
      </c>
      <c r="M101" s="22">
        <f t="shared" ref="M101:M110" si="144">10^C101-1</f>
        <v>2.3288942575853739</v>
      </c>
      <c r="N101" s="22">
        <f t="shared" ref="N101:N110" si="145">10^D101-1</f>
        <v>1.898010802529754</v>
      </c>
      <c r="O101" s="22">
        <f t="shared" ref="O101:O110" si="146">10^E101-1</f>
        <v>2.823842536581127</v>
      </c>
      <c r="P101" s="22">
        <f t="shared" ref="P101:P110" si="147">10^F101-1</f>
        <v>1.3583051532776511</v>
      </c>
      <c r="Q101" s="21">
        <f t="shared" ref="Q101:Q110" si="148">10^G101-1</f>
        <v>1.0530522392794692</v>
      </c>
      <c r="R101" s="21">
        <f t="shared" ref="R101:R110" si="149">10^H101-1</f>
        <v>1.708943829859781</v>
      </c>
      <c r="T101" s="108"/>
      <c r="U101" s="21">
        <v>1</v>
      </c>
      <c r="V101" s="21">
        <f t="shared" ref="V101:V110" si="150">M101</f>
        <v>2.3288942575853739</v>
      </c>
      <c r="W101" s="21">
        <f t="shared" ref="W101:W110" si="151">M101-N101</f>
        <v>0.43088345505561998</v>
      </c>
      <c r="X101" s="21">
        <f t="shared" ref="X101:X110" si="152">O101-M101</f>
        <v>0.49494827899575311</v>
      </c>
      <c r="Y101" s="21">
        <f t="shared" ref="Y101:Y110" si="153">P101</f>
        <v>1.3583051532776511</v>
      </c>
      <c r="Z101" s="21">
        <f t="shared" ref="Z101:Z110" si="154">P101-Q101</f>
        <v>0.30525291399818189</v>
      </c>
      <c r="AA101" s="21">
        <f t="shared" ref="AA101:AA110" si="155">R101-P101</f>
        <v>0.35063867658212988</v>
      </c>
    </row>
    <row r="102" spans="1:27">
      <c r="A102" s="108"/>
      <c r="B102" s="21">
        <v>2</v>
      </c>
      <c r="C102" s="21">
        <v>0.40799999999999997</v>
      </c>
      <c r="D102" s="21">
        <f t="shared" ref="D102:D110" si="156">C102-$I$101</f>
        <v>0.3478</v>
      </c>
      <c r="E102" s="21">
        <f t="shared" ref="E102:E110" si="157">C102+$I$101</f>
        <v>0.46819999999999995</v>
      </c>
      <c r="F102" s="21">
        <v>0.37869999999999998</v>
      </c>
      <c r="G102" s="21">
        <f t="shared" ref="G102:G110" si="158">F102-$I$101</f>
        <v>0.31850000000000001</v>
      </c>
      <c r="H102" s="21">
        <f t="shared" ref="H102:H110" si="159">F102+$I$101</f>
        <v>0.43889999999999996</v>
      </c>
      <c r="I102" s="21"/>
      <c r="J102" s="75"/>
      <c r="K102" s="108"/>
      <c r="L102" s="21">
        <v>2</v>
      </c>
      <c r="M102" s="22">
        <f t="shared" si="144"/>
        <v>1.5585858869056457</v>
      </c>
      <c r="N102" s="22">
        <f t="shared" si="145"/>
        <v>1.2274091532216742</v>
      </c>
      <c r="O102" s="22">
        <f t="shared" si="146"/>
        <v>1.9390028011711458</v>
      </c>
      <c r="P102" s="22">
        <f t="shared" si="147"/>
        <v>1.3916630833291053</v>
      </c>
      <c r="Q102" s="21">
        <f t="shared" si="148"/>
        <v>1.0820924052201164</v>
      </c>
      <c r="R102" s="21">
        <f t="shared" si="149"/>
        <v>1.7472614999306741</v>
      </c>
      <c r="T102" s="108"/>
      <c r="U102" s="21">
        <v>2</v>
      </c>
      <c r="V102" s="21">
        <f t="shared" si="150"/>
        <v>1.5585858869056457</v>
      </c>
      <c r="W102" s="21">
        <f t="shared" si="151"/>
        <v>0.33117673368397149</v>
      </c>
      <c r="X102" s="21">
        <f t="shared" si="152"/>
        <v>0.38041691426550006</v>
      </c>
      <c r="Y102" s="21">
        <f t="shared" si="153"/>
        <v>1.3916630833291053</v>
      </c>
      <c r="Z102" s="21">
        <f t="shared" si="154"/>
        <v>0.30957067810898886</v>
      </c>
      <c r="AA102" s="21">
        <f t="shared" si="155"/>
        <v>0.35559841660156888</v>
      </c>
    </row>
    <row r="103" spans="1:27">
      <c r="A103" s="108"/>
      <c r="B103" s="21">
        <v>3</v>
      </c>
      <c r="C103" s="21">
        <v>0.37780000000000002</v>
      </c>
      <c r="D103" s="21">
        <f t="shared" si="156"/>
        <v>0.31760000000000005</v>
      </c>
      <c r="E103" s="21">
        <f t="shared" si="157"/>
        <v>0.438</v>
      </c>
      <c r="F103" s="21">
        <v>0.40300000000000002</v>
      </c>
      <c r="G103" s="21">
        <f t="shared" si="158"/>
        <v>0.34280000000000005</v>
      </c>
      <c r="H103" s="21">
        <f t="shared" si="159"/>
        <v>0.4632</v>
      </c>
      <c r="I103" s="21"/>
      <c r="J103" s="75"/>
      <c r="K103" s="108"/>
      <c r="L103" s="21">
        <v>3</v>
      </c>
      <c r="M103" s="22">
        <f t="shared" si="144"/>
        <v>1.3867119083399739</v>
      </c>
      <c r="N103" s="22">
        <f t="shared" si="145"/>
        <v>1.0777820975042665</v>
      </c>
      <c r="O103" s="22">
        <f t="shared" si="146"/>
        <v>1.741574171927883</v>
      </c>
      <c r="P103" s="22">
        <f t="shared" si="147"/>
        <v>1.5292979964461448</v>
      </c>
      <c r="Q103" s="21">
        <f t="shared" si="148"/>
        <v>1.201912211484478</v>
      </c>
      <c r="R103" s="21">
        <f t="shared" si="149"/>
        <v>1.9053603143031483</v>
      </c>
      <c r="T103" s="108"/>
      <c r="U103" s="21">
        <v>3</v>
      </c>
      <c r="V103" s="21">
        <f t="shared" si="150"/>
        <v>1.3867119083399739</v>
      </c>
      <c r="W103" s="21">
        <f t="shared" si="151"/>
        <v>0.30892981083570747</v>
      </c>
      <c r="X103" s="21">
        <f t="shared" si="152"/>
        <v>0.35486226358790907</v>
      </c>
      <c r="Y103" s="21">
        <f t="shared" si="153"/>
        <v>1.5292979964461448</v>
      </c>
      <c r="Z103" s="21">
        <f t="shared" si="154"/>
        <v>0.32738578496166681</v>
      </c>
      <c r="AA103" s="21">
        <f t="shared" si="155"/>
        <v>0.3760623178570035</v>
      </c>
    </row>
    <row r="104" spans="1:27">
      <c r="A104" s="108"/>
      <c r="B104" s="21">
        <v>4</v>
      </c>
      <c r="C104" s="21">
        <v>0.33310000000000001</v>
      </c>
      <c r="D104" s="21">
        <f t="shared" si="156"/>
        <v>0.27290000000000003</v>
      </c>
      <c r="E104" s="21">
        <f t="shared" si="157"/>
        <v>0.39329999999999998</v>
      </c>
      <c r="F104" s="21">
        <v>0.4879</v>
      </c>
      <c r="G104" s="21">
        <f t="shared" si="158"/>
        <v>0.42770000000000002</v>
      </c>
      <c r="H104" s="21">
        <f t="shared" si="159"/>
        <v>0.54810000000000003</v>
      </c>
      <c r="I104" s="21"/>
      <c r="J104" s="75"/>
      <c r="K104" s="108"/>
      <c r="L104" s="21">
        <v>4</v>
      </c>
      <c r="M104" s="22">
        <f t="shared" si="144"/>
        <v>1.1532774881109855</v>
      </c>
      <c r="N104" s="22">
        <f t="shared" si="145"/>
        <v>0.87456282432838117</v>
      </c>
      <c r="O104" s="22">
        <f t="shared" si="146"/>
        <v>1.4734321414203642</v>
      </c>
      <c r="P104" s="22">
        <f t="shared" si="147"/>
        <v>2.0753885988131864</v>
      </c>
      <c r="Q104" s="21">
        <f t="shared" si="148"/>
        <v>1.6773182599684557</v>
      </c>
      <c r="R104" s="21">
        <f t="shared" si="149"/>
        <v>2.5326450258556754</v>
      </c>
      <c r="T104" s="108"/>
      <c r="U104" s="21">
        <v>4</v>
      </c>
      <c r="V104" s="21">
        <f t="shared" si="150"/>
        <v>1.1532774881109855</v>
      </c>
      <c r="W104" s="21">
        <f t="shared" si="151"/>
        <v>0.27871466378260434</v>
      </c>
      <c r="X104" s="21">
        <f t="shared" si="152"/>
        <v>0.32015465330937865</v>
      </c>
      <c r="Y104" s="21">
        <f t="shared" si="153"/>
        <v>2.0753885988131864</v>
      </c>
      <c r="Z104" s="21">
        <f t="shared" si="154"/>
        <v>0.39807033884473064</v>
      </c>
      <c r="AA104" s="21">
        <f t="shared" si="155"/>
        <v>0.45725642704248903</v>
      </c>
    </row>
    <row r="105" spans="1:27">
      <c r="A105" s="108"/>
      <c r="B105" s="21">
        <v>5</v>
      </c>
      <c r="C105" s="21">
        <v>0.35849999999999999</v>
      </c>
      <c r="D105" s="21">
        <f t="shared" si="156"/>
        <v>0.29830000000000001</v>
      </c>
      <c r="E105" s="21">
        <f t="shared" si="157"/>
        <v>0.41869999999999996</v>
      </c>
      <c r="F105" s="21">
        <v>0.4904</v>
      </c>
      <c r="G105" s="21">
        <f t="shared" si="158"/>
        <v>0.43020000000000003</v>
      </c>
      <c r="H105" s="21">
        <f t="shared" si="159"/>
        <v>0.55059999999999998</v>
      </c>
      <c r="I105" s="21"/>
      <c r="J105" s="75"/>
      <c r="K105" s="108"/>
      <c r="L105" s="21">
        <v>5</v>
      </c>
      <c r="M105" s="22">
        <f t="shared" si="144"/>
        <v>1.2829689246791784</v>
      </c>
      <c r="N105" s="22">
        <f t="shared" si="145"/>
        <v>0.98746733708477263</v>
      </c>
      <c r="O105" s="22">
        <f t="shared" si="146"/>
        <v>1.6224064233909452</v>
      </c>
      <c r="P105" s="22">
        <f t="shared" si="147"/>
        <v>2.0931430109489622</v>
      </c>
      <c r="Q105" s="21">
        <f t="shared" si="148"/>
        <v>1.6927745869589574</v>
      </c>
      <c r="R105" s="21">
        <f t="shared" si="149"/>
        <v>2.5530392081527169</v>
      </c>
      <c r="T105" s="108"/>
      <c r="U105" s="21">
        <v>5</v>
      </c>
      <c r="V105" s="21">
        <f t="shared" si="150"/>
        <v>1.2829689246791784</v>
      </c>
      <c r="W105" s="21">
        <f t="shared" si="151"/>
        <v>0.29550158759440581</v>
      </c>
      <c r="X105" s="21">
        <f t="shared" si="152"/>
        <v>0.33943749871176676</v>
      </c>
      <c r="Y105" s="21">
        <f t="shared" si="153"/>
        <v>2.0931430109489622</v>
      </c>
      <c r="Z105" s="21">
        <f t="shared" si="154"/>
        <v>0.40036842399000472</v>
      </c>
      <c r="AA105" s="21">
        <f t="shared" si="155"/>
        <v>0.45989619720375474</v>
      </c>
    </row>
    <row r="106" spans="1:27">
      <c r="A106" s="108"/>
      <c r="B106" s="21">
        <v>6</v>
      </c>
      <c r="C106" s="21">
        <v>0.18079999999999999</v>
      </c>
      <c r="D106" s="21">
        <f t="shared" si="156"/>
        <v>0.12059999999999998</v>
      </c>
      <c r="E106" s="21">
        <f t="shared" si="157"/>
        <v>0.24099999999999999</v>
      </c>
      <c r="F106" s="21">
        <v>0.2893</v>
      </c>
      <c r="G106" s="21">
        <f t="shared" si="158"/>
        <v>0.2291</v>
      </c>
      <c r="H106" s="21">
        <f t="shared" si="159"/>
        <v>0.34949999999999998</v>
      </c>
      <c r="I106" s="21"/>
      <c r="J106" s="75"/>
      <c r="K106" s="108"/>
      <c r="L106" s="21">
        <v>6</v>
      </c>
      <c r="M106" s="22">
        <f t="shared" si="144"/>
        <v>0.51635190078728876</v>
      </c>
      <c r="N106" s="22">
        <f t="shared" si="145"/>
        <v>0.32007923619225598</v>
      </c>
      <c r="O106" s="22">
        <f t="shared" si="146"/>
        <v>0.74180687339161433</v>
      </c>
      <c r="P106" s="22">
        <f t="shared" si="147"/>
        <v>0.94670435300142963</v>
      </c>
      <c r="Q106" s="21">
        <f t="shared" si="148"/>
        <v>0.69472798106298872</v>
      </c>
      <c r="R106" s="21">
        <f t="shared" si="149"/>
        <v>1.2361451987225216</v>
      </c>
      <c r="T106" s="108"/>
      <c r="U106" s="21">
        <v>6</v>
      </c>
      <c r="V106" s="21">
        <f t="shared" si="150"/>
        <v>0.51635190078728876</v>
      </c>
      <c r="W106" s="21">
        <f t="shared" si="151"/>
        <v>0.19627266459503279</v>
      </c>
      <c r="X106" s="21">
        <f t="shared" si="152"/>
        <v>0.22545497260432557</v>
      </c>
      <c r="Y106" s="21">
        <f t="shared" si="153"/>
        <v>0.94670435300142963</v>
      </c>
      <c r="Z106" s="21">
        <f t="shared" si="154"/>
        <v>0.25197637193844091</v>
      </c>
      <c r="AA106" s="21">
        <f t="shared" si="155"/>
        <v>0.28944084572109197</v>
      </c>
    </row>
    <row r="107" spans="1:27">
      <c r="A107" s="108"/>
      <c r="B107" s="78">
        <v>7</v>
      </c>
      <c r="C107" s="21">
        <v>0.1361</v>
      </c>
      <c r="D107" s="21">
        <f t="shared" si="156"/>
        <v>7.5899999999999995E-2</v>
      </c>
      <c r="E107" s="21">
        <f t="shared" si="157"/>
        <v>0.1963</v>
      </c>
      <c r="F107" s="21">
        <v>0.16300000000000001</v>
      </c>
      <c r="G107" s="21">
        <f t="shared" si="158"/>
        <v>0.1028</v>
      </c>
      <c r="H107" s="21">
        <f t="shared" si="159"/>
        <v>0.22320000000000001</v>
      </c>
      <c r="I107" s="21"/>
      <c r="K107" s="108"/>
      <c r="L107" s="78">
        <v>7</v>
      </c>
      <c r="M107" s="22">
        <f t="shared" si="144"/>
        <v>0.36804379305693402</v>
      </c>
      <c r="N107" s="22">
        <f t="shared" si="145"/>
        <v>0.19096774599518662</v>
      </c>
      <c r="O107" s="22">
        <f t="shared" si="146"/>
        <v>0.57144794728065396</v>
      </c>
      <c r="P107" s="22">
        <f t="shared" si="147"/>
        <v>0.45545908058196605</v>
      </c>
      <c r="Q107" s="21">
        <f t="shared" si="148"/>
        <v>0.26706822499854854</v>
      </c>
      <c r="R107" s="21">
        <f t="shared" si="149"/>
        <v>0.67186035720446613</v>
      </c>
      <c r="T107" s="108"/>
      <c r="U107" s="78">
        <v>7</v>
      </c>
      <c r="V107" s="21">
        <f t="shared" si="150"/>
        <v>0.36804379305693402</v>
      </c>
      <c r="W107" s="21">
        <f t="shared" si="151"/>
        <v>0.1770760470617474</v>
      </c>
      <c r="X107" s="21">
        <f t="shared" si="152"/>
        <v>0.20340415422371994</v>
      </c>
      <c r="Y107" s="21">
        <f t="shared" si="153"/>
        <v>0.45545908058196605</v>
      </c>
      <c r="Z107" s="21">
        <f t="shared" si="154"/>
        <v>0.1883908555834175</v>
      </c>
      <c r="AA107" s="21">
        <f t="shared" si="155"/>
        <v>0.21640127662250008</v>
      </c>
    </row>
    <row r="108" spans="1:27">
      <c r="A108" s="108"/>
      <c r="B108" s="78">
        <v>8</v>
      </c>
      <c r="C108" s="21">
        <v>0.183</v>
      </c>
      <c r="D108" s="21">
        <f t="shared" si="156"/>
        <v>0.12279999999999999</v>
      </c>
      <c r="E108" s="21">
        <f t="shared" si="157"/>
        <v>0.2432</v>
      </c>
      <c r="F108" s="21">
        <v>0.15210000000000001</v>
      </c>
      <c r="G108" s="21">
        <f t="shared" si="158"/>
        <v>9.1900000000000009E-2</v>
      </c>
      <c r="H108" s="21">
        <f t="shared" si="159"/>
        <v>0.21230000000000002</v>
      </c>
      <c r="I108" s="21"/>
      <c r="K108" s="108"/>
      <c r="L108" s="78">
        <v>8</v>
      </c>
      <c r="M108" s="22">
        <f t="shared" si="144"/>
        <v>0.52405275379729144</v>
      </c>
      <c r="N108" s="22">
        <f t="shared" si="145"/>
        <v>0.32678331072416045</v>
      </c>
      <c r="O108" s="22">
        <f t="shared" si="146"/>
        <v>0.75065270838337095</v>
      </c>
      <c r="P108" s="22">
        <f t="shared" si="147"/>
        <v>0.4193843093800258</v>
      </c>
      <c r="Q108" s="21">
        <f t="shared" si="148"/>
        <v>0.23566287879273529</v>
      </c>
      <c r="R108" s="21">
        <f t="shared" si="149"/>
        <v>0.63042189928256476</v>
      </c>
      <c r="T108" s="108"/>
      <c r="U108" s="78">
        <v>8</v>
      </c>
      <c r="V108" s="21">
        <f t="shared" si="150"/>
        <v>0.52405275379729144</v>
      </c>
      <c r="W108" s="21">
        <f t="shared" si="151"/>
        <v>0.19726944307313099</v>
      </c>
      <c r="X108" s="21">
        <f t="shared" si="152"/>
        <v>0.22659995458607951</v>
      </c>
      <c r="Y108" s="21">
        <f t="shared" si="153"/>
        <v>0.4193843093800258</v>
      </c>
      <c r="Z108" s="21">
        <f t="shared" si="154"/>
        <v>0.18372143058729051</v>
      </c>
      <c r="AA108" s="21">
        <f t="shared" si="155"/>
        <v>0.21103758990253896</v>
      </c>
    </row>
    <row r="109" spans="1:27">
      <c r="A109" s="108"/>
      <c r="B109" s="78">
        <v>9</v>
      </c>
      <c r="C109" s="21">
        <v>0.16819999999999999</v>
      </c>
      <c r="D109" s="21">
        <f t="shared" si="156"/>
        <v>0.10799999999999998</v>
      </c>
      <c r="E109" s="21">
        <f t="shared" si="157"/>
        <v>0.22839999999999999</v>
      </c>
      <c r="F109" s="21">
        <v>0.1119</v>
      </c>
      <c r="G109" s="21">
        <f t="shared" si="158"/>
        <v>5.1700000000000003E-2</v>
      </c>
      <c r="H109" s="21">
        <f t="shared" si="159"/>
        <v>0.1721</v>
      </c>
      <c r="I109" s="21"/>
      <c r="K109" s="108"/>
      <c r="L109" s="78">
        <v>9</v>
      </c>
      <c r="M109" s="22">
        <f t="shared" si="144"/>
        <v>0.47299068354177054</v>
      </c>
      <c r="N109" s="22">
        <f t="shared" si="145"/>
        <v>0.2823305826560214</v>
      </c>
      <c r="O109" s="22">
        <f t="shared" si="146"/>
        <v>0.69199860250300516</v>
      </c>
      <c r="P109" s="22">
        <f t="shared" si="147"/>
        <v>0.29389787615063168</v>
      </c>
      <c r="Q109" s="21">
        <f t="shared" si="148"/>
        <v>0.1264190846286346</v>
      </c>
      <c r="R109" s="21">
        <f t="shared" si="149"/>
        <v>0.48627783100733546</v>
      </c>
      <c r="T109" s="108"/>
      <c r="U109" s="78">
        <v>9</v>
      </c>
      <c r="V109" s="21">
        <f t="shared" si="150"/>
        <v>0.47299068354177054</v>
      </c>
      <c r="W109" s="21">
        <f t="shared" si="151"/>
        <v>0.19066010088574914</v>
      </c>
      <c r="X109" s="21">
        <f t="shared" si="152"/>
        <v>0.21900791896123462</v>
      </c>
      <c r="Y109" s="21">
        <f t="shared" si="153"/>
        <v>0.29389787615063168</v>
      </c>
      <c r="Z109" s="21">
        <f t="shared" si="154"/>
        <v>0.16747879152199707</v>
      </c>
      <c r="AA109" s="21">
        <f t="shared" si="155"/>
        <v>0.19237995485670378</v>
      </c>
    </row>
    <row r="110" spans="1:27">
      <c r="A110" s="108"/>
      <c r="B110" s="78">
        <v>10</v>
      </c>
      <c r="C110" s="21">
        <v>0.14369999999999999</v>
      </c>
      <c r="D110" s="21">
        <f t="shared" si="156"/>
        <v>8.3499999999999991E-2</v>
      </c>
      <c r="E110" s="21">
        <f t="shared" si="157"/>
        <v>0.2039</v>
      </c>
      <c r="F110" s="21">
        <v>6.08E-2</v>
      </c>
      <c r="G110" s="21">
        <f t="shared" si="158"/>
        <v>6.0000000000000331E-4</v>
      </c>
      <c r="H110" s="21">
        <f t="shared" si="159"/>
        <v>0.121</v>
      </c>
      <c r="I110" s="21"/>
      <c r="K110" s="108"/>
      <c r="L110" s="78">
        <v>10</v>
      </c>
      <c r="M110" s="22">
        <f t="shared" si="144"/>
        <v>0.39219477662967583</v>
      </c>
      <c r="N110" s="22">
        <f t="shared" si="145"/>
        <v>0.21199268877492283</v>
      </c>
      <c r="O110" s="22">
        <f t="shared" si="146"/>
        <v>0.59918975916767625</v>
      </c>
      <c r="P110" s="22">
        <f t="shared" si="147"/>
        <v>0.15027054779011495</v>
      </c>
      <c r="Q110" s="21">
        <f t="shared" si="148"/>
        <v>1.3825058370986465E-3</v>
      </c>
      <c r="R110" s="21">
        <f t="shared" si="149"/>
        <v>0.32129563418657514</v>
      </c>
      <c r="T110" s="108"/>
      <c r="U110" s="78">
        <v>10</v>
      </c>
      <c r="V110" s="21">
        <f t="shared" si="150"/>
        <v>0.39219477662967583</v>
      </c>
      <c r="W110" s="21">
        <f t="shared" si="151"/>
        <v>0.180202087854753</v>
      </c>
      <c r="X110" s="21">
        <f t="shared" si="152"/>
        <v>0.20699498253800042</v>
      </c>
      <c r="Y110" s="21">
        <f t="shared" si="153"/>
        <v>0.15027054779011495</v>
      </c>
      <c r="Z110" s="21">
        <f t="shared" si="154"/>
        <v>0.1488880419530163</v>
      </c>
      <c r="AA110" s="21">
        <f t="shared" si="155"/>
        <v>0.17102508639646019</v>
      </c>
    </row>
    <row r="114" spans="1:27">
      <c r="A114" s="108" t="s">
        <v>136</v>
      </c>
      <c r="B114" s="21"/>
      <c r="C114" s="21" t="s">
        <v>9</v>
      </c>
      <c r="D114" s="21" t="s">
        <v>126</v>
      </c>
      <c r="E114" s="21" t="s">
        <v>127</v>
      </c>
      <c r="F114" s="21" t="s">
        <v>10</v>
      </c>
      <c r="G114" s="21" t="s">
        <v>126</v>
      </c>
      <c r="H114" s="21" t="s">
        <v>127</v>
      </c>
      <c r="I114" s="21" t="s">
        <v>128</v>
      </c>
      <c r="J114" s="75"/>
      <c r="K114" s="108" t="s">
        <v>21</v>
      </c>
      <c r="L114" s="21"/>
      <c r="M114" s="22" t="s">
        <v>9</v>
      </c>
      <c r="N114" s="22" t="s">
        <v>126</v>
      </c>
      <c r="O114" s="22" t="s">
        <v>127</v>
      </c>
      <c r="P114" s="22" t="s">
        <v>10</v>
      </c>
      <c r="Q114" s="21" t="s">
        <v>126</v>
      </c>
      <c r="R114" s="21" t="s">
        <v>127</v>
      </c>
      <c r="T114" s="108" t="s">
        <v>21</v>
      </c>
      <c r="U114" s="21"/>
      <c r="V114" s="21" t="s">
        <v>9</v>
      </c>
      <c r="W114" s="21" t="s">
        <v>126</v>
      </c>
      <c r="X114" s="21" t="s">
        <v>127</v>
      </c>
      <c r="Y114" s="21" t="s">
        <v>10</v>
      </c>
      <c r="Z114" s="21" t="s">
        <v>126</v>
      </c>
      <c r="AA114" s="21" t="s">
        <v>127</v>
      </c>
    </row>
    <row r="115" spans="1:27">
      <c r="A115" s="108"/>
      <c r="B115" s="21">
        <v>1</v>
      </c>
      <c r="C115" s="21">
        <v>0.46960000000000002</v>
      </c>
      <c r="D115" s="21">
        <f>C115-$I$115</f>
        <v>0.40920000000000001</v>
      </c>
      <c r="E115" s="21">
        <f>C115+$I$115</f>
        <v>0.53</v>
      </c>
      <c r="F115" s="21">
        <v>0.48980000000000001</v>
      </c>
      <c r="G115" s="21">
        <f>F115-$I$115</f>
        <v>0.4294</v>
      </c>
      <c r="H115" s="21">
        <f>F115+$I$115</f>
        <v>0.55020000000000002</v>
      </c>
      <c r="I115" s="21">
        <v>6.0400000000000002E-2</v>
      </c>
      <c r="J115" s="75"/>
      <c r="K115" s="108"/>
      <c r="L115" s="21">
        <v>1</v>
      </c>
      <c r="M115" s="22">
        <f t="shared" ref="M115:M124" si="160">10^C115-1</f>
        <v>1.9484923138943682</v>
      </c>
      <c r="N115" s="22">
        <f t="shared" ref="N115:N124" si="161">10^D115-1</f>
        <v>1.5656652970348683</v>
      </c>
      <c r="O115" s="22">
        <f t="shared" ref="O115:O124" si="162">10^E115-1</f>
        <v>2.3884415613920265</v>
      </c>
      <c r="P115" s="22">
        <f t="shared" ref="P115:P124" si="163">10^F115-1</f>
        <v>2.088872626512754</v>
      </c>
      <c r="Q115" s="21">
        <f t="shared" ref="Q115:Q124" si="164">10^G115-1</f>
        <v>1.6878188786381347</v>
      </c>
      <c r="R115" s="21">
        <f t="shared" ref="R115:R124" si="165">10^H115-1</f>
        <v>2.5497682446720917</v>
      </c>
      <c r="T115" s="108"/>
      <c r="U115" s="21">
        <v>1</v>
      </c>
      <c r="V115" s="21">
        <f t="shared" ref="V115:V124" si="166">M115</f>
        <v>1.9484923138943682</v>
      </c>
      <c r="W115" s="21">
        <f t="shared" ref="W115:W124" si="167">M115-N115</f>
        <v>0.38282701685949982</v>
      </c>
      <c r="X115" s="21">
        <f t="shared" ref="X115:X124" si="168">O115-M115</f>
        <v>0.43994924749765829</v>
      </c>
      <c r="Y115" s="21">
        <f t="shared" ref="Y115:Y124" si="169">P115</f>
        <v>2.088872626512754</v>
      </c>
      <c r="Z115" s="21">
        <f t="shared" ref="Z115:Z124" si="170">P115-Q115</f>
        <v>0.40105374787461923</v>
      </c>
      <c r="AA115" s="21">
        <f t="shared" ref="AA115:AA124" si="171">R115-P115</f>
        <v>0.46089561815933777</v>
      </c>
    </row>
    <row r="116" spans="1:27">
      <c r="A116" s="108"/>
      <c r="B116" s="21">
        <v>2</v>
      </c>
      <c r="C116" s="21">
        <v>0.4289</v>
      </c>
      <c r="D116" s="21">
        <f t="shared" ref="D116:D124" si="172">C116-$I$115</f>
        <v>0.36849999999999999</v>
      </c>
      <c r="E116" s="21">
        <f t="shared" ref="E116:E124" si="173">C116+$I$115</f>
        <v>0.48930000000000001</v>
      </c>
      <c r="F116" s="21">
        <v>0.40250000000000002</v>
      </c>
      <c r="G116" s="21">
        <f t="shared" ref="G116:G124" si="174">F116-$I$115</f>
        <v>0.34210000000000002</v>
      </c>
      <c r="H116" s="21">
        <f t="shared" ref="H116:H124" si="175">F116+$I$115</f>
        <v>0.46290000000000003</v>
      </c>
      <c r="I116" s="21"/>
      <c r="J116" s="75"/>
      <c r="K116" s="108"/>
      <c r="L116" s="21">
        <v>2</v>
      </c>
      <c r="M116" s="22">
        <f t="shared" si="160"/>
        <v>1.6847261934311448</v>
      </c>
      <c r="N116" s="22">
        <f t="shared" si="161"/>
        <v>1.3361461022189323</v>
      </c>
      <c r="O116" s="22">
        <f t="shared" si="162"/>
        <v>2.0853184768063824</v>
      </c>
      <c r="P116" s="22">
        <f t="shared" si="163"/>
        <v>1.5263877101318966</v>
      </c>
      <c r="Q116" s="21">
        <f t="shared" si="164"/>
        <v>1.1983660069913991</v>
      </c>
      <c r="R116" s="21">
        <f t="shared" si="165"/>
        <v>1.9033540555153148</v>
      </c>
      <c r="T116" s="108"/>
      <c r="U116" s="21">
        <v>2</v>
      </c>
      <c r="V116" s="21">
        <f t="shared" si="166"/>
        <v>1.6847261934311448</v>
      </c>
      <c r="W116" s="21">
        <f t="shared" si="167"/>
        <v>0.34858009121221256</v>
      </c>
      <c r="X116" s="21">
        <f t="shared" si="168"/>
        <v>0.40059228337523756</v>
      </c>
      <c r="Y116" s="21">
        <f t="shared" si="169"/>
        <v>1.5263877101318966</v>
      </c>
      <c r="Z116" s="21">
        <f t="shared" si="170"/>
        <v>0.3280217031404975</v>
      </c>
      <c r="AA116" s="21">
        <f t="shared" si="171"/>
        <v>0.37696634538341822</v>
      </c>
    </row>
    <row r="117" spans="1:27">
      <c r="A117" s="108"/>
      <c r="B117" s="21">
        <v>3</v>
      </c>
      <c r="C117" s="21">
        <v>0.32129999999999997</v>
      </c>
      <c r="D117" s="21">
        <f t="shared" si="172"/>
        <v>0.26089999999999997</v>
      </c>
      <c r="E117" s="21">
        <f t="shared" si="173"/>
        <v>0.38169999999999998</v>
      </c>
      <c r="F117" s="21">
        <v>0.47410000000000002</v>
      </c>
      <c r="G117" s="21">
        <f t="shared" si="174"/>
        <v>0.41370000000000001</v>
      </c>
      <c r="H117" s="21">
        <f t="shared" si="175"/>
        <v>0.53449999999999998</v>
      </c>
      <c r="I117" s="21"/>
      <c r="J117" s="75"/>
      <c r="K117" s="108"/>
      <c r="L117" s="21">
        <v>3</v>
      </c>
      <c r="M117" s="22">
        <f t="shared" si="160"/>
        <v>1.0955595172278132</v>
      </c>
      <c r="N117" s="22">
        <f t="shared" si="161"/>
        <v>0.82347578316093917</v>
      </c>
      <c r="O117" s="22">
        <f t="shared" si="162"/>
        <v>1.4082412998278273</v>
      </c>
      <c r="P117" s="22">
        <f t="shared" si="163"/>
        <v>1.9792023371471683</v>
      </c>
      <c r="Q117" s="21">
        <f t="shared" si="164"/>
        <v>1.5923879852913538</v>
      </c>
      <c r="R117" s="21">
        <f t="shared" si="165"/>
        <v>2.4237338762645244</v>
      </c>
      <c r="T117" s="108"/>
      <c r="U117" s="21">
        <v>3</v>
      </c>
      <c r="V117" s="21">
        <f t="shared" si="166"/>
        <v>1.0955595172278132</v>
      </c>
      <c r="W117" s="21">
        <f t="shared" si="167"/>
        <v>0.27208373406687403</v>
      </c>
      <c r="X117" s="21">
        <f t="shared" si="168"/>
        <v>0.31268178260001411</v>
      </c>
      <c r="Y117" s="21">
        <f t="shared" si="169"/>
        <v>1.9792023371471683</v>
      </c>
      <c r="Z117" s="21">
        <f t="shared" si="170"/>
        <v>0.38681435185581448</v>
      </c>
      <c r="AA117" s="21">
        <f t="shared" si="171"/>
        <v>0.4445315391173561</v>
      </c>
    </row>
    <row r="118" spans="1:27">
      <c r="A118" s="108"/>
      <c r="B118" s="21">
        <v>4</v>
      </c>
      <c r="C118" s="21">
        <v>0.2681</v>
      </c>
      <c r="D118" s="21">
        <f t="shared" si="172"/>
        <v>0.2077</v>
      </c>
      <c r="E118" s="21">
        <f t="shared" si="173"/>
        <v>0.32850000000000001</v>
      </c>
      <c r="F118" s="21">
        <v>0.41420000000000001</v>
      </c>
      <c r="G118" s="21">
        <f t="shared" si="174"/>
        <v>0.3538</v>
      </c>
      <c r="H118" s="21">
        <f t="shared" si="175"/>
        <v>0.47460000000000002</v>
      </c>
      <c r="I118" s="21"/>
      <c r="J118" s="75"/>
      <c r="K118" s="108"/>
      <c r="L118" s="21">
        <v>4</v>
      </c>
      <c r="M118" s="22">
        <f t="shared" si="160"/>
        <v>0.85395846398330888</v>
      </c>
      <c r="N118" s="22">
        <f t="shared" si="161"/>
        <v>0.61324378251591205</v>
      </c>
      <c r="O118" s="22">
        <f t="shared" si="162"/>
        <v>1.1305905675427255</v>
      </c>
      <c r="P118" s="22">
        <f t="shared" si="163"/>
        <v>1.5953743009880927</v>
      </c>
      <c r="Q118" s="21">
        <f t="shared" si="164"/>
        <v>1.2583955011455514</v>
      </c>
      <c r="R118" s="21">
        <f t="shared" si="165"/>
        <v>1.9826342457787702</v>
      </c>
      <c r="T118" s="108"/>
      <c r="U118" s="21">
        <v>4</v>
      </c>
      <c r="V118" s="21">
        <f t="shared" si="166"/>
        <v>0.85395846398330888</v>
      </c>
      <c r="W118" s="21">
        <f t="shared" si="167"/>
        <v>0.24071468146739683</v>
      </c>
      <c r="X118" s="21">
        <f t="shared" si="168"/>
        <v>0.27663210355941659</v>
      </c>
      <c r="Y118" s="21">
        <f t="shared" si="169"/>
        <v>1.5953743009880927</v>
      </c>
      <c r="Z118" s="21">
        <f t="shared" si="170"/>
        <v>0.33697879984254131</v>
      </c>
      <c r="AA118" s="21">
        <f t="shared" si="171"/>
        <v>0.38725994479067749</v>
      </c>
    </row>
    <row r="119" spans="1:27">
      <c r="A119" s="108"/>
      <c r="B119" s="21">
        <v>5</v>
      </c>
      <c r="C119" s="21">
        <v>0.32740000000000002</v>
      </c>
      <c r="D119" s="21">
        <f t="shared" si="172"/>
        <v>0.26700000000000002</v>
      </c>
      <c r="E119" s="21">
        <f t="shared" si="173"/>
        <v>0.38780000000000003</v>
      </c>
      <c r="F119" s="21">
        <v>0.44069999999999998</v>
      </c>
      <c r="G119" s="21">
        <f t="shared" si="174"/>
        <v>0.38029999999999997</v>
      </c>
      <c r="H119" s="21">
        <f t="shared" si="175"/>
        <v>0.50109999999999999</v>
      </c>
      <c r="I119" s="21"/>
      <c r="J119" s="75"/>
      <c r="K119" s="108"/>
      <c r="L119" s="21">
        <v>5</v>
      </c>
      <c r="M119" s="22">
        <f t="shared" si="160"/>
        <v>1.125200943273629</v>
      </c>
      <c r="N119" s="22">
        <f t="shared" si="161"/>
        <v>0.84926861897807826</v>
      </c>
      <c r="O119" s="22">
        <f t="shared" si="162"/>
        <v>1.4423055703973207</v>
      </c>
      <c r="P119" s="22">
        <f t="shared" si="163"/>
        <v>1.758671575076395</v>
      </c>
      <c r="Q119" s="21">
        <f t="shared" si="164"/>
        <v>1.4004905465538191</v>
      </c>
      <c r="R119" s="21">
        <f t="shared" si="165"/>
        <v>2.1702973669527235</v>
      </c>
      <c r="T119" s="108"/>
      <c r="U119" s="21">
        <v>5</v>
      </c>
      <c r="V119" s="21">
        <f t="shared" si="166"/>
        <v>1.125200943273629</v>
      </c>
      <c r="W119" s="21">
        <f t="shared" si="167"/>
        <v>0.2759323242955507</v>
      </c>
      <c r="X119" s="21">
        <f t="shared" si="168"/>
        <v>0.3171046271236917</v>
      </c>
      <c r="Y119" s="21">
        <f t="shared" si="169"/>
        <v>1.758671575076395</v>
      </c>
      <c r="Z119" s="21">
        <f t="shared" si="170"/>
        <v>0.35818102852257594</v>
      </c>
      <c r="AA119" s="21">
        <f t="shared" si="171"/>
        <v>0.41162579187632842</v>
      </c>
    </row>
    <row r="120" spans="1:27">
      <c r="A120" s="108"/>
      <c r="B120" s="21">
        <v>6</v>
      </c>
      <c r="C120" s="21">
        <v>0.5373</v>
      </c>
      <c r="D120" s="21">
        <f t="shared" si="172"/>
        <v>0.47689999999999999</v>
      </c>
      <c r="E120" s="21">
        <f t="shared" si="173"/>
        <v>0.59770000000000001</v>
      </c>
      <c r="F120" s="21">
        <v>0.35420000000000001</v>
      </c>
      <c r="G120" s="21">
        <f t="shared" si="174"/>
        <v>0.29380000000000001</v>
      </c>
      <c r="H120" s="21">
        <f t="shared" si="175"/>
        <v>0.41460000000000002</v>
      </c>
      <c r="I120" s="21"/>
      <c r="J120" s="75"/>
      <c r="K120" s="108"/>
      <c r="L120" s="21">
        <v>6</v>
      </c>
      <c r="M120" s="22">
        <f t="shared" si="160"/>
        <v>2.4458788144433496</v>
      </c>
      <c r="N120" s="22">
        <f t="shared" si="161"/>
        <v>1.9984720157970512</v>
      </c>
      <c r="O120" s="22">
        <f t="shared" si="162"/>
        <v>2.960043896115252</v>
      </c>
      <c r="P120" s="22">
        <f t="shared" si="163"/>
        <v>1.2604765184683426</v>
      </c>
      <c r="Q120" s="21">
        <f t="shared" si="164"/>
        <v>0.96698025321839132</v>
      </c>
      <c r="R120" s="21">
        <f t="shared" si="165"/>
        <v>1.5977658302294251</v>
      </c>
      <c r="T120" s="108"/>
      <c r="U120" s="21">
        <v>6</v>
      </c>
      <c r="V120" s="21">
        <f t="shared" si="166"/>
        <v>2.4458788144433496</v>
      </c>
      <c r="W120" s="21">
        <f t="shared" si="167"/>
        <v>0.4474067986462984</v>
      </c>
      <c r="X120" s="21">
        <f t="shared" si="168"/>
        <v>0.51416508167190234</v>
      </c>
      <c r="Y120" s="21">
        <f t="shared" si="169"/>
        <v>1.2604765184683426</v>
      </c>
      <c r="Z120" s="21">
        <f t="shared" si="170"/>
        <v>0.29349626524995132</v>
      </c>
      <c r="AA120" s="21">
        <f t="shared" si="171"/>
        <v>0.33728931176108246</v>
      </c>
    </row>
    <row r="121" spans="1:27">
      <c r="A121" s="108"/>
      <c r="B121" s="78">
        <v>7</v>
      </c>
      <c r="C121" s="21">
        <v>0.25119999999999998</v>
      </c>
      <c r="D121" s="21">
        <f t="shared" si="172"/>
        <v>0.19079999999999997</v>
      </c>
      <c r="E121" s="21">
        <f t="shared" si="173"/>
        <v>0.31159999999999999</v>
      </c>
      <c r="F121" s="21">
        <v>0.154</v>
      </c>
      <c r="G121" s="21">
        <f t="shared" si="174"/>
        <v>9.3599999999999989E-2</v>
      </c>
      <c r="H121" s="21">
        <f t="shared" si="175"/>
        <v>0.21440000000000001</v>
      </c>
      <c r="I121" s="21"/>
      <c r="K121" s="108"/>
      <c r="L121" s="78">
        <v>7</v>
      </c>
      <c r="M121" s="22">
        <f t="shared" si="160"/>
        <v>0.7831997722329167</v>
      </c>
      <c r="N121" s="22">
        <f t="shared" si="161"/>
        <v>0.55167227390723395</v>
      </c>
      <c r="O121" s="22">
        <f t="shared" si="162"/>
        <v>1.0492738583802454</v>
      </c>
      <c r="P121" s="22">
        <f t="shared" si="163"/>
        <v>0.42560759360218814</v>
      </c>
      <c r="Q121" s="21">
        <f t="shared" si="164"/>
        <v>0.24050923004222535</v>
      </c>
      <c r="R121" s="21">
        <f t="shared" si="165"/>
        <v>0.63832477962863932</v>
      </c>
      <c r="T121" s="108"/>
      <c r="U121" s="78">
        <v>7</v>
      </c>
      <c r="V121" s="21">
        <f t="shared" si="166"/>
        <v>0.7831997722329167</v>
      </c>
      <c r="W121" s="21">
        <f t="shared" si="167"/>
        <v>0.23152749832568276</v>
      </c>
      <c r="X121" s="21">
        <f t="shared" si="168"/>
        <v>0.26607408614732875</v>
      </c>
      <c r="Y121" s="21">
        <f t="shared" si="169"/>
        <v>0.42560759360218814</v>
      </c>
      <c r="Z121" s="21">
        <f t="shared" si="170"/>
        <v>0.18509836355996279</v>
      </c>
      <c r="AA121" s="21">
        <f t="shared" si="171"/>
        <v>0.21271718602645118</v>
      </c>
    </row>
    <row r="122" spans="1:27">
      <c r="A122" s="108"/>
      <c r="B122" s="78">
        <v>8</v>
      </c>
      <c r="C122" s="21">
        <v>0.17710000000000001</v>
      </c>
      <c r="D122" s="21">
        <f t="shared" si="172"/>
        <v>0.1167</v>
      </c>
      <c r="E122" s="21">
        <f t="shared" si="173"/>
        <v>0.23750000000000002</v>
      </c>
      <c r="F122" s="21">
        <v>0.1091</v>
      </c>
      <c r="G122" s="21">
        <f t="shared" si="174"/>
        <v>4.87E-2</v>
      </c>
      <c r="H122" s="21">
        <f t="shared" si="175"/>
        <v>0.16950000000000001</v>
      </c>
      <c r="I122" s="21"/>
      <c r="K122" s="108"/>
      <c r="L122" s="78">
        <v>8</v>
      </c>
      <c r="M122" s="22">
        <f t="shared" si="160"/>
        <v>0.503488117168986</v>
      </c>
      <c r="N122" s="22">
        <f t="shared" si="161"/>
        <v>0.30827788444523541</v>
      </c>
      <c r="O122" s="22">
        <f t="shared" si="162"/>
        <v>0.72782598050786351</v>
      </c>
      <c r="P122" s="22">
        <f t="shared" si="163"/>
        <v>0.28558264220886631</v>
      </c>
      <c r="Q122" s="21">
        <f t="shared" si="164"/>
        <v>0.11866487019231498</v>
      </c>
      <c r="R122" s="21">
        <f t="shared" si="165"/>
        <v>0.47740648158961374</v>
      </c>
      <c r="T122" s="108"/>
      <c r="U122" s="78">
        <v>8</v>
      </c>
      <c r="V122" s="21">
        <f t="shared" si="166"/>
        <v>0.503488117168986</v>
      </c>
      <c r="W122" s="21">
        <f t="shared" si="167"/>
        <v>0.1952102327237506</v>
      </c>
      <c r="X122" s="21">
        <f t="shared" si="168"/>
        <v>0.22433786333887751</v>
      </c>
      <c r="Y122" s="21">
        <f t="shared" si="169"/>
        <v>0.28558264220886631</v>
      </c>
      <c r="Z122" s="21">
        <f t="shared" si="170"/>
        <v>0.16691777201655134</v>
      </c>
      <c r="AA122" s="21">
        <f t="shared" si="171"/>
        <v>0.19182383938074743</v>
      </c>
    </row>
    <row r="123" spans="1:27">
      <c r="A123" s="108"/>
      <c r="B123" s="78">
        <v>9</v>
      </c>
      <c r="C123" s="21">
        <v>0.1474</v>
      </c>
      <c r="D123" s="21">
        <f t="shared" si="172"/>
        <v>8.6999999999999994E-2</v>
      </c>
      <c r="E123" s="21">
        <f t="shared" si="173"/>
        <v>0.20780000000000001</v>
      </c>
      <c r="F123" s="21">
        <v>8.5400000000000004E-2</v>
      </c>
      <c r="G123" s="21">
        <f t="shared" si="174"/>
        <v>2.5000000000000001E-2</v>
      </c>
      <c r="H123" s="21">
        <f t="shared" si="175"/>
        <v>0.14580000000000001</v>
      </c>
      <c r="I123" s="21"/>
      <c r="K123" s="108"/>
      <c r="L123" s="78">
        <v>9</v>
      </c>
      <c r="M123" s="22">
        <f t="shared" si="160"/>
        <v>0.40410633892044912</v>
      </c>
      <c r="N123" s="22">
        <f t="shared" si="161"/>
        <v>0.22179966016487174</v>
      </c>
      <c r="O123" s="22">
        <f t="shared" si="162"/>
        <v>0.61361528839396429</v>
      </c>
      <c r="P123" s="22">
        <f t="shared" si="163"/>
        <v>0.21730666535447485</v>
      </c>
      <c r="Q123" s="21">
        <f t="shared" si="164"/>
        <v>5.9253725177288885E-2</v>
      </c>
      <c r="R123" s="21">
        <f t="shared" si="165"/>
        <v>0.39894293717816698</v>
      </c>
      <c r="T123" s="108"/>
      <c r="U123" s="78">
        <v>9</v>
      </c>
      <c r="V123" s="21">
        <f t="shared" si="166"/>
        <v>0.40410633892044912</v>
      </c>
      <c r="W123" s="21">
        <f t="shared" si="167"/>
        <v>0.18230667875557738</v>
      </c>
      <c r="X123" s="21">
        <f t="shared" si="168"/>
        <v>0.20950894947351517</v>
      </c>
      <c r="Y123" s="21">
        <f t="shared" si="169"/>
        <v>0.21730666535447485</v>
      </c>
      <c r="Z123" s="21">
        <f t="shared" si="170"/>
        <v>0.15805294017718596</v>
      </c>
      <c r="AA123" s="21">
        <f t="shared" si="171"/>
        <v>0.18163627182369213</v>
      </c>
    </row>
    <row r="124" spans="1:27">
      <c r="A124" s="108"/>
      <c r="B124" s="78">
        <v>10</v>
      </c>
      <c r="C124" s="21">
        <v>9.8799999999999999E-2</v>
      </c>
      <c r="D124" s="21">
        <f t="shared" si="172"/>
        <v>3.8399999999999997E-2</v>
      </c>
      <c r="E124" s="21">
        <f t="shared" si="173"/>
        <v>0.15920000000000001</v>
      </c>
      <c r="F124" s="21">
        <v>5.8400000000000001E-2</v>
      </c>
      <c r="G124" s="21">
        <f t="shared" si="174"/>
        <v>-2.0000000000000018E-3</v>
      </c>
      <c r="H124" s="21">
        <f t="shared" si="175"/>
        <v>0.1188</v>
      </c>
      <c r="I124" s="21"/>
      <c r="K124" s="108"/>
      <c r="L124" s="78">
        <v>10</v>
      </c>
      <c r="M124" s="22">
        <f t="shared" si="160"/>
        <v>0.25545167368713861</v>
      </c>
      <c r="N124" s="22">
        <f t="shared" si="161"/>
        <v>9.2446053226792335E-2</v>
      </c>
      <c r="O124" s="22">
        <f t="shared" si="162"/>
        <v>0.44277962312947849</v>
      </c>
      <c r="P124" s="22">
        <f t="shared" si="163"/>
        <v>0.1439314495393067</v>
      </c>
      <c r="Q124" s="21">
        <f t="shared" si="164"/>
        <v>-4.5945826484731223E-3</v>
      </c>
      <c r="R124" s="21">
        <f t="shared" si="165"/>
        <v>0.3146192882160852</v>
      </c>
      <c r="T124" s="108"/>
      <c r="U124" s="78">
        <v>10</v>
      </c>
      <c r="V124" s="21">
        <f t="shared" si="166"/>
        <v>0.25545167368713861</v>
      </c>
      <c r="W124" s="21">
        <f t="shared" si="167"/>
        <v>0.16300562046034628</v>
      </c>
      <c r="X124" s="21">
        <f t="shared" si="168"/>
        <v>0.18732794944233988</v>
      </c>
      <c r="Y124" s="21">
        <f t="shared" si="169"/>
        <v>0.1439314495393067</v>
      </c>
      <c r="Z124" s="21">
        <f t="shared" si="170"/>
        <v>0.14852603218777982</v>
      </c>
      <c r="AA124" s="21">
        <f t="shared" si="171"/>
        <v>0.1706878386767785</v>
      </c>
    </row>
    <row r="128" spans="1:27">
      <c r="A128" s="108" t="s">
        <v>137</v>
      </c>
      <c r="B128" s="21"/>
      <c r="C128" s="21" t="s">
        <v>9</v>
      </c>
      <c r="D128" s="21" t="s">
        <v>126</v>
      </c>
      <c r="E128" s="21" t="s">
        <v>127</v>
      </c>
      <c r="F128" s="21" t="s">
        <v>10</v>
      </c>
      <c r="G128" s="21" t="s">
        <v>126</v>
      </c>
      <c r="H128" s="21" t="s">
        <v>127</v>
      </c>
      <c r="I128" s="21" t="s">
        <v>128</v>
      </c>
      <c r="J128" s="75"/>
      <c r="K128" s="108" t="s">
        <v>21</v>
      </c>
      <c r="L128" s="21"/>
      <c r="M128" s="22" t="s">
        <v>9</v>
      </c>
      <c r="N128" s="22" t="s">
        <v>126</v>
      </c>
      <c r="O128" s="22" t="s">
        <v>127</v>
      </c>
      <c r="P128" s="22" t="s">
        <v>10</v>
      </c>
      <c r="Q128" s="21" t="s">
        <v>126</v>
      </c>
      <c r="R128" s="21" t="s">
        <v>127</v>
      </c>
      <c r="T128" s="108" t="s">
        <v>21</v>
      </c>
      <c r="U128" s="21"/>
      <c r="V128" s="21" t="s">
        <v>9</v>
      </c>
      <c r="W128" s="21" t="s">
        <v>126</v>
      </c>
      <c r="X128" s="21" t="s">
        <v>127</v>
      </c>
      <c r="Y128" s="21" t="s">
        <v>10</v>
      </c>
      <c r="Z128" s="21" t="s">
        <v>126</v>
      </c>
      <c r="AA128" s="21" t="s">
        <v>127</v>
      </c>
    </row>
    <row r="129" spans="1:27">
      <c r="A129" s="108"/>
      <c r="B129" s="21">
        <v>1</v>
      </c>
      <c r="C129" s="21">
        <v>0.41220000000000001</v>
      </c>
      <c r="D129" s="21">
        <f>C129-$I$129</f>
        <v>0.35104000000000002</v>
      </c>
      <c r="E129" s="21">
        <f>C129+$I$129</f>
        <v>0.47336</v>
      </c>
      <c r="F129" s="21">
        <v>0.41299999999999998</v>
      </c>
      <c r="G129" s="21">
        <f>F129-$I$129</f>
        <v>0.35183999999999999</v>
      </c>
      <c r="H129" s="21">
        <f>F129+$I$129</f>
        <v>0.47415999999999997</v>
      </c>
      <c r="I129" s="21">
        <v>6.1159999999999999E-2</v>
      </c>
      <c r="J129" s="75"/>
      <c r="K129" s="108"/>
      <c r="L129" s="21">
        <v>1</v>
      </c>
      <c r="M129" s="22">
        <f t="shared" ref="M129:M138" si="176">10^C129-1</f>
        <v>1.5834496392584798</v>
      </c>
      <c r="N129" s="22">
        <f t="shared" ref="N129:N138" si="177">10^D129-1</f>
        <v>1.2440886024632509</v>
      </c>
      <c r="O129" s="22">
        <f t="shared" ref="O129:O138" si="178">10^E129-1</f>
        <v>1.9741303579808478</v>
      </c>
      <c r="P129" s="22">
        <f t="shared" ref="P129:P138" si="179">10^F129-1</f>
        <v>1.5882129151530919</v>
      </c>
      <c r="Q129" s="21">
        <f t="shared" ref="Q129:Q138" si="180">10^G129-1</f>
        <v>1.2482261761101499</v>
      </c>
      <c r="R129" s="21">
        <f t="shared" ref="R129:R138" si="181">10^H129-1</f>
        <v>1.9796139575936778</v>
      </c>
      <c r="T129" s="108"/>
      <c r="U129" s="21">
        <v>1</v>
      </c>
      <c r="V129" s="21">
        <f t="shared" ref="V129:V138" si="182">M129</f>
        <v>1.5834496392584798</v>
      </c>
      <c r="W129" s="21">
        <f t="shared" ref="W129:W138" si="183">M129-N129</f>
        <v>0.33936103679522889</v>
      </c>
      <c r="X129" s="21">
        <f t="shared" ref="X129:X138" si="184">O129-M129</f>
        <v>0.39068071872236798</v>
      </c>
      <c r="Y129" s="21">
        <f t="shared" ref="Y129:Y138" si="185">P129</f>
        <v>1.5882129151530919</v>
      </c>
      <c r="Z129" s="21">
        <f t="shared" ref="Z129:Z138" si="186">P129-Q129</f>
        <v>0.33998673904294208</v>
      </c>
      <c r="AA129" s="21">
        <f t="shared" ref="AA129:AA138" si="187">R129-P129</f>
        <v>0.39140104244058582</v>
      </c>
    </row>
    <row r="130" spans="1:27">
      <c r="A130" s="108"/>
      <c r="B130" s="21">
        <v>2</v>
      </c>
      <c r="C130" s="21">
        <v>0.43070000000000003</v>
      </c>
      <c r="D130" s="21">
        <f t="shared" ref="D130:D138" si="188">C130-$I$129</f>
        <v>0.36954000000000004</v>
      </c>
      <c r="E130" s="21">
        <f t="shared" ref="E130:E138" si="189">C130+$I$129</f>
        <v>0.49186000000000002</v>
      </c>
      <c r="F130" s="21">
        <v>0.4627</v>
      </c>
      <c r="G130" s="21">
        <f t="shared" ref="G130:G138" si="190">F130-$I$129</f>
        <v>0.40154000000000001</v>
      </c>
      <c r="H130" s="21">
        <f t="shared" ref="H130:H138" si="191">F130+$I$129</f>
        <v>0.52385999999999999</v>
      </c>
      <c r="I130" s="21"/>
      <c r="J130" s="75"/>
      <c r="K130" s="108"/>
      <c r="L130" s="21">
        <v>2</v>
      </c>
      <c r="M130" s="22">
        <f t="shared" si="176"/>
        <v>1.6958765435574454</v>
      </c>
      <c r="N130" s="22">
        <f t="shared" si="177"/>
        <v>1.3417471481200383</v>
      </c>
      <c r="O130" s="22">
        <f t="shared" si="178"/>
        <v>2.1035589576516878</v>
      </c>
      <c r="P130" s="22">
        <f t="shared" si="179"/>
        <v>1.9020173193802266</v>
      </c>
      <c r="Q130" s="21">
        <f t="shared" si="180"/>
        <v>1.5208093440680939</v>
      </c>
      <c r="R130" s="21">
        <f t="shared" si="181"/>
        <v>2.3408732563613115</v>
      </c>
      <c r="T130" s="108"/>
      <c r="U130" s="21">
        <v>2</v>
      </c>
      <c r="V130" s="21">
        <f t="shared" si="182"/>
        <v>1.6958765435574454</v>
      </c>
      <c r="W130" s="21">
        <f t="shared" si="183"/>
        <v>0.35412939543740718</v>
      </c>
      <c r="X130" s="21">
        <f t="shared" si="184"/>
        <v>0.40768241409424233</v>
      </c>
      <c r="Y130" s="21">
        <f t="shared" si="185"/>
        <v>1.9020173193802266</v>
      </c>
      <c r="Z130" s="21">
        <f t="shared" si="186"/>
        <v>0.38120797531213269</v>
      </c>
      <c r="AA130" s="21">
        <f t="shared" si="187"/>
        <v>0.43885593698108494</v>
      </c>
    </row>
    <row r="131" spans="1:27">
      <c r="A131" s="108"/>
      <c r="B131" s="21">
        <v>3</v>
      </c>
      <c r="C131" s="21">
        <v>0.36840000000000001</v>
      </c>
      <c r="D131" s="21">
        <f t="shared" si="188"/>
        <v>0.30724000000000001</v>
      </c>
      <c r="E131" s="21">
        <f t="shared" si="189"/>
        <v>0.42956</v>
      </c>
      <c r="F131" s="21">
        <v>0.309</v>
      </c>
      <c r="G131" s="21">
        <f t="shared" si="190"/>
        <v>0.24784</v>
      </c>
      <c r="H131" s="21">
        <f t="shared" si="191"/>
        <v>0.37015999999999999</v>
      </c>
      <c r="I131" s="21"/>
      <c r="J131" s="75"/>
      <c r="K131" s="108"/>
      <c r="L131" s="21">
        <v>3</v>
      </c>
      <c r="M131" s="22">
        <f t="shared" si="176"/>
        <v>1.3356082466252199</v>
      </c>
      <c r="N131" s="22">
        <f t="shared" si="177"/>
        <v>1.0288035680754484</v>
      </c>
      <c r="O131" s="22">
        <f t="shared" si="178"/>
        <v>1.688809290136692</v>
      </c>
      <c r="P131" s="22">
        <f t="shared" si="179"/>
        <v>1.0370420777057183</v>
      </c>
      <c r="Q131" s="21">
        <f t="shared" si="180"/>
        <v>0.76945694618980487</v>
      </c>
      <c r="R131" s="21">
        <f t="shared" si="181"/>
        <v>1.3450926202408544</v>
      </c>
      <c r="T131" s="108"/>
      <c r="U131" s="21">
        <v>3</v>
      </c>
      <c r="V131" s="21">
        <f t="shared" si="182"/>
        <v>1.3356082466252199</v>
      </c>
      <c r="W131" s="21">
        <f t="shared" si="183"/>
        <v>0.30680467854977156</v>
      </c>
      <c r="X131" s="21">
        <f t="shared" si="184"/>
        <v>0.35320104351147208</v>
      </c>
      <c r="Y131" s="21">
        <f t="shared" si="185"/>
        <v>1.0370420777057183</v>
      </c>
      <c r="Z131" s="21">
        <f t="shared" si="186"/>
        <v>0.26758513151591345</v>
      </c>
      <c r="AA131" s="21">
        <f t="shared" si="187"/>
        <v>0.30805054253513608</v>
      </c>
    </row>
    <row r="132" spans="1:27">
      <c r="A132" s="108"/>
      <c r="B132" s="21">
        <v>4</v>
      </c>
      <c r="C132" s="21">
        <v>0.23</v>
      </c>
      <c r="D132" s="21">
        <f t="shared" si="188"/>
        <v>0.16884000000000002</v>
      </c>
      <c r="E132" s="21">
        <f t="shared" si="189"/>
        <v>0.29116000000000003</v>
      </c>
      <c r="F132" s="21">
        <v>0.28799999999999998</v>
      </c>
      <c r="G132" s="21">
        <f t="shared" si="190"/>
        <v>0.22683999999999999</v>
      </c>
      <c r="H132" s="21">
        <f t="shared" si="191"/>
        <v>0.34915999999999997</v>
      </c>
      <c r="I132" s="21"/>
      <c r="J132" s="75"/>
      <c r="K132" s="108"/>
      <c r="L132" s="21">
        <v>4</v>
      </c>
      <c r="M132" s="22">
        <f t="shared" si="176"/>
        <v>0.69824365246174436</v>
      </c>
      <c r="N132" s="22">
        <f t="shared" si="177"/>
        <v>0.47516296303295702</v>
      </c>
      <c r="O132" s="22">
        <f t="shared" si="178"/>
        <v>0.9550595936851578</v>
      </c>
      <c r="P132" s="22">
        <f t="shared" si="179"/>
        <v>0.9408858775927782</v>
      </c>
      <c r="Q132" s="21">
        <f t="shared" si="180"/>
        <v>0.68593179073465138</v>
      </c>
      <c r="R132" s="21">
        <f t="shared" si="181"/>
        <v>1.2343952528456605</v>
      </c>
      <c r="T132" s="108"/>
      <c r="U132" s="21">
        <v>4</v>
      </c>
      <c r="V132" s="21">
        <f t="shared" si="182"/>
        <v>0.69824365246174436</v>
      </c>
      <c r="W132" s="21">
        <f t="shared" si="183"/>
        <v>0.22308068942878734</v>
      </c>
      <c r="X132" s="21">
        <f t="shared" si="184"/>
        <v>0.25681594122341345</v>
      </c>
      <c r="Y132" s="21">
        <f t="shared" si="185"/>
        <v>0.9408858775927782</v>
      </c>
      <c r="Z132" s="21">
        <f t="shared" si="186"/>
        <v>0.25495408685812682</v>
      </c>
      <c r="AA132" s="21">
        <f t="shared" si="187"/>
        <v>0.29350937525288234</v>
      </c>
    </row>
    <row r="133" spans="1:27">
      <c r="A133" s="108"/>
      <c r="B133" s="21">
        <v>5</v>
      </c>
      <c r="C133" s="21">
        <v>0.23449999999999999</v>
      </c>
      <c r="D133" s="21">
        <f t="shared" si="188"/>
        <v>0.17333999999999999</v>
      </c>
      <c r="E133" s="21">
        <f t="shared" si="189"/>
        <v>0.29565999999999998</v>
      </c>
      <c r="F133" s="21">
        <v>0.28139999999999998</v>
      </c>
      <c r="G133" s="21">
        <f t="shared" si="190"/>
        <v>0.22023999999999999</v>
      </c>
      <c r="H133" s="21">
        <f t="shared" si="191"/>
        <v>0.34255999999999998</v>
      </c>
      <c r="I133" s="21"/>
      <c r="J133" s="75"/>
      <c r="K133" s="108"/>
      <c r="L133" s="21">
        <v>5</v>
      </c>
      <c r="M133" s="22">
        <f t="shared" si="176"/>
        <v>0.71593171012099477</v>
      </c>
      <c r="N133" s="22">
        <f t="shared" si="177"/>
        <v>0.49052752365362751</v>
      </c>
      <c r="O133" s="22">
        <f t="shared" si="178"/>
        <v>0.97542251791587398</v>
      </c>
      <c r="P133" s="22">
        <f t="shared" si="179"/>
        <v>0.91161310873997836</v>
      </c>
      <c r="Q133" s="21">
        <f t="shared" si="180"/>
        <v>0.66050428251197735</v>
      </c>
      <c r="R133" s="21">
        <f t="shared" si="181"/>
        <v>1.200695725986582</v>
      </c>
      <c r="T133" s="108"/>
      <c r="U133" s="21">
        <v>5</v>
      </c>
      <c r="V133" s="21">
        <f t="shared" si="182"/>
        <v>0.71593171012099477</v>
      </c>
      <c r="W133" s="21">
        <f t="shared" si="183"/>
        <v>0.22540418646736726</v>
      </c>
      <c r="X133" s="21">
        <f t="shared" si="184"/>
        <v>0.25949080779487921</v>
      </c>
      <c r="Y133" s="21">
        <f t="shared" si="185"/>
        <v>0.91161310873997836</v>
      </c>
      <c r="Z133" s="21">
        <f t="shared" si="186"/>
        <v>0.25110882622800101</v>
      </c>
      <c r="AA133" s="21">
        <f t="shared" si="187"/>
        <v>0.28908261724660367</v>
      </c>
    </row>
    <row r="134" spans="1:27">
      <c r="A134" s="108"/>
      <c r="B134" s="21">
        <v>6</v>
      </c>
      <c r="C134" s="21">
        <v>0.26119999999999999</v>
      </c>
      <c r="D134" s="21">
        <f t="shared" si="188"/>
        <v>0.20004</v>
      </c>
      <c r="E134" s="21">
        <f t="shared" si="189"/>
        <v>0.32235999999999998</v>
      </c>
      <c r="F134" s="21">
        <v>0.32740000000000002</v>
      </c>
      <c r="G134" s="21">
        <f t="shared" si="190"/>
        <v>0.26624000000000003</v>
      </c>
      <c r="H134" s="21">
        <f t="shared" si="191"/>
        <v>0.38856000000000002</v>
      </c>
      <c r="I134" s="21"/>
      <c r="J134" s="75"/>
      <c r="K134" s="108"/>
      <c r="L134" s="21">
        <v>6</v>
      </c>
      <c r="M134" s="22">
        <f t="shared" si="176"/>
        <v>0.82473583076258072</v>
      </c>
      <c r="N134" s="22">
        <f t="shared" si="177"/>
        <v>0.58503917324123167</v>
      </c>
      <c r="O134" s="22">
        <f t="shared" si="178"/>
        <v>1.10068048050826</v>
      </c>
      <c r="P134" s="22">
        <f t="shared" si="179"/>
        <v>1.125200943273629</v>
      </c>
      <c r="Q134" s="21">
        <f t="shared" si="180"/>
        <v>0.84603529415552026</v>
      </c>
      <c r="R134" s="21">
        <f t="shared" si="181"/>
        <v>1.4465832606722784</v>
      </c>
      <c r="T134" s="108"/>
      <c r="U134" s="21">
        <v>6</v>
      </c>
      <c r="V134" s="21">
        <f t="shared" si="182"/>
        <v>0.82473583076258072</v>
      </c>
      <c r="W134" s="21">
        <f t="shared" si="183"/>
        <v>0.23969665752134905</v>
      </c>
      <c r="X134" s="21">
        <f t="shared" si="184"/>
        <v>0.27594464974567923</v>
      </c>
      <c r="Y134" s="21">
        <f t="shared" si="185"/>
        <v>1.125200943273629</v>
      </c>
      <c r="Z134" s="21">
        <f t="shared" si="186"/>
        <v>0.27916564911810871</v>
      </c>
      <c r="AA134" s="21">
        <f t="shared" si="187"/>
        <v>0.32138231739864942</v>
      </c>
    </row>
    <row r="135" spans="1:27">
      <c r="A135" s="108"/>
      <c r="B135" s="78">
        <v>7</v>
      </c>
      <c r="C135" s="21">
        <v>0.31</v>
      </c>
      <c r="D135" s="21">
        <f t="shared" si="188"/>
        <v>0.24884000000000001</v>
      </c>
      <c r="E135" s="21">
        <f t="shared" si="189"/>
        <v>0.37115999999999999</v>
      </c>
      <c r="F135" s="21">
        <v>0.31680000000000003</v>
      </c>
      <c r="G135" s="21">
        <f t="shared" si="190"/>
        <v>0.25564000000000003</v>
      </c>
      <c r="H135" s="21">
        <f t="shared" si="191"/>
        <v>0.37796000000000002</v>
      </c>
      <c r="I135" s="21"/>
      <c r="K135" s="108"/>
      <c r="L135" s="78">
        <v>7</v>
      </c>
      <c r="M135" s="22">
        <f t="shared" si="176"/>
        <v>1.0417379446695296</v>
      </c>
      <c r="N135" s="22">
        <f t="shared" si="177"/>
        <v>0.77353596571936567</v>
      </c>
      <c r="O135" s="22">
        <f t="shared" si="178"/>
        <v>1.3504986170452349</v>
      </c>
      <c r="P135" s="22">
        <f t="shared" si="179"/>
        <v>1.0739582044538323</v>
      </c>
      <c r="Q135" s="21">
        <f t="shared" si="180"/>
        <v>0.80152378350052134</v>
      </c>
      <c r="R135" s="21">
        <f t="shared" si="181"/>
        <v>1.387591367494216</v>
      </c>
      <c r="T135" s="108"/>
      <c r="U135" s="78">
        <v>7</v>
      </c>
      <c r="V135" s="21">
        <f t="shared" si="182"/>
        <v>1.0417379446695296</v>
      </c>
      <c r="W135" s="21">
        <f t="shared" si="183"/>
        <v>0.26820197895016396</v>
      </c>
      <c r="X135" s="21">
        <f t="shared" si="184"/>
        <v>0.30876067237570526</v>
      </c>
      <c r="Y135" s="21">
        <f t="shared" si="185"/>
        <v>1.0739582044538323</v>
      </c>
      <c r="Z135" s="21">
        <f t="shared" si="186"/>
        <v>0.27243442095331094</v>
      </c>
      <c r="AA135" s="21">
        <f t="shared" si="187"/>
        <v>0.31363316304038369</v>
      </c>
    </row>
    <row r="136" spans="1:27">
      <c r="A136" s="108"/>
      <c r="B136" s="78">
        <v>8</v>
      </c>
      <c r="C136" s="21">
        <v>0.442</v>
      </c>
      <c r="D136" s="21">
        <f t="shared" si="188"/>
        <v>0.38084000000000001</v>
      </c>
      <c r="E136" s="21">
        <f t="shared" si="189"/>
        <v>0.50316000000000005</v>
      </c>
      <c r="F136" s="21">
        <v>0.2</v>
      </c>
      <c r="G136" s="21">
        <f t="shared" si="190"/>
        <v>0.13884000000000002</v>
      </c>
      <c r="H136" s="21">
        <f t="shared" si="191"/>
        <v>0.26116</v>
      </c>
      <c r="I136" s="21"/>
      <c r="K136" s="108"/>
      <c r="L136" s="78">
        <v>8</v>
      </c>
      <c r="M136" s="22">
        <f t="shared" si="176"/>
        <v>1.7669416454115119</v>
      </c>
      <c r="N136" s="22">
        <f t="shared" si="177"/>
        <v>1.4034771631666545</v>
      </c>
      <c r="O136" s="22">
        <f t="shared" si="178"/>
        <v>2.1853708395654561</v>
      </c>
      <c r="P136" s="22">
        <f t="shared" si="179"/>
        <v>0.5848931924611136</v>
      </c>
      <c r="Q136" s="21">
        <f t="shared" si="180"/>
        <v>0.37670217962693986</v>
      </c>
      <c r="R136" s="21">
        <f t="shared" si="181"/>
        <v>0.82456777412109128</v>
      </c>
      <c r="T136" s="108"/>
      <c r="U136" s="78">
        <v>8</v>
      </c>
      <c r="V136" s="21">
        <f t="shared" si="182"/>
        <v>1.7669416454115119</v>
      </c>
      <c r="W136" s="21">
        <f t="shared" si="183"/>
        <v>0.36346448224485739</v>
      </c>
      <c r="X136" s="21">
        <f t="shared" si="184"/>
        <v>0.4184291941539442</v>
      </c>
      <c r="Y136" s="21">
        <f t="shared" si="185"/>
        <v>0.5848931924611136</v>
      </c>
      <c r="Z136" s="21">
        <f t="shared" si="186"/>
        <v>0.20819101283417374</v>
      </c>
      <c r="AA136" s="21">
        <f t="shared" si="187"/>
        <v>0.23967458165997768</v>
      </c>
    </row>
    <row r="137" spans="1:27">
      <c r="A137" s="108"/>
      <c r="B137" s="78">
        <v>9</v>
      </c>
      <c r="C137" s="21">
        <v>0.20069999999999999</v>
      </c>
      <c r="D137" s="21">
        <f t="shared" si="188"/>
        <v>0.13954</v>
      </c>
      <c r="E137" s="21">
        <f t="shared" si="189"/>
        <v>0.26185999999999998</v>
      </c>
      <c r="F137" s="21">
        <v>0.15740000000000001</v>
      </c>
      <c r="G137" s="21">
        <f t="shared" si="190"/>
        <v>9.624000000000002E-2</v>
      </c>
      <c r="H137" s="21">
        <f t="shared" si="191"/>
        <v>0.21856</v>
      </c>
      <c r="I137" s="21"/>
      <c r="K137" s="108"/>
      <c r="L137" s="78">
        <v>9</v>
      </c>
      <c r="M137" s="22">
        <f t="shared" si="176"/>
        <v>0.5874497982957565</v>
      </c>
      <c r="N137" s="22">
        <f t="shared" si="177"/>
        <v>0.37892295061752912</v>
      </c>
      <c r="O137" s="22">
        <f t="shared" si="178"/>
        <v>0.82751100123520116</v>
      </c>
      <c r="P137" s="22">
        <f t="shared" si="179"/>
        <v>0.43681217703428099</v>
      </c>
      <c r="Q137" s="21">
        <f t="shared" si="180"/>
        <v>0.24807303435127626</v>
      </c>
      <c r="R137" s="21">
        <f t="shared" si="181"/>
        <v>0.65409329041953046</v>
      </c>
      <c r="T137" s="108"/>
      <c r="U137" s="78">
        <v>9</v>
      </c>
      <c r="V137" s="21">
        <f t="shared" si="182"/>
        <v>0.5874497982957565</v>
      </c>
      <c r="W137" s="21">
        <f t="shared" si="183"/>
        <v>0.20852684767822738</v>
      </c>
      <c r="X137" s="21">
        <f t="shared" si="184"/>
        <v>0.24006120293944466</v>
      </c>
      <c r="Y137" s="21">
        <f t="shared" si="185"/>
        <v>0.43681217703428099</v>
      </c>
      <c r="Z137" s="21">
        <f t="shared" si="186"/>
        <v>0.18873914268300473</v>
      </c>
      <c r="AA137" s="21">
        <f t="shared" si="187"/>
        <v>0.21728111338524947</v>
      </c>
    </row>
    <row r="138" spans="1:27">
      <c r="A138" s="108"/>
      <c r="B138" s="78">
        <v>10</v>
      </c>
      <c r="C138" s="21">
        <v>0.1011</v>
      </c>
      <c r="D138" s="21">
        <f t="shared" si="188"/>
        <v>3.9939999999999996E-2</v>
      </c>
      <c r="E138" s="21">
        <f t="shared" si="189"/>
        <v>0.16225999999999999</v>
      </c>
      <c r="F138" s="21">
        <v>8.2199999999999995E-2</v>
      </c>
      <c r="G138" s="21">
        <f t="shared" si="190"/>
        <v>2.1039999999999996E-2</v>
      </c>
      <c r="H138" s="21">
        <f t="shared" si="191"/>
        <v>0.14335999999999999</v>
      </c>
      <c r="I138" s="21"/>
      <c r="K138" s="108"/>
      <c r="L138" s="78">
        <v>10</v>
      </c>
      <c r="M138" s="22">
        <f t="shared" si="176"/>
        <v>0.26211811457075118</v>
      </c>
      <c r="N138" s="22">
        <f t="shared" si="177"/>
        <v>9.632672254589747E-2</v>
      </c>
      <c r="O138" s="22">
        <f t="shared" si="178"/>
        <v>0.45298121661076229</v>
      </c>
      <c r="P138" s="22">
        <f t="shared" si="179"/>
        <v>0.20837018202692614</v>
      </c>
      <c r="Q138" s="21">
        <f t="shared" si="180"/>
        <v>4.9639099534139808E-2</v>
      </c>
      <c r="R138" s="21">
        <f t="shared" si="181"/>
        <v>0.39110528319671722</v>
      </c>
      <c r="T138" s="108"/>
      <c r="U138" s="78">
        <v>10</v>
      </c>
      <c r="V138" s="21">
        <f t="shared" si="182"/>
        <v>0.26211811457075118</v>
      </c>
      <c r="W138" s="21">
        <f t="shared" si="183"/>
        <v>0.16579139202485371</v>
      </c>
      <c r="X138" s="21">
        <f t="shared" si="184"/>
        <v>0.19086310204001111</v>
      </c>
      <c r="Y138" s="21">
        <f t="shared" si="185"/>
        <v>0.20837018202692614</v>
      </c>
      <c r="Z138" s="21">
        <f t="shared" si="186"/>
        <v>0.15873108249278634</v>
      </c>
      <c r="AA138" s="21">
        <f t="shared" si="187"/>
        <v>0.18273510116979108</v>
      </c>
    </row>
    <row r="142" spans="1:27">
      <c r="A142" s="108" t="s">
        <v>138</v>
      </c>
      <c r="B142" s="21"/>
      <c r="C142" s="21" t="s">
        <v>9</v>
      </c>
      <c r="D142" s="21" t="s">
        <v>126</v>
      </c>
      <c r="E142" s="21" t="s">
        <v>127</v>
      </c>
      <c r="F142" s="21" t="s">
        <v>10</v>
      </c>
      <c r="G142" s="21" t="s">
        <v>126</v>
      </c>
      <c r="H142" s="21" t="s">
        <v>127</v>
      </c>
      <c r="I142" s="21" t="s">
        <v>128</v>
      </c>
      <c r="J142" s="75"/>
      <c r="K142" s="108" t="s">
        <v>21</v>
      </c>
      <c r="L142" s="21"/>
      <c r="M142" s="22" t="s">
        <v>9</v>
      </c>
      <c r="N142" s="22" t="s">
        <v>126</v>
      </c>
      <c r="O142" s="22" t="s">
        <v>127</v>
      </c>
      <c r="P142" s="22" t="s">
        <v>10</v>
      </c>
      <c r="Q142" s="21" t="s">
        <v>126</v>
      </c>
      <c r="R142" s="21" t="s">
        <v>127</v>
      </c>
      <c r="T142" s="108" t="s">
        <v>21</v>
      </c>
      <c r="U142" s="21"/>
      <c r="V142" s="21" t="s">
        <v>9</v>
      </c>
      <c r="W142" s="21" t="s">
        <v>126</v>
      </c>
      <c r="X142" s="21" t="s">
        <v>127</v>
      </c>
      <c r="Y142" s="21" t="s">
        <v>10</v>
      </c>
      <c r="Z142" s="21" t="s">
        <v>126</v>
      </c>
      <c r="AA142" s="21" t="s">
        <v>127</v>
      </c>
    </row>
    <row r="143" spans="1:27">
      <c r="A143" s="108"/>
      <c r="B143" s="21">
        <v>1</v>
      </c>
      <c r="C143" s="21">
        <v>0.49340000000000001</v>
      </c>
      <c r="D143" s="21">
        <f>C143-$I$143</f>
        <v>0.43019000000000002</v>
      </c>
      <c r="E143" s="21">
        <f>C143+$I$143</f>
        <v>0.55661000000000005</v>
      </c>
      <c r="F143" s="21">
        <v>0.4899</v>
      </c>
      <c r="G143" s="21">
        <f>F143-$I$143</f>
        <v>0.42669000000000001</v>
      </c>
      <c r="H143" s="21">
        <f>F143+$I$143</f>
        <v>0.55310999999999999</v>
      </c>
      <c r="I143" s="21">
        <v>6.3210000000000002E-2</v>
      </c>
      <c r="J143" s="75"/>
      <c r="K143" s="108"/>
      <c r="L143" s="21">
        <v>1</v>
      </c>
      <c r="M143" s="22">
        <f t="shared" ref="M143:M152" si="192">10^C143-1</f>
        <v>2.1145836540121334</v>
      </c>
      <c r="N143" s="22">
        <f t="shared" ref="N143:N152" si="193">10^D143-1</f>
        <v>1.6927125842465656</v>
      </c>
      <c r="O143" s="22">
        <f t="shared" ref="O143:O152" si="194">10^E143-1</f>
        <v>2.6025498579358621</v>
      </c>
      <c r="P143" s="22">
        <f t="shared" ref="P143:P152" si="195">10^F143-1</f>
        <v>2.0895839476098756</v>
      </c>
      <c r="Q143" s="21">
        <f t="shared" ref="Q143:Q152" si="196">10^G143-1</f>
        <v>1.6710990938061623</v>
      </c>
      <c r="R143" s="21">
        <f t="shared" ref="R143:R152" si="197">10^H143-1</f>
        <v>2.5736334123519149</v>
      </c>
      <c r="T143" s="108"/>
      <c r="U143" s="21">
        <v>1</v>
      </c>
      <c r="V143" s="21">
        <f t="shared" ref="V143:V152" si="198">M143</f>
        <v>2.1145836540121334</v>
      </c>
      <c r="W143" s="21">
        <f t="shared" ref="W143:W152" si="199">M143-N143</f>
        <v>0.42187106976556787</v>
      </c>
      <c r="X143" s="21">
        <f t="shared" ref="X143:X152" si="200">O143-M143</f>
        <v>0.48796620392372869</v>
      </c>
      <c r="Y143" s="21">
        <f t="shared" ref="Y143:Y152" si="201">P143</f>
        <v>2.0895839476098756</v>
      </c>
      <c r="Z143" s="21">
        <f t="shared" ref="Z143:Z152" si="202">P143-Q143</f>
        <v>0.41848485380371336</v>
      </c>
      <c r="AA143" s="21">
        <f t="shared" ref="AA143:AA152" si="203">R143-P143</f>
        <v>0.48404946474203925</v>
      </c>
    </row>
    <row r="144" spans="1:27">
      <c r="A144" s="108"/>
      <c r="B144" s="21">
        <v>2</v>
      </c>
      <c r="C144" s="21">
        <v>0.44309999999999999</v>
      </c>
      <c r="D144" s="21">
        <f t="shared" ref="D144:D152" si="204">C144-$I$143</f>
        <v>0.37989000000000001</v>
      </c>
      <c r="E144" s="21">
        <f t="shared" ref="E144:E152" si="205">C144+$I$143</f>
        <v>0.50631000000000004</v>
      </c>
      <c r="F144" s="21">
        <v>0.42220000000000002</v>
      </c>
      <c r="G144" s="21">
        <f t="shared" ref="G144:G152" si="206">F144-$I$143</f>
        <v>0.35899000000000003</v>
      </c>
      <c r="H144" s="21">
        <f t="shared" ref="H144:H152" si="207">F144+$I$143</f>
        <v>0.48541000000000001</v>
      </c>
      <c r="I144" s="21"/>
      <c r="J144" s="75"/>
      <c r="K144" s="108"/>
      <c r="L144" s="21">
        <v>2</v>
      </c>
      <c r="M144" s="22">
        <f t="shared" si="192"/>
        <v>1.7739587587298944</v>
      </c>
      <c r="N144" s="22">
        <f t="shared" si="193"/>
        <v>1.3982254090979285</v>
      </c>
      <c r="O144" s="22">
        <f t="shared" si="194"/>
        <v>2.2085587809815781</v>
      </c>
      <c r="P144" s="22">
        <f t="shared" si="195"/>
        <v>1.6436259117634444</v>
      </c>
      <c r="Q144" s="21">
        <f t="shared" si="196"/>
        <v>1.2855461761239941</v>
      </c>
      <c r="R144" s="21">
        <f t="shared" si="197"/>
        <v>2.0578065034761974</v>
      </c>
      <c r="T144" s="108"/>
      <c r="U144" s="21">
        <v>2</v>
      </c>
      <c r="V144" s="21">
        <f t="shared" si="198"/>
        <v>1.7739587587298944</v>
      </c>
      <c r="W144" s="21">
        <f t="shared" si="199"/>
        <v>0.37573334963196592</v>
      </c>
      <c r="X144" s="21">
        <f t="shared" si="200"/>
        <v>0.4346000222516837</v>
      </c>
      <c r="Y144" s="21">
        <f t="shared" si="201"/>
        <v>1.6436259117634444</v>
      </c>
      <c r="Z144" s="21">
        <f t="shared" si="202"/>
        <v>0.35807973563945028</v>
      </c>
      <c r="AA144" s="21">
        <f t="shared" si="203"/>
        <v>0.41418059171275301</v>
      </c>
    </row>
    <row r="145" spans="1:27">
      <c r="A145" s="108"/>
      <c r="B145" s="21">
        <v>3</v>
      </c>
      <c r="C145" s="21">
        <v>0.30170000000000002</v>
      </c>
      <c r="D145" s="21">
        <f t="shared" si="204"/>
        <v>0.23849000000000004</v>
      </c>
      <c r="E145" s="21">
        <f t="shared" si="205"/>
        <v>0.36491000000000001</v>
      </c>
      <c r="F145" s="21">
        <v>0.37680000000000002</v>
      </c>
      <c r="G145" s="21">
        <f t="shared" si="206"/>
        <v>0.31359000000000004</v>
      </c>
      <c r="H145" s="21">
        <f t="shared" si="207"/>
        <v>0.44001000000000001</v>
      </c>
      <c r="I145" s="21"/>
      <c r="J145" s="75"/>
      <c r="K145" s="108"/>
      <c r="L145" s="21">
        <v>3</v>
      </c>
      <c r="M145" s="22">
        <f t="shared" si="192"/>
        <v>1.0030878652699919</v>
      </c>
      <c r="N145" s="22">
        <f t="shared" si="193"/>
        <v>0.73176915483262372</v>
      </c>
      <c r="O145" s="22">
        <f t="shared" si="194"/>
        <v>1.3169144598719282</v>
      </c>
      <c r="P145" s="22">
        <f t="shared" si="195"/>
        <v>1.3812226232768396</v>
      </c>
      <c r="Q145" s="21">
        <f t="shared" si="196"/>
        <v>1.0586854732029578</v>
      </c>
      <c r="R145" s="21">
        <f t="shared" si="197"/>
        <v>1.754292122527854</v>
      </c>
      <c r="T145" s="108"/>
      <c r="U145" s="21">
        <v>3</v>
      </c>
      <c r="V145" s="21">
        <f t="shared" si="198"/>
        <v>1.0030878652699919</v>
      </c>
      <c r="W145" s="21">
        <f t="shared" si="199"/>
        <v>0.27131871043736822</v>
      </c>
      <c r="X145" s="21">
        <f t="shared" si="200"/>
        <v>0.31382659460193629</v>
      </c>
      <c r="Y145" s="21">
        <f t="shared" si="201"/>
        <v>1.3812226232768396</v>
      </c>
      <c r="Z145" s="21">
        <f t="shared" si="202"/>
        <v>0.32253715007388184</v>
      </c>
      <c r="AA145" s="21">
        <f t="shared" si="203"/>
        <v>0.3730694992510144</v>
      </c>
    </row>
    <row r="146" spans="1:27">
      <c r="A146" s="108"/>
      <c r="B146" s="21">
        <v>4</v>
      </c>
      <c r="C146" s="21">
        <v>0.29160000000000003</v>
      </c>
      <c r="D146" s="21">
        <f t="shared" si="204"/>
        <v>0.22839000000000004</v>
      </c>
      <c r="E146" s="21">
        <f t="shared" si="205"/>
        <v>0.35481000000000001</v>
      </c>
      <c r="F146" s="21">
        <v>0.30919999999999997</v>
      </c>
      <c r="G146" s="21">
        <f t="shared" si="206"/>
        <v>0.24598999999999999</v>
      </c>
      <c r="H146" s="21">
        <f t="shared" si="207"/>
        <v>0.37240999999999996</v>
      </c>
      <c r="I146" s="21"/>
      <c r="J146" s="75"/>
      <c r="K146" s="108"/>
      <c r="L146" s="21">
        <v>4</v>
      </c>
      <c r="M146" s="22">
        <f t="shared" si="192"/>
        <v>0.95704134148067665</v>
      </c>
      <c r="N146" s="22">
        <f t="shared" si="193"/>
        <v>0.69195964324394721</v>
      </c>
      <c r="O146" s="22">
        <f t="shared" si="194"/>
        <v>1.2636537624037611</v>
      </c>
      <c r="P146" s="22">
        <f t="shared" si="195"/>
        <v>1.0379803862870562</v>
      </c>
      <c r="Q146" s="21">
        <f t="shared" si="196"/>
        <v>0.7619354758809298</v>
      </c>
      <c r="R146" s="21">
        <f t="shared" si="197"/>
        <v>1.3572736412575757</v>
      </c>
      <c r="T146" s="108"/>
      <c r="U146" s="21">
        <v>4</v>
      </c>
      <c r="V146" s="21">
        <f t="shared" si="198"/>
        <v>0.95704134148067665</v>
      </c>
      <c r="W146" s="21">
        <f t="shared" si="199"/>
        <v>0.26508169823672945</v>
      </c>
      <c r="X146" s="21">
        <f t="shared" si="200"/>
        <v>0.30661242092308449</v>
      </c>
      <c r="Y146" s="21">
        <f t="shared" si="201"/>
        <v>1.0379803862870562</v>
      </c>
      <c r="Z146" s="21">
        <f t="shared" si="202"/>
        <v>0.27604491040612644</v>
      </c>
      <c r="AA146" s="21">
        <f t="shared" si="203"/>
        <v>0.31929325497051941</v>
      </c>
    </row>
    <row r="147" spans="1:27">
      <c r="A147" s="108"/>
      <c r="B147" s="21">
        <v>5</v>
      </c>
      <c r="C147" s="21">
        <v>0.17960000000000001</v>
      </c>
      <c r="D147" s="21">
        <f t="shared" si="204"/>
        <v>0.11639000000000001</v>
      </c>
      <c r="E147" s="21">
        <f t="shared" si="205"/>
        <v>0.24281000000000003</v>
      </c>
      <c r="F147" s="21">
        <v>0.37559999999999999</v>
      </c>
      <c r="G147" s="21">
        <f t="shared" si="206"/>
        <v>0.31239</v>
      </c>
      <c r="H147" s="21">
        <f t="shared" si="207"/>
        <v>0.43880999999999998</v>
      </c>
      <c r="I147" s="21"/>
      <c r="J147" s="75"/>
      <c r="K147" s="108"/>
      <c r="L147" s="21">
        <v>5</v>
      </c>
      <c r="M147" s="22">
        <f t="shared" si="192"/>
        <v>0.51216784879176736</v>
      </c>
      <c r="N147" s="22">
        <f t="shared" si="193"/>
        <v>0.30734436710004887</v>
      </c>
      <c r="O147" s="22">
        <f t="shared" si="194"/>
        <v>0.74908131358822616</v>
      </c>
      <c r="P147" s="22">
        <f t="shared" si="195"/>
        <v>1.3746521436516752</v>
      </c>
      <c r="Q147" s="21">
        <f t="shared" si="196"/>
        <v>1.0530049665489059</v>
      </c>
      <c r="R147" s="21">
        <f t="shared" si="197"/>
        <v>1.7466922366138204</v>
      </c>
      <c r="T147" s="108"/>
      <c r="U147" s="21">
        <v>5</v>
      </c>
      <c r="V147" s="21">
        <f t="shared" si="198"/>
        <v>0.51216784879176736</v>
      </c>
      <c r="W147" s="21">
        <f t="shared" si="199"/>
        <v>0.20482348169171849</v>
      </c>
      <c r="X147" s="21">
        <f t="shared" si="200"/>
        <v>0.23691346479645881</v>
      </c>
      <c r="Y147" s="21">
        <f t="shared" si="201"/>
        <v>1.3746521436516752</v>
      </c>
      <c r="Z147" s="21">
        <f t="shared" si="202"/>
        <v>0.32164717710276935</v>
      </c>
      <c r="AA147" s="21">
        <f t="shared" si="203"/>
        <v>0.37204009296214524</v>
      </c>
    </row>
    <row r="148" spans="1:27">
      <c r="A148" s="108"/>
      <c r="B148" s="21">
        <v>6</v>
      </c>
      <c r="C148" s="21">
        <v>0.318</v>
      </c>
      <c r="D148" s="21">
        <f t="shared" si="204"/>
        <v>0.25479000000000002</v>
      </c>
      <c r="E148" s="21">
        <f t="shared" si="205"/>
        <v>0.38120999999999999</v>
      </c>
      <c r="F148" s="21">
        <v>0.3014</v>
      </c>
      <c r="G148" s="21">
        <f t="shared" si="206"/>
        <v>0.23819000000000001</v>
      </c>
      <c r="H148" s="21">
        <f t="shared" si="207"/>
        <v>0.36460999999999999</v>
      </c>
      <c r="I148" s="21"/>
      <c r="J148" s="75"/>
      <c r="K148" s="108"/>
      <c r="L148" s="21">
        <v>6</v>
      </c>
      <c r="M148" s="22">
        <f t="shared" si="192"/>
        <v>1.0796966871036959</v>
      </c>
      <c r="N148" s="22">
        <f t="shared" si="193"/>
        <v>0.79800129419102084</v>
      </c>
      <c r="O148" s="22">
        <f t="shared" si="194"/>
        <v>1.4055256936264375</v>
      </c>
      <c r="P148" s="22">
        <f t="shared" si="195"/>
        <v>1.0017046589899601</v>
      </c>
      <c r="Q148" s="21">
        <f t="shared" si="196"/>
        <v>0.73057330416023825</v>
      </c>
      <c r="R148" s="21">
        <f t="shared" si="197"/>
        <v>1.3153145447175523</v>
      </c>
      <c r="T148" s="108"/>
      <c r="U148" s="21">
        <v>6</v>
      </c>
      <c r="V148" s="21">
        <f t="shared" si="198"/>
        <v>1.0796966871036959</v>
      </c>
      <c r="W148" s="21">
        <f t="shared" si="199"/>
        <v>0.28169539291267509</v>
      </c>
      <c r="X148" s="21">
        <f t="shared" si="200"/>
        <v>0.3258290065227416</v>
      </c>
      <c r="Y148" s="21">
        <f t="shared" si="201"/>
        <v>1.0017046589899601</v>
      </c>
      <c r="Z148" s="21">
        <f t="shared" si="202"/>
        <v>0.27113135482972184</v>
      </c>
      <c r="AA148" s="21">
        <f t="shared" si="203"/>
        <v>0.31360988572759219</v>
      </c>
    </row>
    <row r="149" spans="1:27">
      <c r="A149" s="108"/>
      <c r="B149" s="78">
        <v>7</v>
      </c>
      <c r="C149" s="21">
        <v>0.30819999999999997</v>
      </c>
      <c r="D149" s="21">
        <f t="shared" si="204"/>
        <v>0.24498999999999999</v>
      </c>
      <c r="E149" s="21">
        <f t="shared" si="205"/>
        <v>0.37140999999999996</v>
      </c>
      <c r="F149" s="21">
        <v>0.23150000000000001</v>
      </c>
      <c r="G149" s="21">
        <f t="shared" si="206"/>
        <v>0.16829</v>
      </c>
      <c r="H149" s="21">
        <f t="shared" si="207"/>
        <v>0.29471000000000003</v>
      </c>
      <c r="I149" s="21"/>
      <c r="K149" s="108"/>
      <c r="L149" s="78">
        <v>7</v>
      </c>
      <c r="M149" s="22">
        <f t="shared" si="192"/>
        <v>1.0332931614677077</v>
      </c>
      <c r="N149" s="22">
        <f t="shared" si="193"/>
        <v>0.75788313673762442</v>
      </c>
      <c r="O149" s="22">
        <f t="shared" si="194"/>
        <v>1.3518520623299057</v>
      </c>
      <c r="P149" s="22">
        <f t="shared" si="195"/>
        <v>0.70411931931553751</v>
      </c>
      <c r="Q149" s="21">
        <f t="shared" si="196"/>
        <v>0.47329596694812781</v>
      </c>
      <c r="R149" s="21">
        <f t="shared" si="197"/>
        <v>0.97110609111352875</v>
      </c>
      <c r="T149" s="108"/>
      <c r="U149" s="78">
        <v>7</v>
      </c>
      <c r="V149" s="21">
        <f t="shared" si="198"/>
        <v>1.0332931614677077</v>
      </c>
      <c r="W149" s="21">
        <f t="shared" si="199"/>
        <v>0.27541002473008325</v>
      </c>
      <c r="X149" s="21">
        <f t="shared" si="200"/>
        <v>0.31855890086219807</v>
      </c>
      <c r="Y149" s="21">
        <f t="shared" si="201"/>
        <v>0.70411931931553751</v>
      </c>
      <c r="Z149" s="21">
        <f t="shared" si="202"/>
        <v>0.2308233523674097</v>
      </c>
      <c r="AA149" s="21">
        <f t="shared" si="203"/>
        <v>0.26698677179799124</v>
      </c>
    </row>
    <row r="150" spans="1:27">
      <c r="A150" s="108"/>
      <c r="B150" s="78">
        <v>8</v>
      </c>
      <c r="C150" s="21">
        <v>0.28789999999999999</v>
      </c>
      <c r="D150" s="21">
        <f t="shared" si="204"/>
        <v>0.22469</v>
      </c>
      <c r="E150" s="21">
        <f t="shared" si="205"/>
        <v>0.35110999999999998</v>
      </c>
      <c r="F150" s="21">
        <v>0.26269999999999999</v>
      </c>
      <c r="G150" s="21">
        <f t="shared" si="206"/>
        <v>0.19949</v>
      </c>
      <c r="H150" s="21">
        <f t="shared" si="207"/>
        <v>0.32590999999999998</v>
      </c>
      <c r="I150" s="21"/>
      <c r="K150" s="108"/>
      <c r="L150" s="78">
        <v>8</v>
      </c>
      <c r="M150" s="22">
        <f t="shared" si="192"/>
        <v>0.94043902355183051</v>
      </c>
      <c r="N150" s="22">
        <f t="shared" si="193"/>
        <v>0.67760611308363883</v>
      </c>
      <c r="O150" s="22">
        <f t="shared" si="194"/>
        <v>1.2444503359621804</v>
      </c>
      <c r="P150" s="22">
        <f t="shared" si="195"/>
        <v>0.8310491414716763</v>
      </c>
      <c r="Q150" s="21">
        <f t="shared" si="196"/>
        <v>0.58303311560224524</v>
      </c>
      <c r="R150" s="21">
        <f t="shared" si="197"/>
        <v>1.1179221871228222</v>
      </c>
      <c r="T150" s="108"/>
      <c r="U150" s="78">
        <v>8</v>
      </c>
      <c r="V150" s="21">
        <f t="shared" si="198"/>
        <v>0.94043902355183051</v>
      </c>
      <c r="W150" s="21">
        <f t="shared" si="199"/>
        <v>0.26283291046819168</v>
      </c>
      <c r="X150" s="21">
        <f t="shared" si="200"/>
        <v>0.30401131241034984</v>
      </c>
      <c r="Y150" s="21">
        <f t="shared" si="201"/>
        <v>0.8310491414716763</v>
      </c>
      <c r="Z150" s="21">
        <f t="shared" si="202"/>
        <v>0.24801602586943106</v>
      </c>
      <c r="AA150" s="21">
        <f t="shared" si="203"/>
        <v>0.28687304565114591</v>
      </c>
    </row>
    <row r="151" spans="1:27">
      <c r="A151" s="108"/>
      <c r="B151" s="78">
        <v>9</v>
      </c>
      <c r="C151" s="21">
        <v>0.30470000000000003</v>
      </c>
      <c r="D151" s="21">
        <f t="shared" si="204"/>
        <v>0.24149000000000004</v>
      </c>
      <c r="E151" s="21">
        <f t="shared" si="205"/>
        <v>0.36791000000000001</v>
      </c>
      <c r="F151" s="21">
        <v>0.23769999999999999</v>
      </c>
      <c r="G151" s="21">
        <f t="shared" si="206"/>
        <v>0.17448999999999998</v>
      </c>
      <c r="H151" s="21">
        <f t="shared" si="207"/>
        <v>0.30091000000000001</v>
      </c>
      <c r="I151" s="21"/>
      <c r="K151" s="108"/>
      <c r="L151" s="78">
        <v>9</v>
      </c>
      <c r="M151" s="22">
        <f t="shared" si="192"/>
        <v>1.0169726070331109</v>
      </c>
      <c r="N151" s="22">
        <f t="shared" si="193"/>
        <v>0.74377320514169232</v>
      </c>
      <c r="O151" s="22">
        <f t="shared" si="194"/>
        <v>1.332974543665717</v>
      </c>
      <c r="P151" s="22">
        <f t="shared" si="195"/>
        <v>0.72862185702033844</v>
      </c>
      <c r="Q151" s="21">
        <f t="shared" si="196"/>
        <v>0.4944796303050909</v>
      </c>
      <c r="R151" s="21">
        <f t="shared" si="197"/>
        <v>0.99944747588057115</v>
      </c>
      <c r="T151" s="108"/>
      <c r="U151" s="78">
        <v>9</v>
      </c>
      <c r="V151" s="21">
        <f t="shared" si="198"/>
        <v>1.0169726070331109</v>
      </c>
      <c r="W151" s="21">
        <f t="shared" si="199"/>
        <v>0.27319940189141856</v>
      </c>
      <c r="X151" s="21">
        <f t="shared" si="200"/>
        <v>0.31600193663260612</v>
      </c>
      <c r="Y151" s="21">
        <f t="shared" si="201"/>
        <v>0.72862185702033844</v>
      </c>
      <c r="Z151" s="21">
        <f t="shared" si="202"/>
        <v>0.23414222671524754</v>
      </c>
      <c r="AA151" s="21">
        <f t="shared" si="203"/>
        <v>0.27082561886023271</v>
      </c>
    </row>
    <row r="152" spans="1:27">
      <c r="A152" s="108"/>
      <c r="B152" s="78">
        <v>10</v>
      </c>
      <c r="C152" s="21">
        <v>0.3765</v>
      </c>
      <c r="D152" s="21">
        <f t="shared" si="204"/>
        <v>0.31329000000000001</v>
      </c>
      <c r="E152" s="21">
        <f t="shared" si="205"/>
        <v>0.43970999999999999</v>
      </c>
      <c r="F152" s="21">
        <v>0.1482</v>
      </c>
      <c r="G152" s="21">
        <f t="shared" si="206"/>
        <v>8.4989999999999996E-2</v>
      </c>
      <c r="H152" s="21">
        <f t="shared" si="207"/>
        <v>0.21140999999999999</v>
      </c>
      <c r="I152" s="21"/>
      <c r="K152" s="108"/>
      <c r="L152" s="78">
        <v>10</v>
      </c>
      <c r="M152" s="22">
        <f t="shared" si="192"/>
        <v>1.3795783009563971</v>
      </c>
      <c r="N152" s="22">
        <f t="shared" si="193"/>
        <v>1.0572638747176804</v>
      </c>
      <c r="O152" s="22">
        <f t="shared" si="194"/>
        <v>1.7523901819155734</v>
      </c>
      <c r="P152" s="22">
        <f t="shared" si="195"/>
        <v>0.40669518206103827</v>
      </c>
      <c r="Q152" s="21">
        <f t="shared" si="196"/>
        <v>0.21615799725121621</v>
      </c>
      <c r="R152" s="21">
        <f t="shared" si="197"/>
        <v>0.62708409573940194</v>
      </c>
      <c r="T152" s="108"/>
      <c r="U152" s="78">
        <v>10</v>
      </c>
      <c r="V152" s="21">
        <f t="shared" si="198"/>
        <v>1.3795783009563971</v>
      </c>
      <c r="W152" s="21">
        <f t="shared" si="199"/>
        <v>0.32231442623871676</v>
      </c>
      <c r="X152" s="21">
        <f t="shared" si="200"/>
        <v>0.37281188095917628</v>
      </c>
      <c r="Y152" s="21">
        <f t="shared" si="201"/>
        <v>0.40669518206103827</v>
      </c>
      <c r="Z152" s="21">
        <f t="shared" si="202"/>
        <v>0.19053718480982207</v>
      </c>
      <c r="AA152" s="21">
        <f t="shared" si="203"/>
        <v>0.22038891367836366</v>
      </c>
    </row>
  </sheetData>
  <mergeCells count="39">
    <mergeCell ref="A32:A38"/>
    <mergeCell ref="K32:K38"/>
    <mergeCell ref="T32:T38"/>
    <mergeCell ref="T2:T8"/>
    <mergeCell ref="A12:A18"/>
    <mergeCell ref="K12:K18"/>
    <mergeCell ref="T12:T18"/>
    <mergeCell ref="A22:A28"/>
    <mergeCell ref="K22:K28"/>
    <mergeCell ref="T22:T28"/>
    <mergeCell ref="K2:K8"/>
    <mergeCell ref="A2:A8"/>
    <mergeCell ref="A42:A48"/>
    <mergeCell ref="K42:K48"/>
    <mergeCell ref="T42:T48"/>
    <mergeCell ref="A52:A58"/>
    <mergeCell ref="K52:K58"/>
    <mergeCell ref="T52:T58"/>
    <mergeCell ref="A62:A68"/>
    <mergeCell ref="K62:K68"/>
    <mergeCell ref="T62:T68"/>
    <mergeCell ref="A72:A82"/>
    <mergeCell ref="T72:T82"/>
    <mergeCell ref="K72:K82"/>
    <mergeCell ref="A86:A96"/>
    <mergeCell ref="K86:K96"/>
    <mergeCell ref="T86:T96"/>
    <mergeCell ref="A100:A110"/>
    <mergeCell ref="K100:K110"/>
    <mergeCell ref="T100:T110"/>
    <mergeCell ref="A142:A152"/>
    <mergeCell ref="K142:K152"/>
    <mergeCell ref="T142:T152"/>
    <mergeCell ref="A114:A124"/>
    <mergeCell ref="K114:K124"/>
    <mergeCell ref="T114:T124"/>
    <mergeCell ref="A128:A138"/>
    <mergeCell ref="K128:K138"/>
    <mergeCell ref="T128:T13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6:AE51"/>
  <sheetViews>
    <sheetView topLeftCell="B1" zoomScale="80" zoomScaleNormal="80" workbookViewId="0">
      <selection activeCell="X23" sqref="X23"/>
    </sheetView>
  </sheetViews>
  <sheetFormatPr defaultRowHeight="17.399999999999999"/>
  <cols>
    <col min="3" max="3" width="38.296875" bestFit="1" customWidth="1"/>
    <col min="4" max="4" width="27.8984375" bestFit="1" customWidth="1"/>
    <col min="5" max="13" width="3.3984375" bestFit="1" customWidth="1"/>
    <col min="14" max="21" width="4.3984375" bestFit="1" customWidth="1"/>
    <col min="22" max="27" width="4.3984375" customWidth="1"/>
    <col min="28" max="28" width="4.3984375" bestFit="1" customWidth="1"/>
    <col min="29" max="29" width="11.3984375" bestFit="1" customWidth="1"/>
    <col min="30" max="30" width="8.3984375" bestFit="1" customWidth="1"/>
    <col min="33" max="33" width="8.09765625" customWidth="1"/>
  </cols>
  <sheetData>
    <row r="6" spans="3:31" ht="18" thickBot="1"/>
    <row r="7" spans="3:31" ht="18" thickBot="1">
      <c r="C7" s="24" t="s">
        <v>36</v>
      </c>
      <c r="D7" s="25" t="s">
        <v>37</v>
      </c>
      <c r="E7" s="26" t="s">
        <v>38</v>
      </c>
      <c r="F7" s="27" t="s">
        <v>39</v>
      </c>
      <c r="G7" s="27" t="s">
        <v>40</v>
      </c>
      <c r="H7" s="27" t="s">
        <v>41</v>
      </c>
      <c r="I7" s="27" t="s">
        <v>42</v>
      </c>
      <c r="J7" s="27" t="s">
        <v>43</v>
      </c>
      <c r="K7" s="27" t="s">
        <v>44</v>
      </c>
      <c r="L7" s="27" t="s">
        <v>45</v>
      </c>
      <c r="M7" s="27" t="s">
        <v>46</v>
      </c>
      <c r="N7" s="27" t="s">
        <v>47</v>
      </c>
      <c r="O7" s="27" t="s">
        <v>48</v>
      </c>
      <c r="P7" s="27" t="s">
        <v>49</v>
      </c>
      <c r="Q7" s="27" t="s">
        <v>50</v>
      </c>
      <c r="R7" s="27" t="s">
        <v>51</v>
      </c>
      <c r="S7" s="27" t="s">
        <v>52</v>
      </c>
      <c r="T7" s="27" t="s">
        <v>53</v>
      </c>
      <c r="U7" s="27" t="s">
        <v>54</v>
      </c>
      <c r="V7" s="27" t="s">
        <v>55</v>
      </c>
      <c r="W7" s="27" t="s">
        <v>68</v>
      </c>
      <c r="X7" s="27" t="s">
        <v>69</v>
      </c>
      <c r="Y7" s="27" t="s">
        <v>70</v>
      </c>
      <c r="Z7" s="27" t="s">
        <v>71</v>
      </c>
      <c r="AA7" s="27" t="s">
        <v>72</v>
      </c>
      <c r="AB7" s="27" t="s">
        <v>73</v>
      </c>
      <c r="AC7" s="28" t="s">
        <v>56</v>
      </c>
      <c r="AD7" s="24" t="s">
        <v>57</v>
      </c>
    </row>
    <row r="8" spans="3:31" ht="18" thickBot="1">
      <c r="C8" s="29" t="s">
        <v>58</v>
      </c>
      <c r="D8" s="25" t="s">
        <v>59</v>
      </c>
      <c r="E8" s="30">
        <v>36</v>
      </c>
      <c r="F8" s="27">
        <v>33</v>
      </c>
      <c r="G8" s="27">
        <v>28</v>
      </c>
      <c r="H8" s="27">
        <v>23</v>
      </c>
      <c r="I8" s="27">
        <v>29</v>
      </c>
      <c r="J8" s="27">
        <v>27</v>
      </c>
      <c r="K8" s="27"/>
      <c r="L8" s="27">
        <v>24</v>
      </c>
      <c r="M8" s="27">
        <v>30</v>
      </c>
      <c r="N8" s="27">
        <v>41</v>
      </c>
      <c r="O8" s="27">
        <v>27</v>
      </c>
      <c r="P8" s="27">
        <v>24</v>
      </c>
      <c r="Q8" s="27">
        <v>23</v>
      </c>
      <c r="R8" s="27">
        <v>35</v>
      </c>
      <c r="S8" s="27">
        <v>27</v>
      </c>
      <c r="T8" s="27">
        <v>28</v>
      </c>
      <c r="U8" s="27">
        <v>34</v>
      </c>
      <c r="V8" s="27">
        <v>32</v>
      </c>
      <c r="W8" s="27">
        <v>22</v>
      </c>
      <c r="X8" s="27">
        <v>30</v>
      </c>
      <c r="Y8" s="27">
        <v>26</v>
      </c>
      <c r="Z8" s="27">
        <v>25</v>
      </c>
      <c r="AA8" s="27">
        <v>23</v>
      </c>
      <c r="AB8" s="27">
        <v>23</v>
      </c>
      <c r="AC8" s="31">
        <f t="shared" ref="AC8:AC32" si="0">SUM(E8:AB8)</f>
        <v>650</v>
      </c>
      <c r="AD8" s="32">
        <f>AC8/23</f>
        <v>28.260869565217391</v>
      </c>
      <c r="AE8">
        <f>STDEV(E8:J8,L8:AB8)</f>
        <v>5.0019758941692043</v>
      </c>
    </row>
    <row r="9" spans="3:31" ht="18" thickBot="1">
      <c r="C9" s="103" t="s">
        <v>60</v>
      </c>
      <c r="D9" s="33" t="s">
        <v>61</v>
      </c>
      <c r="E9" s="34"/>
      <c r="F9" s="35"/>
      <c r="G9" s="35"/>
      <c r="H9" s="35">
        <v>1</v>
      </c>
      <c r="I9" s="35">
        <v>1</v>
      </c>
      <c r="J9" s="35"/>
      <c r="K9" s="35"/>
      <c r="L9" s="35"/>
      <c r="M9" s="35"/>
      <c r="N9" s="35">
        <v>1</v>
      </c>
      <c r="O9" s="35">
        <v>1</v>
      </c>
      <c r="P9" s="35">
        <v>1</v>
      </c>
      <c r="Q9" s="35">
        <v>1</v>
      </c>
      <c r="R9" s="35">
        <v>1</v>
      </c>
      <c r="S9" s="35">
        <v>1</v>
      </c>
      <c r="T9" s="35">
        <v>1</v>
      </c>
      <c r="U9" s="35"/>
      <c r="V9" s="35">
        <v>1</v>
      </c>
      <c r="W9" s="35">
        <v>1</v>
      </c>
      <c r="X9" s="35"/>
      <c r="Y9" s="35">
        <v>1</v>
      </c>
      <c r="Z9" s="35">
        <v>1</v>
      </c>
      <c r="AA9" s="35"/>
      <c r="AB9" s="35">
        <v>1</v>
      </c>
      <c r="AC9" s="36">
        <f t="shared" si="0"/>
        <v>14</v>
      </c>
      <c r="AD9" s="37">
        <f>AC9/24</f>
        <v>0.58333333333333337</v>
      </c>
    </row>
    <row r="10" spans="3:31" ht="18" thickBot="1">
      <c r="C10" s="104"/>
      <c r="D10" s="58" t="s">
        <v>62</v>
      </c>
      <c r="E10" s="59">
        <v>1</v>
      </c>
      <c r="F10" s="60">
        <v>1</v>
      </c>
      <c r="G10" s="60">
        <v>1</v>
      </c>
      <c r="H10" s="60"/>
      <c r="I10" s="60"/>
      <c r="J10" s="60">
        <v>1</v>
      </c>
      <c r="K10" s="60">
        <v>1</v>
      </c>
      <c r="L10" s="60">
        <v>1</v>
      </c>
      <c r="M10" s="60">
        <v>1</v>
      </c>
      <c r="N10" s="60"/>
      <c r="O10" s="60"/>
      <c r="P10" s="60"/>
      <c r="Q10" s="60"/>
      <c r="R10" s="60"/>
      <c r="S10" s="60"/>
      <c r="T10" s="60"/>
      <c r="U10" s="60">
        <v>1</v>
      </c>
      <c r="V10" s="60"/>
      <c r="W10" s="60"/>
      <c r="X10" s="60">
        <v>1</v>
      </c>
      <c r="Y10" s="60"/>
      <c r="Z10" s="60"/>
      <c r="AA10" s="60">
        <v>1</v>
      </c>
      <c r="AB10" s="60"/>
      <c r="AC10" s="61">
        <f t="shared" si="0"/>
        <v>10</v>
      </c>
      <c r="AD10" s="63">
        <f t="shared" ref="AD10:AD51" si="1">AC10/24</f>
        <v>0.41666666666666669</v>
      </c>
    </row>
    <row r="11" spans="3:31">
      <c r="C11" s="105" t="s">
        <v>75</v>
      </c>
      <c r="D11" s="64" t="s">
        <v>74</v>
      </c>
      <c r="E11" s="34"/>
      <c r="F11" s="35"/>
      <c r="G11" s="35"/>
      <c r="H11" s="35">
        <v>1</v>
      </c>
      <c r="I11" s="35"/>
      <c r="J11" s="35"/>
      <c r="K11" s="35"/>
      <c r="L11" s="35">
        <v>1</v>
      </c>
      <c r="M11" s="35"/>
      <c r="N11" s="35"/>
      <c r="O11" s="35"/>
      <c r="P11" s="35">
        <v>1</v>
      </c>
      <c r="Q11" s="35">
        <v>1</v>
      </c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67"/>
      <c r="AC11" s="64">
        <f t="shared" si="0"/>
        <v>4</v>
      </c>
      <c r="AD11" s="37">
        <f t="shared" si="1"/>
        <v>0.16666666666666666</v>
      </c>
    </row>
    <row r="12" spans="3:31">
      <c r="C12" s="106"/>
      <c r="D12" s="65" t="s">
        <v>76</v>
      </c>
      <c r="E12" s="49">
        <v>1</v>
      </c>
      <c r="F12" s="50">
        <v>1</v>
      </c>
      <c r="G12" s="50">
        <v>1</v>
      </c>
      <c r="H12" s="50"/>
      <c r="I12" s="50"/>
      <c r="J12" s="50">
        <v>1</v>
      </c>
      <c r="K12" s="50">
        <v>1</v>
      </c>
      <c r="L12" s="50"/>
      <c r="M12" s="50">
        <v>1</v>
      </c>
      <c r="N12" s="50">
        <v>1</v>
      </c>
      <c r="O12" s="50"/>
      <c r="P12" s="50"/>
      <c r="Q12" s="50"/>
      <c r="R12" s="50">
        <v>1</v>
      </c>
      <c r="S12" s="50">
        <v>1</v>
      </c>
      <c r="T12" s="50">
        <v>1</v>
      </c>
      <c r="U12" s="50">
        <v>1</v>
      </c>
      <c r="V12" s="50">
        <v>1</v>
      </c>
      <c r="W12" s="50">
        <v>1</v>
      </c>
      <c r="X12" s="50"/>
      <c r="Y12" s="50">
        <v>1</v>
      </c>
      <c r="Z12" s="50">
        <v>1</v>
      </c>
      <c r="AA12" s="50">
        <v>1</v>
      </c>
      <c r="AB12" s="68">
        <v>1</v>
      </c>
      <c r="AC12" s="65">
        <f t="shared" si="0"/>
        <v>17</v>
      </c>
      <c r="AD12" s="52">
        <f t="shared" si="1"/>
        <v>0.70833333333333337</v>
      </c>
    </row>
    <row r="13" spans="3:31" ht="18" thickBot="1">
      <c r="C13" s="107"/>
      <c r="D13" s="66" t="s">
        <v>77</v>
      </c>
      <c r="E13" s="39"/>
      <c r="F13" s="40"/>
      <c r="G13" s="40"/>
      <c r="H13" s="40"/>
      <c r="I13" s="40">
        <v>1</v>
      </c>
      <c r="J13" s="40"/>
      <c r="K13" s="40"/>
      <c r="L13" s="40"/>
      <c r="M13" s="40"/>
      <c r="N13" s="40"/>
      <c r="O13" s="40">
        <v>1</v>
      </c>
      <c r="P13" s="40"/>
      <c r="Q13" s="40"/>
      <c r="R13" s="40"/>
      <c r="S13" s="40"/>
      <c r="T13" s="40"/>
      <c r="U13" s="40"/>
      <c r="V13" s="40"/>
      <c r="W13" s="40"/>
      <c r="X13" s="40">
        <v>1</v>
      </c>
      <c r="Y13" s="40"/>
      <c r="Z13" s="40"/>
      <c r="AA13" s="40"/>
      <c r="AB13" s="69"/>
      <c r="AC13" s="66">
        <f t="shared" si="0"/>
        <v>3</v>
      </c>
      <c r="AD13" s="42">
        <f t="shared" si="1"/>
        <v>0.125</v>
      </c>
    </row>
    <row r="14" spans="3:31">
      <c r="C14" s="100" t="s">
        <v>63</v>
      </c>
      <c r="D14" s="33" t="s">
        <v>78</v>
      </c>
      <c r="E14" s="44">
        <v>1</v>
      </c>
      <c r="F14" s="45">
        <v>1</v>
      </c>
      <c r="G14" s="45">
        <v>1</v>
      </c>
      <c r="H14" s="45"/>
      <c r="I14" s="45">
        <v>1</v>
      </c>
      <c r="J14" s="45">
        <v>1</v>
      </c>
      <c r="K14" s="45">
        <v>1</v>
      </c>
      <c r="L14" s="45">
        <v>1</v>
      </c>
      <c r="M14" s="45">
        <v>1</v>
      </c>
      <c r="N14" s="45">
        <v>1</v>
      </c>
      <c r="O14" s="45"/>
      <c r="P14" s="45"/>
      <c r="Q14" s="45"/>
      <c r="R14" s="45">
        <v>1</v>
      </c>
      <c r="S14" s="45"/>
      <c r="T14" s="45">
        <v>1</v>
      </c>
      <c r="U14" s="45"/>
      <c r="V14" s="45"/>
      <c r="W14" s="45">
        <v>1</v>
      </c>
      <c r="X14" s="45">
        <v>1</v>
      </c>
      <c r="Y14" s="45">
        <v>1</v>
      </c>
      <c r="Z14" s="45">
        <v>1</v>
      </c>
      <c r="AA14" s="45"/>
      <c r="AB14" s="45">
        <v>1</v>
      </c>
      <c r="AC14" s="36">
        <f t="shared" si="0"/>
        <v>16</v>
      </c>
      <c r="AD14" s="37">
        <f t="shared" si="1"/>
        <v>0.66666666666666663</v>
      </c>
    </row>
    <row r="15" spans="3:31">
      <c r="C15" s="101"/>
      <c r="D15" s="48" t="s">
        <v>93</v>
      </c>
      <c r="E15" s="49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>
        <v>1</v>
      </c>
      <c r="AB15" s="50"/>
      <c r="AC15" s="51">
        <f t="shared" si="0"/>
        <v>1</v>
      </c>
      <c r="AD15" s="52">
        <f t="shared" si="1"/>
        <v>4.1666666666666664E-2</v>
      </c>
    </row>
    <row r="16" spans="3:31">
      <c r="C16" s="101"/>
      <c r="D16" s="48" t="s">
        <v>95</v>
      </c>
      <c r="E16" s="49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>
        <v>1</v>
      </c>
      <c r="V16" s="50">
        <v>1</v>
      </c>
      <c r="W16" s="50"/>
      <c r="X16" s="50"/>
      <c r="Y16" s="50"/>
      <c r="Z16" s="50"/>
      <c r="AA16" s="50"/>
      <c r="AB16" s="50"/>
      <c r="AC16" s="51">
        <f t="shared" si="0"/>
        <v>2</v>
      </c>
      <c r="AD16" s="52">
        <f t="shared" si="1"/>
        <v>8.3333333333333329E-2</v>
      </c>
    </row>
    <row r="17" spans="3:30">
      <c r="C17" s="101"/>
      <c r="D17" s="48" t="s">
        <v>99</v>
      </c>
      <c r="E17" s="49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>
        <v>1</v>
      </c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1">
        <f t="shared" si="0"/>
        <v>1</v>
      </c>
      <c r="AD17" s="52">
        <f t="shared" si="1"/>
        <v>4.1666666666666664E-2</v>
      </c>
    </row>
    <row r="18" spans="3:30">
      <c r="C18" s="101"/>
      <c r="D18" s="65" t="s">
        <v>103</v>
      </c>
      <c r="E18" s="49"/>
      <c r="F18" s="50"/>
      <c r="G18" s="50"/>
      <c r="H18" s="50">
        <v>1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1">
        <f t="shared" si="0"/>
        <v>1</v>
      </c>
      <c r="AD18" s="52">
        <f t="shared" si="1"/>
        <v>4.1666666666666664E-2</v>
      </c>
    </row>
    <row r="19" spans="3:30" ht="18" thickBot="1">
      <c r="C19" s="101"/>
      <c r="D19" s="71" t="s">
        <v>100</v>
      </c>
      <c r="E19" s="49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>
        <v>1</v>
      </c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1">
        <f t="shared" si="0"/>
        <v>1</v>
      </c>
      <c r="AD19" s="52">
        <f t="shared" si="1"/>
        <v>4.1666666666666664E-2</v>
      </c>
    </row>
    <row r="20" spans="3:30" ht="18" thickBot="1">
      <c r="C20" s="102"/>
      <c r="D20" s="43" t="s">
        <v>101</v>
      </c>
      <c r="E20" s="44"/>
      <c r="F20" s="45"/>
      <c r="G20" s="45"/>
      <c r="H20" s="45"/>
      <c r="I20" s="45"/>
      <c r="J20" s="45"/>
      <c r="K20" s="45"/>
      <c r="L20" s="45"/>
      <c r="M20" s="45"/>
      <c r="N20" s="45"/>
      <c r="O20" s="45">
        <v>1</v>
      </c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6">
        <f t="shared" si="0"/>
        <v>1</v>
      </c>
      <c r="AD20" s="37">
        <f t="shared" si="1"/>
        <v>4.1666666666666664E-2</v>
      </c>
    </row>
    <row r="21" spans="3:30">
      <c r="C21" s="100" t="s">
        <v>79</v>
      </c>
      <c r="D21" s="33" t="s">
        <v>9</v>
      </c>
      <c r="E21" s="34"/>
      <c r="F21" s="35">
        <v>1</v>
      </c>
      <c r="G21" s="35">
        <v>1</v>
      </c>
      <c r="H21" s="35"/>
      <c r="I21" s="35"/>
      <c r="J21" s="35"/>
      <c r="K21" s="35"/>
      <c r="L21" s="35"/>
      <c r="M21" s="35"/>
      <c r="N21" s="35">
        <v>1</v>
      </c>
      <c r="O21" s="35">
        <v>1</v>
      </c>
      <c r="P21" s="35">
        <v>1</v>
      </c>
      <c r="Q21" s="35"/>
      <c r="R21" s="35"/>
      <c r="S21" s="35"/>
      <c r="T21" s="35">
        <v>1</v>
      </c>
      <c r="U21" s="35">
        <v>1</v>
      </c>
      <c r="V21" s="35">
        <v>1</v>
      </c>
      <c r="W21" s="35"/>
      <c r="X21" s="35"/>
      <c r="Y21" s="35"/>
      <c r="Z21" s="35"/>
      <c r="AA21" s="35"/>
      <c r="AB21" s="35"/>
      <c r="AC21" s="36">
        <f t="shared" si="0"/>
        <v>8</v>
      </c>
      <c r="AD21" s="37">
        <f t="shared" si="1"/>
        <v>0.33333333333333331</v>
      </c>
    </row>
    <row r="22" spans="3:30">
      <c r="C22" s="101"/>
      <c r="D22" s="43" t="s">
        <v>98</v>
      </c>
      <c r="E22" s="44"/>
      <c r="F22" s="45"/>
      <c r="G22" s="45"/>
      <c r="H22" s="45">
        <v>1</v>
      </c>
      <c r="I22" s="45"/>
      <c r="J22" s="45">
        <v>1</v>
      </c>
      <c r="K22" s="45"/>
      <c r="L22" s="45"/>
      <c r="M22" s="45">
        <v>1</v>
      </c>
      <c r="N22" s="45"/>
      <c r="O22" s="45"/>
      <c r="P22" s="45"/>
      <c r="Q22" s="45"/>
      <c r="R22" s="45"/>
      <c r="S22" s="45">
        <v>1</v>
      </c>
      <c r="T22" s="45"/>
      <c r="U22" s="45"/>
      <c r="V22" s="45"/>
      <c r="W22" s="45"/>
      <c r="X22" s="45"/>
      <c r="Y22" s="45"/>
      <c r="Z22" s="45"/>
      <c r="AA22" s="45"/>
      <c r="AB22" s="45"/>
      <c r="AC22" s="46">
        <f t="shared" si="0"/>
        <v>4</v>
      </c>
      <c r="AD22" s="47">
        <f t="shared" si="1"/>
        <v>0.16666666666666666</v>
      </c>
    </row>
    <row r="23" spans="3:30" ht="18" thickBot="1">
      <c r="C23" s="102"/>
      <c r="D23" s="58" t="s">
        <v>10</v>
      </c>
      <c r="E23" s="59">
        <v>1</v>
      </c>
      <c r="F23" s="60"/>
      <c r="G23" s="60"/>
      <c r="H23" s="60"/>
      <c r="I23" s="60">
        <v>1</v>
      </c>
      <c r="J23" s="60"/>
      <c r="K23" s="60">
        <v>1</v>
      </c>
      <c r="L23" s="60">
        <v>1</v>
      </c>
      <c r="M23" s="60"/>
      <c r="N23" s="60"/>
      <c r="O23" s="60"/>
      <c r="P23" s="60"/>
      <c r="Q23" s="60">
        <v>1</v>
      </c>
      <c r="R23" s="60">
        <v>1</v>
      </c>
      <c r="S23" s="60"/>
      <c r="T23" s="60"/>
      <c r="U23" s="60"/>
      <c r="V23" s="60"/>
      <c r="W23" s="60">
        <v>1</v>
      </c>
      <c r="X23" s="60">
        <v>1</v>
      </c>
      <c r="Y23" s="60">
        <v>1</v>
      </c>
      <c r="Z23" s="60">
        <v>1</v>
      </c>
      <c r="AA23" s="60">
        <v>1</v>
      </c>
      <c r="AB23" s="60">
        <v>1</v>
      </c>
      <c r="AC23" s="61">
        <f t="shared" si="0"/>
        <v>12</v>
      </c>
      <c r="AD23" s="62">
        <f t="shared" si="1"/>
        <v>0.5</v>
      </c>
    </row>
    <row r="24" spans="3:30">
      <c r="C24" s="100" t="s">
        <v>94</v>
      </c>
      <c r="D24" s="64" t="s">
        <v>102</v>
      </c>
      <c r="E24" s="34">
        <v>1</v>
      </c>
      <c r="F24" s="35"/>
      <c r="G24" s="35"/>
      <c r="H24" s="35"/>
      <c r="I24" s="35">
        <v>1</v>
      </c>
      <c r="J24" s="35"/>
      <c r="K24" s="35"/>
      <c r="L24" s="35">
        <v>1</v>
      </c>
      <c r="M24" s="35">
        <v>1</v>
      </c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>
        <v>1</v>
      </c>
      <c r="Y24" s="35">
        <v>1</v>
      </c>
      <c r="Z24" s="35"/>
      <c r="AA24" s="35">
        <v>1</v>
      </c>
      <c r="AB24" s="35">
        <v>1</v>
      </c>
      <c r="AC24" s="36">
        <f t="shared" si="0"/>
        <v>8</v>
      </c>
      <c r="AD24" s="37">
        <f t="shared" si="1"/>
        <v>0.33333333333333331</v>
      </c>
    </row>
    <row r="25" spans="3:30">
      <c r="C25" s="101"/>
      <c r="D25" s="71" t="s">
        <v>96</v>
      </c>
      <c r="E25" s="54"/>
      <c r="F25" s="55">
        <v>1</v>
      </c>
      <c r="G25" s="55">
        <v>1</v>
      </c>
      <c r="H25" s="55"/>
      <c r="I25" s="55"/>
      <c r="J25" s="55"/>
      <c r="K25" s="55"/>
      <c r="L25" s="55"/>
      <c r="M25" s="55"/>
      <c r="N25" s="55">
        <v>1</v>
      </c>
      <c r="O25" s="55">
        <v>1</v>
      </c>
      <c r="P25" s="55">
        <v>1</v>
      </c>
      <c r="Q25" s="55"/>
      <c r="R25" s="55"/>
      <c r="S25" s="55"/>
      <c r="T25" s="55">
        <v>1</v>
      </c>
      <c r="U25" s="55">
        <v>1</v>
      </c>
      <c r="V25" s="55">
        <v>1</v>
      </c>
      <c r="W25" s="55"/>
      <c r="X25" s="55"/>
      <c r="Y25" s="55"/>
      <c r="Z25" s="55"/>
      <c r="AA25" s="55"/>
      <c r="AB25" s="55"/>
      <c r="AC25" s="56">
        <f t="shared" si="0"/>
        <v>8</v>
      </c>
      <c r="AD25" s="57">
        <f t="shared" si="1"/>
        <v>0.33333333333333331</v>
      </c>
    </row>
    <row r="26" spans="3:30">
      <c r="C26" s="101"/>
      <c r="D26" s="65" t="s">
        <v>97</v>
      </c>
      <c r="E26" s="49"/>
      <c r="F26" s="50"/>
      <c r="G26" s="50"/>
      <c r="H26" s="50"/>
      <c r="I26" s="50"/>
      <c r="J26" s="50"/>
      <c r="K26" s="50">
        <v>1</v>
      </c>
      <c r="L26" s="50"/>
      <c r="M26" s="50"/>
      <c r="N26" s="50"/>
      <c r="O26" s="50"/>
      <c r="P26" s="50"/>
      <c r="Q26" s="50">
        <v>1</v>
      </c>
      <c r="R26" s="50">
        <v>1</v>
      </c>
      <c r="S26" s="50"/>
      <c r="T26" s="50"/>
      <c r="U26" s="50"/>
      <c r="V26" s="50"/>
      <c r="W26" s="50">
        <v>1</v>
      </c>
      <c r="X26" s="50"/>
      <c r="Y26" s="50"/>
      <c r="Z26" s="50">
        <v>1</v>
      </c>
      <c r="AA26" s="50"/>
      <c r="AB26" s="50"/>
      <c r="AC26" s="51">
        <f t="shared" si="0"/>
        <v>5</v>
      </c>
      <c r="AD26" s="52">
        <f t="shared" si="1"/>
        <v>0.20833333333333334</v>
      </c>
    </row>
    <row r="27" spans="3:30" ht="18" thickBot="1">
      <c r="C27" s="102"/>
      <c r="D27" s="43" t="s">
        <v>77</v>
      </c>
      <c r="E27" s="44"/>
      <c r="F27" s="45"/>
      <c r="G27" s="45"/>
      <c r="H27" s="45">
        <v>1</v>
      </c>
      <c r="I27" s="45"/>
      <c r="J27" s="45">
        <v>1</v>
      </c>
      <c r="K27" s="45"/>
      <c r="L27" s="45"/>
      <c r="M27" s="45"/>
      <c r="N27" s="45"/>
      <c r="O27" s="45"/>
      <c r="P27" s="45"/>
      <c r="Q27" s="45"/>
      <c r="R27" s="45"/>
      <c r="S27" s="45">
        <v>1</v>
      </c>
      <c r="T27" s="45"/>
      <c r="U27" s="45"/>
      <c r="V27" s="45"/>
      <c r="W27" s="45"/>
      <c r="X27" s="45"/>
      <c r="Y27" s="45"/>
      <c r="Z27" s="45"/>
      <c r="AA27" s="45"/>
      <c r="AB27" s="45"/>
      <c r="AC27" s="46">
        <f t="shared" si="0"/>
        <v>3</v>
      </c>
      <c r="AD27" s="47">
        <f t="shared" si="1"/>
        <v>0.125</v>
      </c>
    </row>
    <row r="28" spans="3:30">
      <c r="C28" s="100" t="s">
        <v>80</v>
      </c>
      <c r="D28" s="33" t="s">
        <v>81</v>
      </c>
      <c r="E28" s="34"/>
      <c r="F28" s="35">
        <v>1</v>
      </c>
      <c r="G28" s="35">
        <v>1</v>
      </c>
      <c r="H28" s="35"/>
      <c r="I28" s="35"/>
      <c r="J28" s="35">
        <v>1</v>
      </c>
      <c r="K28" s="35"/>
      <c r="L28" s="35"/>
      <c r="M28" s="35"/>
      <c r="N28" s="35">
        <v>1</v>
      </c>
      <c r="O28" s="35"/>
      <c r="P28" s="35">
        <v>1</v>
      </c>
      <c r="Q28" s="35"/>
      <c r="R28" s="35"/>
      <c r="S28" s="35">
        <v>1</v>
      </c>
      <c r="T28" s="35"/>
      <c r="U28" s="35"/>
      <c r="V28" s="35"/>
      <c r="W28" s="35"/>
      <c r="X28" s="35"/>
      <c r="Y28" s="35"/>
      <c r="Z28" s="35"/>
      <c r="AA28" s="35"/>
      <c r="AB28" s="35"/>
      <c r="AC28" s="36">
        <f t="shared" si="0"/>
        <v>6</v>
      </c>
      <c r="AD28" s="37">
        <f t="shared" si="1"/>
        <v>0.25</v>
      </c>
    </row>
    <row r="29" spans="3:30">
      <c r="C29" s="101"/>
      <c r="D29" s="48" t="s">
        <v>82</v>
      </c>
      <c r="E29" s="49">
        <v>1</v>
      </c>
      <c r="F29" s="50"/>
      <c r="G29" s="50"/>
      <c r="H29" s="50">
        <v>1</v>
      </c>
      <c r="I29" s="50">
        <v>1</v>
      </c>
      <c r="J29" s="50"/>
      <c r="K29" s="50">
        <v>1</v>
      </c>
      <c r="L29" s="50">
        <v>1</v>
      </c>
      <c r="M29" s="50">
        <v>1</v>
      </c>
      <c r="N29" s="50"/>
      <c r="O29" s="50">
        <v>1</v>
      </c>
      <c r="P29" s="50"/>
      <c r="Q29" s="50">
        <v>1</v>
      </c>
      <c r="R29" s="50"/>
      <c r="S29" s="50"/>
      <c r="T29" s="50">
        <v>1</v>
      </c>
      <c r="U29" s="50">
        <v>1</v>
      </c>
      <c r="V29" s="50">
        <v>1</v>
      </c>
      <c r="W29" s="50">
        <v>1</v>
      </c>
      <c r="X29" s="50">
        <v>1</v>
      </c>
      <c r="Y29" s="50">
        <v>1</v>
      </c>
      <c r="Z29" s="50"/>
      <c r="AA29" s="50">
        <v>1</v>
      </c>
      <c r="AB29" s="50">
        <v>1</v>
      </c>
      <c r="AC29" s="51">
        <f t="shared" si="0"/>
        <v>16</v>
      </c>
      <c r="AD29" s="52">
        <f t="shared" si="1"/>
        <v>0.66666666666666663</v>
      </c>
    </row>
    <row r="30" spans="3:30" ht="18" thickBot="1">
      <c r="C30" s="102"/>
      <c r="D30" s="38" t="s">
        <v>83</v>
      </c>
      <c r="E30" s="39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>
        <v>1</v>
      </c>
      <c r="S30" s="40"/>
      <c r="T30" s="40"/>
      <c r="U30" s="40"/>
      <c r="V30" s="40"/>
      <c r="W30" s="40"/>
      <c r="X30" s="40"/>
      <c r="Y30" s="40"/>
      <c r="Z30" s="40">
        <v>1</v>
      </c>
      <c r="AA30" s="40"/>
      <c r="AB30" s="40"/>
      <c r="AC30" s="41">
        <f t="shared" si="0"/>
        <v>2</v>
      </c>
      <c r="AD30" s="42">
        <f t="shared" si="1"/>
        <v>8.3333333333333329E-2</v>
      </c>
    </row>
    <row r="31" spans="3:30">
      <c r="C31" s="97" t="s">
        <v>84</v>
      </c>
      <c r="D31" s="53">
        <v>1</v>
      </c>
      <c r="E31" s="54"/>
      <c r="F31" s="55"/>
      <c r="G31" s="55"/>
      <c r="H31" s="55">
        <v>1</v>
      </c>
      <c r="I31" s="55"/>
      <c r="J31" s="55"/>
      <c r="K31" s="55"/>
      <c r="L31" s="55"/>
      <c r="M31" s="55">
        <v>1</v>
      </c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6">
        <f t="shared" si="0"/>
        <v>2</v>
      </c>
      <c r="AD31" s="57">
        <f t="shared" si="1"/>
        <v>8.3333333333333329E-2</v>
      </c>
    </row>
    <row r="32" spans="3:30">
      <c r="C32" s="98"/>
      <c r="D32" s="48">
        <v>2</v>
      </c>
      <c r="E32" s="49"/>
      <c r="F32" s="50"/>
      <c r="G32" s="50">
        <v>1</v>
      </c>
      <c r="H32" s="50"/>
      <c r="I32" s="50">
        <v>1</v>
      </c>
      <c r="J32" s="50"/>
      <c r="K32" s="50">
        <v>1</v>
      </c>
      <c r="L32" s="50">
        <v>1</v>
      </c>
      <c r="M32" s="50"/>
      <c r="N32" s="50">
        <v>1</v>
      </c>
      <c r="O32" s="50">
        <v>1</v>
      </c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>
        <v>1</v>
      </c>
      <c r="AA32" s="50"/>
      <c r="AB32" s="50"/>
      <c r="AC32" s="51">
        <f t="shared" si="0"/>
        <v>7</v>
      </c>
      <c r="AD32" s="52">
        <f t="shared" si="1"/>
        <v>0.29166666666666669</v>
      </c>
    </row>
    <row r="33" spans="3:30">
      <c r="C33" s="98"/>
      <c r="D33" s="48">
        <v>3</v>
      </c>
      <c r="E33" s="49">
        <v>1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>
        <v>1</v>
      </c>
      <c r="Q33" s="50">
        <v>1</v>
      </c>
      <c r="R33" s="50"/>
      <c r="S33" s="50">
        <v>1</v>
      </c>
      <c r="T33" s="50"/>
      <c r="U33" s="50">
        <v>1</v>
      </c>
      <c r="V33" s="50">
        <v>1</v>
      </c>
      <c r="W33" s="50">
        <v>1</v>
      </c>
      <c r="X33" s="50">
        <v>1</v>
      </c>
      <c r="Y33" s="50">
        <v>1</v>
      </c>
      <c r="Z33" s="50"/>
      <c r="AA33" s="50"/>
      <c r="AB33" s="50">
        <v>1</v>
      </c>
      <c r="AC33" s="51">
        <f t="shared" ref="AC33:AC51" si="2">SUM(E33:AB33)</f>
        <v>10</v>
      </c>
      <c r="AD33" s="52">
        <f t="shared" si="1"/>
        <v>0.41666666666666669</v>
      </c>
    </row>
    <row r="34" spans="3:30">
      <c r="C34" s="98"/>
      <c r="D34" s="48">
        <v>4</v>
      </c>
      <c r="E34" s="49"/>
      <c r="F34" s="50"/>
      <c r="G34" s="50"/>
      <c r="H34" s="50"/>
      <c r="I34" s="50"/>
      <c r="J34" s="50">
        <v>1</v>
      </c>
      <c r="K34" s="50"/>
      <c r="L34" s="50"/>
      <c r="M34" s="50"/>
      <c r="N34" s="50"/>
      <c r="O34" s="50"/>
      <c r="P34" s="50"/>
      <c r="Q34" s="50"/>
      <c r="R34" s="50">
        <v>1</v>
      </c>
      <c r="S34" s="50"/>
      <c r="T34" s="50">
        <v>1</v>
      </c>
      <c r="U34" s="50"/>
      <c r="V34" s="50"/>
      <c r="W34" s="50"/>
      <c r="X34" s="50"/>
      <c r="Y34" s="50"/>
      <c r="Z34" s="50"/>
      <c r="AA34" s="50">
        <v>1</v>
      </c>
      <c r="AB34" s="50"/>
      <c r="AC34" s="51">
        <f t="shared" si="2"/>
        <v>4</v>
      </c>
      <c r="AD34" s="52">
        <f t="shared" si="1"/>
        <v>0.16666666666666666</v>
      </c>
    </row>
    <row r="35" spans="3:30">
      <c r="C35" s="98"/>
      <c r="D35" s="48">
        <v>5</v>
      </c>
      <c r="E35" s="49"/>
      <c r="F35" s="50">
        <v>1</v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1">
        <f t="shared" si="2"/>
        <v>1</v>
      </c>
      <c r="AD35" s="52">
        <f t="shared" si="1"/>
        <v>4.1666666666666664E-2</v>
      </c>
    </row>
    <row r="36" spans="3:30">
      <c r="C36" s="98"/>
      <c r="D36" s="48">
        <v>6</v>
      </c>
      <c r="E36" s="49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1">
        <f t="shared" si="2"/>
        <v>0</v>
      </c>
      <c r="AD36" s="52">
        <f t="shared" si="1"/>
        <v>0</v>
      </c>
    </row>
    <row r="37" spans="3:30" ht="18" thickBot="1">
      <c r="C37" s="99"/>
      <c r="D37" s="58">
        <v>7</v>
      </c>
      <c r="E37" s="59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1">
        <f t="shared" si="2"/>
        <v>0</v>
      </c>
      <c r="AD37" s="62">
        <f t="shared" si="1"/>
        <v>0</v>
      </c>
    </row>
    <row r="38" spans="3:30">
      <c r="C38" s="100" t="s">
        <v>85</v>
      </c>
      <c r="D38" s="33" t="s">
        <v>88</v>
      </c>
      <c r="E38" s="34">
        <v>1</v>
      </c>
      <c r="F38" s="35">
        <v>1</v>
      </c>
      <c r="G38" s="35"/>
      <c r="H38" s="35">
        <v>1</v>
      </c>
      <c r="I38" s="35">
        <v>1</v>
      </c>
      <c r="J38" s="35">
        <v>1</v>
      </c>
      <c r="K38" s="35">
        <v>1</v>
      </c>
      <c r="L38" s="35">
        <v>1</v>
      </c>
      <c r="M38" s="35">
        <v>1</v>
      </c>
      <c r="N38" s="35">
        <v>1</v>
      </c>
      <c r="O38" s="35">
        <v>1</v>
      </c>
      <c r="P38" s="35">
        <v>1</v>
      </c>
      <c r="Q38" s="35">
        <v>1</v>
      </c>
      <c r="R38" s="35">
        <v>1</v>
      </c>
      <c r="S38" s="35">
        <v>1</v>
      </c>
      <c r="T38" s="35">
        <v>1</v>
      </c>
      <c r="U38" s="35">
        <v>1</v>
      </c>
      <c r="V38" s="35"/>
      <c r="W38" s="35">
        <v>1</v>
      </c>
      <c r="X38" s="35">
        <v>1</v>
      </c>
      <c r="Y38" s="35">
        <v>1</v>
      </c>
      <c r="Z38" s="35">
        <v>1</v>
      </c>
      <c r="AA38" s="35">
        <v>1</v>
      </c>
      <c r="AB38" s="35">
        <v>1</v>
      </c>
      <c r="AC38" s="36">
        <f t="shared" si="2"/>
        <v>22</v>
      </c>
      <c r="AD38" s="37">
        <f t="shared" si="1"/>
        <v>0.91666666666666663</v>
      </c>
    </row>
    <row r="39" spans="3:30">
      <c r="C39" s="101"/>
      <c r="D39" s="48" t="s">
        <v>89</v>
      </c>
      <c r="E39" s="49"/>
      <c r="F39" s="50"/>
      <c r="G39" s="50">
        <v>1</v>
      </c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>
        <v>1</v>
      </c>
      <c r="W39" s="50"/>
      <c r="X39" s="50"/>
      <c r="Y39" s="50"/>
      <c r="Z39" s="50"/>
      <c r="AA39" s="50"/>
      <c r="AB39" s="50"/>
      <c r="AC39" s="51">
        <f t="shared" si="2"/>
        <v>2</v>
      </c>
      <c r="AD39" s="52">
        <f t="shared" si="1"/>
        <v>8.3333333333333329E-2</v>
      </c>
    </row>
    <row r="40" spans="3:30">
      <c r="C40" s="101"/>
      <c r="D40" s="48" t="s">
        <v>90</v>
      </c>
      <c r="E40" s="49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1">
        <f t="shared" si="2"/>
        <v>0</v>
      </c>
      <c r="AD40" s="52">
        <f t="shared" si="1"/>
        <v>0</v>
      </c>
    </row>
    <row r="41" spans="3:30" ht="18" thickBot="1">
      <c r="C41" s="102"/>
      <c r="D41" s="38" t="s">
        <v>64</v>
      </c>
      <c r="E41" s="39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1">
        <f t="shared" si="2"/>
        <v>0</v>
      </c>
      <c r="AD41" s="42">
        <f t="shared" si="1"/>
        <v>0</v>
      </c>
    </row>
    <row r="42" spans="3:30">
      <c r="C42" s="100" t="s">
        <v>86</v>
      </c>
      <c r="D42" s="33" t="s">
        <v>65</v>
      </c>
      <c r="E42" s="34"/>
      <c r="F42" s="35"/>
      <c r="G42" s="35"/>
      <c r="H42" s="35">
        <v>1</v>
      </c>
      <c r="I42" s="35"/>
      <c r="J42" s="35">
        <v>1</v>
      </c>
      <c r="K42" s="35">
        <v>1</v>
      </c>
      <c r="L42" s="35"/>
      <c r="M42" s="35">
        <v>1</v>
      </c>
      <c r="N42" s="35">
        <v>1</v>
      </c>
      <c r="O42" s="35"/>
      <c r="P42" s="35"/>
      <c r="Q42" s="35"/>
      <c r="R42" s="35"/>
      <c r="S42" s="35"/>
      <c r="T42" s="35">
        <v>1</v>
      </c>
      <c r="U42" s="35"/>
      <c r="V42" s="35"/>
      <c r="W42" s="35">
        <v>1</v>
      </c>
      <c r="X42" s="35"/>
      <c r="Y42" s="35"/>
      <c r="Z42" s="35"/>
      <c r="AA42" s="35"/>
      <c r="AB42" s="67"/>
      <c r="AC42" s="56">
        <f t="shared" si="2"/>
        <v>7</v>
      </c>
      <c r="AD42" s="57">
        <f t="shared" si="1"/>
        <v>0.29166666666666669</v>
      </c>
    </row>
    <row r="43" spans="3:30">
      <c r="C43" s="101"/>
      <c r="D43" s="53" t="s">
        <v>91</v>
      </c>
      <c r="E43" s="54">
        <v>1</v>
      </c>
      <c r="F43" s="55">
        <v>1</v>
      </c>
      <c r="G43" s="55">
        <v>1</v>
      </c>
      <c r="H43" s="55"/>
      <c r="I43" s="55">
        <v>1</v>
      </c>
      <c r="J43" s="55"/>
      <c r="K43" s="55"/>
      <c r="L43" s="55">
        <v>1</v>
      </c>
      <c r="M43" s="55"/>
      <c r="N43" s="55"/>
      <c r="O43" s="55">
        <v>1</v>
      </c>
      <c r="P43" s="55"/>
      <c r="Q43" s="55">
        <v>1</v>
      </c>
      <c r="R43" s="55">
        <v>1</v>
      </c>
      <c r="S43" s="55">
        <v>1</v>
      </c>
      <c r="T43" s="55"/>
      <c r="U43" s="55">
        <v>1</v>
      </c>
      <c r="V43" s="55">
        <v>1</v>
      </c>
      <c r="W43" s="55"/>
      <c r="X43" s="55">
        <v>1</v>
      </c>
      <c r="Y43" s="55">
        <v>1</v>
      </c>
      <c r="Z43" s="55">
        <v>1</v>
      </c>
      <c r="AA43" s="55">
        <v>1</v>
      </c>
      <c r="AB43" s="70">
        <v>1</v>
      </c>
      <c r="AC43" s="51">
        <f>SUM(E43:AB43)</f>
        <v>16</v>
      </c>
      <c r="AD43" s="52">
        <f t="shared" si="1"/>
        <v>0.66666666666666663</v>
      </c>
    </row>
    <row r="44" spans="3:30">
      <c r="C44" s="101"/>
      <c r="D44" s="48" t="s">
        <v>92</v>
      </c>
      <c r="E44" s="49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>
        <v>1</v>
      </c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68"/>
      <c r="AC44" s="51">
        <f t="shared" si="2"/>
        <v>1</v>
      </c>
      <c r="AD44" s="52">
        <f t="shared" si="1"/>
        <v>4.1666666666666664E-2</v>
      </c>
    </row>
    <row r="45" spans="3:30">
      <c r="C45" s="101"/>
      <c r="D45" s="48" t="s">
        <v>66</v>
      </c>
      <c r="E45" s="49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68"/>
      <c r="AC45" s="51">
        <f t="shared" si="2"/>
        <v>0</v>
      </c>
      <c r="AD45" s="52">
        <f t="shared" si="1"/>
        <v>0</v>
      </c>
    </row>
    <row r="46" spans="3:30" ht="18" thickBot="1">
      <c r="C46" s="102"/>
      <c r="D46" s="38" t="s">
        <v>67</v>
      </c>
      <c r="E46" s="39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69"/>
      <c r="AC46" s="61">
        <f t="shared" si="2"/>
        <v>0</v>
      </c>
      <c r="AD46" s="62">
        <f t="shared" si="1"/>
        <v>0</v>
      </c>
    </row>
    <row r="47" spans="3:30">
      <c r="C47" s="100" t="s">
        <v>87</v>
      </c>
      <c r="D47" s="33" t="s">
        <v>65</v>
      </c>
      <c r="E47" s="34"/>
      <c r="F47" s="35"/>
      <c r="G47" s="35"/>
      <c r="H47" s="35">
        <v>1</v>
      </c>
      <c r="I47" s="35"/>
      <c r="J47" s="35">
        <v>1</v>
      </c>
      <c r="K47" s="35"/>
      <c r="L47" s="35"/>
      <c r="M47" s="35">
        <v>1</v>
      </c>
      <c r="N47" s="35">
        <v>1</v>
      </c>
      <c r="O47" s="35"/>
      <c r="P47" s="35"/>
      <c r="Q47" s="35"/>
      <c r="R47" s="35"/>
      <c r="S47" s="35"/>
      <c r="T47" s="35">
        <v>1</v>
      </c>
      <c r="U47" s="35"/>
      <c r="V47" s="35"/>
      <c r="W47" s="35">
        <v>1</v>
      </c>
      <c r="X47" s="35"/>
      <c r="Y47" s="35"/>
      <c r="Z47" s="35"/>
      <c r="AA47" s="35"/>
      <c r="AB47" s="67"/>
      <c r="AC47" s="36">
        <f t="shared" si="2"/>
        <v>6</v>
      </c>
      <c r="AD47" s="37">
        <f t="shared" si="1"/>
        <v>0.25</v>
      </c>
    </row>
    <row r="48" spans="3:30">
      <c r="C48" s="101"/>
      <c r="D48" s="53" t="s">
        <v>91</v>
      </c>
      <c r="E48" s="54">
        <v>1</v>
      </c>
      <c r="F48" s="55"/>
      <c r="G48" s="55">
        <v>1</v>
      </c>
      <c r="H48" s="55"/>
      <c r="I48" s="55">
        <v>1</v>
      </c>
      <c r="J48" s="55"/>
      <c r="K48" s="55"/>
      <c r="L48" s="55">
        <v>1</v>
      </c>
      <c r="M48" s="55"/>
      <c r="N48" s="55"/>
      <c r="O48" s="55">
        <v>1</v>
      </c>
      <c r="P48" s="55"/>
      <c r="Q48" s="55">
        <v>1</v>
      </c>
      <c r="R48" s="55"/>
      <c r="S48" s="55">
        <v>1</v>
      </c>
      <c r="T48" s="55"/>
      <c r="U48" s="55">
        <v>1</v>
      </c>
      <c r="V48" s="55"/>
      <c r="W48" s="55"/>
      <c r="X48" s="55">
        <v>1</v>
      </c>
      <c r="Y48" s="55"/>
      <c r="Z48" s="55"/>
      <c r="AA48" s="55">
        <v>1</v>
      </c>
      <c r="AB48" s="70">
        <v>1</v>
      </c>
      <c r="AC48" s="51">
        <f>SUM(E48:AB48)</f>
        <v>11</v>
      </c>
      <c r="AD48" s="52">
        <f t="shared" si="1"/>
        <v>0.45833333333333331</v>
      </c>
    </row>
    <row r="49" spans="3:30">
      <c r="C49" s="101"/>
      <c r="D49" s="48" t="s">
        <v>92</v>
      </c>
      <c r="E49" s="49"/>
      <c r="F49" s="50">
        <v>1</v>
      </c>
      <c r="G49" s="50"/>
      <c r="H49" s="50"/>
      <c r="I49" s="50"/>
      <c r="J49" s="50"/>
      <c r="K49" s="50"/>
      <c r="L49" s="50"/>
      <c r="M49" s="50"/>
      <c r="N49" s="50"/>
      <c r="O49" s="50"/>
      <c r="P49" s="50">
        <v>1</v>
      </c>
      <c r="Q49" s="50"/>
      <c r="R49" s="50">
        <v>1</v>
      </c>
      <c r="S49" s="50"/>
      <c r="T49" s="50"/>
      <c r="U49" s="50"/>
      <c r="V49" s="50">
        <v>1</v>
      </c>
      <c r="W49" s="50"/>
      <c r="X49" s="50"/>
      <c r="Y49" s="50"/>
      <c r="Z49" s="50">
        <v>1</v>
      </c>
      <c r="AA49" s="50"/>
      <c r="AB49" s="68"/>
      <c r="AC49" s="51">
        <f t="shared" si="2"/>
        <v>5</v>
      </c>
      <c r="AD49" s="52">
        <f t="shared" si="1"/>
        <v>0.20833333333333334</v>
      </c>
    </row>
    <row r="50" spans="3:30">
      <c r="C50" s="101"/>
      <c r="D50" s="48" t="s">
        <v>66</v>
      </c>
      <c r="E50" s="49"/>
      <c r="F50" s="50"/>
      <c r="G50" s="50"/>
      <c r="H50" s="50"/>
      <c r="I50" s="50"/>
      <c r="J50" s="50"/>
      <c r="K50" s="50">
        <v>1</v>
      </c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>
        <v>1</v>
      </c>
      <c r="Z50" s="50"/>
      <c r="AA50" s="50"/>
      <c r="AB50" s="68"/>
      <c r="AC50" s="51">
        <f t="shared" si="2"/>
        <v>2</v>
      </c>
      <c r="AD50" s="52">
        <f t="shared" si="1"/>
        <v>8.3333333333333329E-2</v>
      </c>
    </row>
    <row r="51" spans="3:30" ht="18" thickBot="1">
      <c r="C51" s="102"/>
      <c r="D51" s="38" t="s">
        <v>67</v>
      </c>
      <c r="E51" s="39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69"/>
      <c r="AC51" s="41">
        <f t="shared" si="2"/>
        <v>0</v>
      </c>
      <c r="AD51" s="42">
        <f t="shared" si="1"/>
        <v>0</v>
      </c>
    </row>
  </sheetData>
  <mergeCells count="10">
    <mergeCell ref="C42:C46"/>
    <mergeCell ref="C47:C51"/>
    <mergeCell ref="C31:C37"/>
    <mergeCell ref="C9:C10"/>
    <mergeCell ref="C11:C13"/>
    <mergeCell ref="C28:C30"/>
    <mergeCell ref="C21:C23"/>
    <mergeCell ref="C14:C20"/>
    <mergeCell ref="C24:C27"/>
    <mergeCell ref="C38:C4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1:AH90"/>
  <sheetViews>
    <sheetView workbookViewId="0">
      <selection activeCell="AH42" sqref="AH42"/>
    </sheetView>
  </sheetViews>
  <sheetFormatPr defaultColWidth="9.09765625" defaultRowHeight="17.399999999999999"/>
  <cols>
    <col min="1" max="16384" width="9.09765625" style="84"/>
  </cols>
  <sheetData>
    <row r="1" spans="3:34">
      <c r="C1" s="84" t="s">
        <v>162</v>
      </c>
      <c r="D1" s="84" t="s">
        <v>163</v>
      </c>
      <c r="E1" s="84" t="s">
        <v>164</v>
      </c>
      <c r="F1" s="84" t="s">
        <v>165</v>
      </c>
      <c r="G1" s="84" t="s">
        <v>166</v>
      </c>
      <c r="H1" s="84" t="s">
        <v>167</v>
      </c>
      <c r="I1" s="84" t="s">
        <v>168</v>
      </c>
      <c r="J1" s="84" t="s">
        <v>169</v>
      </c>
      <c r="K1" s="84" t="s">
        <v>170</v>
      </c>
      <c r="L1" s="84" t="s">
        <v>171</v>
      </c>
      <c r="M1" s="84" t="s">
        <v>172</v>
      </c>
      <c r="N1" s="84" t="s">
        <v>173</v>
      </c>
      <c r="O1" s="84" t="s">
        <v>174</v>
      </c>
      <c r="P1" s="84" t="s">
        <v>175</v>
      </c>
      <c r="Q1" s="84" t="s">
        <v>176</v>
      </c>
      <c r="R1" s="84" t="s">
        <v>177</v>
      </c>
      <c r="S1" s="84" t="s">
        <v>178</v>
      </c>
      <c r="T1" s="84" t="s">
        <v>179</v>
      </c>
      <c r="U1" s="84" t="s">
        <v>180</v>
      </c>
      <c r="V1" s="84" t="s">
        <v>181</v>
      </c>
      <c r="W1" s="84" t="s">
        <v>182</v>
      </c>
      <c r="X1" s="84" t="s">
        <v>183</v>
      </c>
      <c r="Y1" s="84" t="s">
        <v>184</v>
      </c>
      <c r="Z1" s="84" t="s">
        <v>185</v>
      </c>
      <c r="AA1" s="84" t="s">
        <v>186</v>
      </c>
      <c r="AB1" s="84" t="s">
        <v>187</v>
      </c>
      <c r="AC1" s="84" t="s">
        <v>188</v>
      </c>
      <c r="AD1" s="84" t="s">
        <v>189</v>
      </c>
      <c r="AE1" s="84" t="s">
        <v>190</v>
      </c>
      <c r="AF1" s="84" t="s">
        <v>191</v>
      </c>
      <c r="AG1" s="84" t="s">
        <v>192</v>
      </c>
      <c r="AH1" s="84" t="s">
        <v>193</v>
      </c>
    </row>
    <row r="2" spans="3:34">
      <c r="C2" s="84" t="s">
        <v>194</v>
      </c>
      <c r="D2" s="84" t="s">
        <v>195</v>
      </c>
      <c r="E2" s="84">
        <f t="shared" ref="E2:E37" si="0">450+IF(E45=1, $E$84, $E$85)-8</f>
        <v>528</v>
      </c>
      <c r="F2" s="84">
        <f t="shared" ref="F2:F37" si="1">E2+IF(F45=1, $F$84, 0)</f>
        <v>602</v>
      </c>
      <c r="G2" s="84">
        <f t="shared" ref="G2:G37" si="2">F2+IF(G45=1, $G$84, 0)+IF(G45=2, $G$85, 0)+IF(G45=3, $G$86, 0)+IF(G45=4, $G$87, 0)+IF(G45=5, $G$88, 0)+IF(G45=6, $G$89, 0)+IF(G45=7, $G$90, 0)</f>
        <v>704</v>
      </c>
      <c r="H2" s="84">
        <f t="shared" ref="H2:H37" si="3">G2+25+IF(H45=1, $E$84, $E$85)</f>
        <v>865</v>
      </c>
      <c r="I2" s="84">
        <f t="shared" ref="I2:I37" si="4">H2+IF(I45=1, $F$84, 0)</f>
        <v>939</v>
      </c>
      <c r="J2" s="84">
        <f t="shared" ref="J2:J37" si="5">I2+IF(J45=1, $G$84, 0)+IF(J45=2, $G$85, 0)+IF(J45=3, $G$86, 0)+IF(J45=4, $G$87, 0)+IF(J45=5, $G$88, 0)+IF(J45=6, $G$89, 0)+IF(J45=7, $G$90, 0)</f>
        <v>1041</v>
      </c>
      <c r="K2" s="84">
        <f t="shared" ref="K2:K37" si="6">J2+25+IF(K45=1, $E$84, $E$85)</f>
        <v>1202</v>
      </c>
      <c r="L2" s="84">
        <f t="shared" ref="L2:L37" si="7">K2+IF(L45=1, $F$84, 0)</f>
        <v>1276</v>
      </c>
      <c r="M2" s="84">
        <f t="shared" ref="M2:M37" si="8">L2+IF(M45=1, $G$84, 0)+IF(M45=2, $G$85, 0)+IF(M45=3, $G$86, 0)+IF(M45=4, $G$87, 0)+IF(M45=5, $G$88, 0)+IF(M45=6, $G$89, 0)+IF(M45=7, $G$90, 0)</f>
        <v>1378</v>
      </c>
      <c r="N2" s="84">
        <f t="shared" ref="N2:N9" si="9">M2+25+IF(N45=1, $E$84, $E$85)</f>
        <v>1539</v>
      </c>
      <c r="O2" s="84">
        <f t="shared" ref="O2:O37" si="10">N2+IF(O45=1, $F$84, 0)</f>
        <v>1613</v>
      </c>
      <c r="P2" s="84">
        <f t="shared" ref="P2:P37" si="11">O2+IF(P45=1, $G$84, 0)+IF(P45=2, $G$85, 0)+IF(P45=3, $G$86, 0)+IF(P45=4, $G$87, 0)+IF(P45=5, $G$88, 0)+IF(P45=6, $G$89, 0)+IF(P45=7, $G$90, 0)</f>
        <v>1715</v>
      </c>
      <c r="Q2" s="84">
        <f t="shared" ref="Q2:Q37" si="12">P2+25+IF(Q45=1, $E$84, $E$85)</f>
        <v>1876</v>
      </c>
      <c r="R2" s="84">
        <f t="shared" ref="R2:R37" si="13">Q2+IF(R45=1, $F$84, 0)</f>
        <v>1950</v>
      </c>
      <c r="S2" s="84">
        <f t="shared" ref="S2:S37" si="14">R2+IF(S45=1, $G$84, 0)+IF(S45=2, $G$85, 0)+IF(S45=3, $G$86, 0)+IF(S45=4, $G$87, 0)+IF(S45=5, $G$88, 0)+IF(S45=6, $G$89, 0)+IF(S45=7, $G$90, 0)</f>
        <v>2052</v>
      </c>
      <c r="T2" s="84">
        <f t="shared" ref="T2:T9" si="15">S2+25+IF(T45=1, $E$84, $E$85)</f>
        <v>2163</v>
      </c>
      <c r="U2" s="84">
        <f t="shared" ref="U2:U37" si="16">T2+IF(U45=1, $F$84, 0)</f>
        <v>2237</v>
      </c>
      <c r="V2" s="84">
        <f t="shared" ref="V2:V37" si="17">U2+IF(V45=1, $G$84, 0)+IF(V45=2, $G$85, 0)+IF(V45=3, $G$86, 0)+IF(V45=4, $G$87, 0)+IF(V45=5, $G$88, 0)+IF(V45=6, $G$89, 0)+IF(V45=7, $G$90, 0)</f>
        <v>2339</v>
      </c>
      <c r="W2" s="84">
        <f t="shared" ref="W2:W37" si="18">V2+25+IF(W45=1, $E$84, $E$85)</f>
        <v>2500</v>
      </c>
      <c r="X2" s="84">
        <f t="shared" ref="X2:X37" si="19">W2+IF(X45=1, $F$84, 0)</f>
        <v>2574</v>
      </c>
      <c r="Y2" s="84">
        <f t="shared" ref="Y2:Y37" si="20">X2+IF(Y45=1, $G$84, 0)+IF(Y45=2, $G$85, 0)+IF(Y45=3, $G$86, 0)+IF(Y45=4, $G$87, 0)+IF(Y45=5, $G$88, 0)+IF(Y45=6, $G$89, 0)+IF(Y45=7, $G$90, 0)</f>
        <v>2676</v>
      </c>
      <c r="Z2" s="85">
        <f>Y2+25+IF(Z45=1, $E$84, $E$85)+5</f>
        <v>2842</v>
      </c>
      <c r="AA2" s="86">
        <f t="shared" ref="AA2:AA37" si="21">Z2+IF(AA45=1, $F$84, 0)</f>
        <v>2916</v>
      </c>
      <c r="AB2" s="84">
        <f t="shared" ref="AB2:AB9" si="22">AA2+IF(AB45=1, $G$84, 0)+IF(AB45=2, $G$85, 0)+IF(AB45=3, $G$86, 0)+IF(AB45=4, $G$87, 0)+IF(AB45=5, $G$88, 0)+IF(AB45=6, $G$89, 0)+IF(AB45=7, $G$90, 0)</f>
        <v>3018</v>
      </c>
      <c r="AC2" s="85">
        <f>AB2+25+IF(AC45=1, $E$84, $E$85)+5</f>
        <v>3184</v>
      </c>
      <c r="AD2" s="86">
        <f t="shared" ref="AD2:AD37" si="23">AC2+IF(AD45=1, $F$84, 0)</f>
        <v>3258</v>
      </c>
      <c r="AE2" s="84">
        <f t="shared" ref="AE2:AE37" si="24">AD2+IF(AE45=1, $G$84, 0)+IF(AE45=2, $G$85, 0)+IF(AE45=3, $G$86, 0)+IF(AE45=4, $G$87, 0)+IF(AE45=5, $G$88, 0)+IF(AE45=6, $G$89, 0)+IF(AE45=7, $G$90, 0)</f>
        <v>3360</v>
      </c>
      <c r="AF2" s="84">
        <f t="shared" ref="AF2:AF37" si="25">AE2+25+IF(AF45=1, $E$84, $E$85)</f>
        <v>3521</v>
      </c>
      <c r="AG2" s="84">
        <f t="shared" ref="AG2:AG37" si="26">AF2+IF(AG45=1, $F$84, 0)</f>
        <v>3595</v>
      </c>
      <c r="AH2" s="84">
        <f t="shared" ref="AH2:AH37" si="27">AG2+IF(AH45=1, $G$84, 0)+IF(AH45=2, $G$85, 0)+IF(AH45=3, $G$86, 0)+IF(AH45=4, $G$87, 0)+IF(AH45=5, $G$88, 0)+IF(AH45=6, $G$89, 0)+IF(AH45=7, $G$90, 0)</f>
        <v>3697</v>
      </c>
    </row>
    <row r="3" spans="3:34">
      <c r="C3" s="84" t="s">
        <v>196</v>
      </c>
      <c r="D3" s="84" t="s">
        <v>195</v>
      </c>
      <c r="E3" s="84">
        <f t="shared" si="0"/>
        <v>578</v>
      </c>
      <c r="F3" s="84">
        <f t="shared" si="1"/>
        <v>652</v>
      </c>
      <c r="G3" s="84">
        <f t="shared" si="2"/>
        <v>754</v>
      </c>
      <c r="H3" s="84">
        <f t="shared" si="3"/>
        <v>865</v>
      </c>
      <c r="I3" s="84">
        <f t="shared" si="4"/>
        <v>939</v>
      </c>
      <c r="J3" s="84">
        <f t="shared" si="5"/>
        <v>1041</v>
      </c>
      <c r="K3" s="84">
        <f t="shared" si="6"/>
        <v>1202</v>
      </c>
      <c r="L3" s="84">
        <f t="shared" si="7"/>
        <v>1276</v>
      </c>
      <c r="M3" s="84">
        <f t="shared" si="8"/>
        <v>1378</v>
      </c>
      <c r="N3" s="84">
        <f t="shared" si="9"/>
        <v>1539</v>
      </c>
      <c r="O3" s="84">
        <f t="shared" si="10"/>
        <v>1613</v>
      </c>
      <c r="P3" s="84">
        <f t="shared" si="11"/>
        <v>1715</v>
      </c>
      <c r="Q3" s="84">
        <f t="shared" si="12"/>
        <v>1826</v>
      </c>
      <c r="R3" s="84">
        <f t="shared" si="13"/>
        <v>1900</v>
      </c>
      <c r="S3" s="84">
        <f t="shared" si="14"/>
        <v>2002</v>
      </c>
      <c r="T3" s="84">
        <f t="shared" si="15"/>
        <v>2163</v>
      </c>
      <c r="U3" s="84">
        <f t="shared" si="16"/>
        <v>2237</v>
      </c>
      <c r="V3" s="84">
        <f t="shared" si="17"/>
        <v>2339</v>
      </c>
      <c r="W3" s="84">
        <f t="shared" si="18"/>
        <v>2450</v>
      </c>
      <c r="X3" s="84">
        <f t="shared" si="19"/>
        <v>2524</v>
      </c>
      <c r="Y3" s="84">
        <f t="shared" si="20"/>
        <v>2626</v>
      </c>
      <c r="Z3" s="84">
        <f t="shared" ref="Z3:Z9" si="28">Y3+25+IF(Z46=1, $E$84, $E$85)</f>
        <v>2787</v>
      </c>
      <c r="AA3" s="84">
        <f t="shared" si="21"/>
        <v>2861</v>
      </c>
      <c r="AB3" s="84">
        <f t="shared" si="22"/>
        <v>2963</v>
      </c>
      <c r="AC3" s="84">
        <f t="shared" ref="AC3:AC13" si="29">AB3+25+IF(AC46=1, $E$84, $E$85)</f>
        <v>3124</v>
      </c>
      <c r="AD3" s="84">
        <f t="shared" si="23"/>
        <v>3198</v>
      </c>
      <c r="AE3" s="84">
        <f t="shared" si="24"/>
        <v>3300</v>
      </c>
      <c r="AF3" s="84">
        <f t="shared" si="25"/>
        <v>3411</v>
      </c>
      <c r="AG3" s="84">
        <f t="shared" si="26"/>
        <v>3485</v>
      </c>
      <c r="AH3" s="84">
        <f t="shared" si="27"/>
        <v>3587</v>
      </c>
    </row>
    <row r="4" spans="3:34">
      <c r="C4" s="84" t="s">
        <v>197</v>
      </c>
      <c r="D4" s="84" t="s">
        <v>195</v>
      </c>
      <c r="E4" s="84">
        <f t="shared" si="0"/>
        <v>528</v>
      </c>
      <c r="F4" s="84">
        <f t="shared" si="1"/>
        <v>602</v>
      </c>
      <c r="G4" s="84">
        <f t="shared" si="2"/>
        <v>704</v>
      </c>
      <c r="H4" s="84">
        <f t="shared" si="3"/>
        <v>865</v>
      </c>
      <c r="I4" s="84">
        <f t="shared" si="4"/>
        <v>939</v>
      </c>
      <c r="J4" s="84">
        <f t="shared" si="5"/>
        <v>1041</v>
      </c>
      <c r="K4" s="84">
        <f t="shared" si="6"/>
        <v>1152</v>
      </c>
      <c r="L4" s="84">
        <f t="shared" si="7"/>
        <v>1226</v>
      </c>
      <c r="M4" s="84">
        <f t="shared" si="8"/>
        <v>1328</v>
      </c>
      <c r="N4" s="84">
        <f t="shared" si="9"/>
        <v>1439</v>
      </c>
      <c r="O4" s="84">
        <f t="shared" si="10"/>
        <v>1513</v>
      </c>
      <c r="P4" s="84">
        <f t="shared" si="11"/>
        <v>1615</v>
      </c>
      <c r="Q4" s="84">
        <f t="shared" si="12"/>
        <v>1776</v>
      </c>
      <c r="R4" s="84">
        <f t="shared" si="13"/>
        <v>1850</v>
      </c>
      <c r="S4" s="84">
        <f t="shared" si="14"/>
        <v>1952</v>
      </c>
      <c r="T4" s="84">
        <f t="shared" si="15"/>
        <v>2063</v>
      </c>
      <c r="U4" s="84">
        <f t="shared" si="16"/>
        <v>2137</v>
      </c>
      <c r="V4" s="84">
        <f t="shared" si="17"/>
        <v>2239</v>
      </c>
      <c r="W4" s="84">
        <f t="shared" si="18"/>
        <v>2400</v>
      </c>
      <c r="X4" s="84">
        <f t="shared" si="19"/>
        <v>2474</v>
      </c>
      <c r="Y4" s="84">
        <f t="shared" si="20"/>
        <v>2576</v>
      </c>
      <c r="Z4" s="84">
        <f t="shared" si="28"/>
        <v>2687</v>
      </c>
      <c r="AA4" s="84">
        <f t="shared" si="21"/>
        <v>2761</v>
      </c>
      <c r="AB4" s="84">
        <f t="shared" si="22"/>
        <v>2863</v>
      </c>
      <c r="AC4" s="84">
        <f t="shared" si="29"/>
        <v>3024</v>
      </c>
      <c r="AD4" s="84">
        <f t="shared" si="23"/>
        <v>3098</v>
      </c>
      <c r="AE4" s="84">
        <f t="shared" si="24"/>
        <v>3200</v>
      </c>
      <c r="AF4" s="84">
        <f t="shared" si="25"/>
        <v>3361</v>
      </c>
      <c r="AG4" s="84">
        <f t="shared" si="26"/>
        <v>3435</v>
      </c>
      <c r="AH4" s="84">
        <f t="shared" si="27"/>
        <v>3537</v>
      </c>
    </row>
    <row r="5" spans="3:34">
      <c r="C5" s="84" t="s">
        <v>198</v>
      </c>
      <c r="D5" s="84" t="s">
        <v>195</v>
      </c>
      <c r="E5" s="84">
        <f t="shared" si="0"/>
        <v>578</v>
      </c>
      <c r="F5" s="84">
        <f t="shared" si="1"/>
        <v>652</v>
      </c>
      <c r="G5" s="84">
        <f t="shared" si="2"/>
        <v>754</v>
      </c>
      <c r="H5" s="84">
        <f t="shared" si="3"/>
        <v>915</v>
      </c>
      <c r="I5" s="84">
        <f t="shared" si="4"/>
        <v>989</v>
      </c>
      <c r="J5" s="84">
        <f t="shared" si="5"/>
        <v>1091</v>
      </c>
      <c r="K5" s="84">
        <f t="shared" si="6"/>
        <v>1252</v>
      </c>
      <c r="L5" s="84">
        <f t="shared" si="7"/>
        <v>1326</v>
      </c>
      <c r="M5" s="84">
        <f t="shared" si="8"/>
        <v>1428</v>
      </c>
      <c r="N5" s="84">
        <f t="shared" si="9"/>
        <v>1589</v>
      </c>
      <c r="O5" s="84">
        <f t="shared" si="10"/>
        <v>1663</v>
      </c>
      <c r="P5" s="84">
        <f t="shared" si="11"/>
        <v>1765</v>
      </c>
      <c r="Q5" s="84">
        <f t="shared" si="12"/>
        <v>1876</v>
      </c>
      <c r="R5" s="84">
        <f t="shared" si="13"/>
        <v>1950</v>
      </c>
      <c r="S5" s="84">
        <f t="shared" si="14"/>
        <v>2052</v>
      </c>
      <c r="T5" s="84">
        <f t="shared" si="15"/>
        <v>2213</v>
      </c>
      <c r="U5" s="84">
        <f t="shared" si="16"/>
        <v>2287</v>
      </c>
      <c r="V5" s="84">
        <f t="shared" si="17"/>
        <v>2389</v>
      </c>
      <c r="W5" s="84">
        <f t="shared" si="18"/>
        <v>2500</v>
      </c>
      <c r="X5" s="84">
        <f t="shared" si="19"/>
        <v>2574</v>
      </c>
      <c r="Y5" s="84">
        <f t="shared" si="20"/>
        <v>2676</v>
      </c>
      <c r="Z5" s="84">
        <f t="shared" si="28"/>
        <v>2837</v>
      </c>
      <c r="AA5" s="84">
        <f t="shared" si="21"/>
        <v>2911</v>
      </c>
      <c r="AB5" s="84">
        <f t="shared" si="22"/>
        <v>3013</v>
      </c>
      <c r="AC5" s="84">
        <f t="shared" si="29"/>
        <v>3124</v>
      </c>
      <c r="AD5" s="84">
        <f t="shared" si="23"/>
        <v>3198</v>
      </c>
      <c r="AE5" s="84">
        <f t="shared" si="24"/>
        <v>3300</v>
      </c>
      <c r="AF5" s="84">
        <f t="shared" si="25"/>
        <v>3411</v>
      </c>
      <c r="AG5" s="84">
        <f t="shared" si="26"/>
        <v>3485</v>
      </c>
      <c r="AH5" s="84">
        <f t="shared" si="27"/>
        <v>3587</v>
      </c>
    </row>
    <row r="6" spans="3:34">
      <c r="C6" s="84" t="s">
        <v>199</v>
      </c>
      <c r="D6" s="84" t="s">
        <v>195</v>
      </c>
      <c r="E6" s="84">
        <f t="shared" si="0"/>
        <v>528</v>
      </c>
      <c r="F6" s="84">
        <f t="shared" si="1"/>
        <v>602</v>
      </c>
      <c r="G6" s="84">
        <f t="shared" si="2"/>
        <v>704</v>
      </c>
      <c r="H6" s="84">
        <f t="shared" si="3"/>
        <v>865</v>
      </c>
      <c r="I6" s="84">
        <f t="shared" si="4"/>
        <v>939</v>
      </c>
      <c r="J6" s="84">
        <f t="shared" si="5"/>
        <v>1041</v>
      </c>
      <c r="K6" s="84">
        <f t="shared" si="6"/>
        <v>1202</v>
      </c>
      <c r="L6" s="84">
        <f t="shared" si="7"/>
        <v>1276</v>
      </c>
      <c r="M6" s="84">
        <f t="shared" si="8"/>
        <v>1378</v>
      </c>
      <c r="N6" s="84">
        <f t="shared" si="9"/>
        <v>1539</v>
      </c>
      <c r="O6" s="84">
        <f t="shared" si="10"/>
        <v>1613</v>
      </c>
      <c r="P6" s="84">
        <f t="shared" si="11"/>
        <v>1715</v>
      </c>
      <c r="Q6" s="84">
        <f t="shared" si="12"/>
        <v>1876</v>
      </c>
      <c r="R6" s="84">
        <f t="shared" si="13"/>
        <v>1950</v>
      </c>
      <c r="S6" s="84">
        <f t="shared" si="14"/>
        <v>2052</v>
      </c>
      <c r="T6" s="84">
        <f t="shared" si="15"/>
        <v>2213</v>
      </c>
      <c r="U6" s="84">
        <f t="shared" si="16"/>
        <v>2287</v>
      </c>
      <c r="V6" s="84">
        <f t="shared" si="17"/>
        <v>2389</v>
      </c>
      <c r="W6" s="84">
        <f t="shared" si="18"/>
        <v>2500</v>
      </c>
      <c r="X6" s="84">
        <f t="shared" si="19"/>
        <v>2574</v>
      </c>
      <c r="Y6" s="84">
        <f t="shared" si="20"/>
        <v>2676</v>
      </c>
      <c r="Z6" s="84">
        <f t="shared" si="28"/>
        <v>2837</v>
      </c>
      <c r="AA6" s="84">
        <f t="shared" si="21"/>
        <v>2911</v>
      </c>
      <c r="AB6" s="84">
        <f t="shared" si="22"/>
        <v>3013</v>
      </c>
      <c r="AC6" s="84">
        <f t="shared" si="29"/>
        <v>3174</v>
      </c>
      <c r="AD6" s="84">
        <f t="shared" si="23"/>
        <v>3248</v>
      </c>
      <c r="AE6" s="84">
        <f t="shared" si="24"/>
        <v>3350</v>
      </c>
      <c r="AF6" s="84">
        <f t="shared" si="25"/>
        <v>3511</v>
      </c>
      <c r="AG6" s="84">
        <f t="shared" si="26"/>
        <v>3585</v>
      </c>
      <c r="AH6" s="84">
        <f t="shared" si="27"/>
        <v>3687</v>
      </c>
    </row>
    <row r="7" spans="3:34">
      <c r="C7" s="84" t="s">
        <v>200</v>
      </c>
      <c r="D7" s="84" t="s">
        <v>195</v>
      </c>
      <c r="E7" s="84">
        <f t="shared" si="0"/>
        <v>578</v>
      </c>
      <c r="F7" s="84">
        <f t="shared" si="1"/>
        <v>652</v>
      </c>
      <c r="G7" s="84">
        <f t="shared" si="2"/>
        <v>754</v>
      </c>
      <c r="H7" s="84">
        <f t="shared" si="3"/>
        <v>915</v>
      </c>
      <c r="I7" s="84">
        <f t="shared" si="4"/>
        <v>989</v>
      </c>
      <c r="J7" s="84">
        <f t="shared" si="5"/>
        <v>1091</v>
      </c>
      <c r="K7" s="84">
        <f t="shared" si="6"/>
        <v>1252</v>
      </c>
      <c r="L7" s="84">
        <f t="shared" si="7"/>
        <v>1326</v>
      </c>
      <c r="M7" s="84">
        <f t="shared" si="8"/>
        <v>1428</v>
      </c>
      <c r="N7" s="84">
        <f t="shared" si="9"/>
        <v>1589</v>
      </c>
      <c r="O7" s="84">
        <f t="shared" si="10"/>
        <v>1663</v>
      </c>
      <c r="P7" s="84">
        <f t="shared" si="11"/>
        <v>1765</v>
      </c>
      <c r="Q7" s="84">
        <f t="shared" si="12"/>
        <v>1926</v>
      </c>
      <c r="R7" s="84">
        <f t="shared" si="13"/>
        <v>2000</v>
      </c>
      <c r="S7" s="84">
        <f t="shared" si="14"/>
        <v>2102</v>
      </c>
      <c r="T7" s="84">
        <f t="shared" si="15"/>
        <v>2263</v>
      </c>
      <c r="U7" s="84">
        <f t="shared" si="16"/>
        <v>2337</v>
      </c>
      <c r="V7" s="84">
        <f t="shared" si="17"/>
        <v>2439</v>
      </c>
      <c r="W7" s="84">
        <f t="shared" si="18"/>
        <v>2600</v>
      </c>
      <c r="X7" s="84">
        <f t="shared" si="19"/>
        <v>2674</v>
      </c>
      <c r="Y7" s="84">
        <f t="shared" si="20"/>
        <v>2776</v>
      </c>
      <c r="Z7" s="84">
        <f t="shared" si="28"/>
        <v>2937</v>
      </c>
      <c r="AA7" s="84">
        <f t="shared" si="21"/>
        <v>3011</v>
      </c>
      <c r="AB7" s="84">
        <f t="shared" si="22"/>
        <v>3113</v>
      </c>
      <c r="AC7" s="84">
        <f t="shared" si="29"/>
        <v>3274</v>
      </c>
      <c r="AD7" s="84">
        <f t="shared" si="23"/>
        <v>3348</v>
      </c>
      <c r="AE7" s="84">
        <f t="shared" si="24"/>
        <v>3450</v>
      </c>
      <c r="AF7" s="84">
        <f t="shared" si="25"/>
        <v>3611</v>
      </c>
      <c r="AG7" s="84">
        <f t="shared" si="26"/>
        <v>3685</v>
      </c>
      <c r="AH7" s="84">
        <f t="shared" si="27"/>
        <v>3787</v>
      </c>
    </row>
    <row r="8" spans="3:34">
      <c r="C8" s="84" t="s">
        <v>201</v>
      </c>
      <c r="D8" s="84" t="s">
        <v>195</v>
      </c>
      <c r="E8" s="84">
        <f t="shared" si="0"/>
        <v>578</v>
      </c>
      <c r="F8" s="84">
        <f t="shared" si="1"/>
        <v>652</v>
      </c>
      <c r="G8" s="84">
        <f t="shared" si="2"/>
        <v>754</v>
      </c>
      <c r="H8" s="84">
        <f t="shared" si="3"/>
        <v>865</v>
      </c>
      <c r="I8" s="84">
        <f t="shared" si="4"/>
        <v>939</v>
      </c>
      <c r="J8" s="84">
        <f t="shared" si="5"/>
        <v>1041</v>
      </c>
      <c r="K8" s="84">
        <f t="shared" si="6"/>
        <v>1152</v>
      </c>
      <c r="L8" s="84">
        <f t="shared" si="7"/>
        <v>1226</v>
      </c>
      <c r="M8" s="84">
        <f t="shared" si="8"/>
        <v>1328</v>
      </c>
      <c r="N8" s="84">
        <f t="shared" si="9"/>
        <v>1439</v>
      </c>
      <c r="O8" s="84">
        <f t="shared" si="10"/>
        <v>1513</v>
      </c>
      <c r="P8" s="84">
        <f t="shared" si="11"/>
        <v>1615</v>
      </c>
      <c r="Q8" s="84">
        <f t="shared" si="12"/>
        <v>1776</v>
      </c>
      <c r="R8" s="84">
        <f t="shared" si="13"/>
        <v>1850</v>
      </c>
      <c r="S8" s="84">
        <f t="shared" si="14"/>
        <v>1952</v>
      </c>
      <c r="T8" s="84">
        <f t="shared" si="15"/>
        <v>2113</v>
      </c>
      <c r="U8" s="84">
        <f t="shared" si="16"/>
        <v>2187</v>
      </c>
      <c r="V8" s="84">
        <f t="shared" si="17"/>
        <v>2289</v>
      </c>
      <c r="W8" s="84">
        <f t="shared" si="18"/>
        <v>2450</v>
      </c>
      <c r="X8" s="84">
        <f t="shared" si="19"/>
        <v>2524</v>
      </c>
      <c r="Y8" s="84">
        <f t="shared" si="20"/>
        <v>2626</v>
      </c>
      <c r="Z8" s="84">
        <f t="shared" si="28"/>
        <v>2737</v>
      </c>
      <c r="AA8" s="84">
        <f t="shared" si="21"/>
        <v>2811</v>
      </c>
      <c r="AB8" s="84">
        <f t="shared" si="22"/>
        <v>2913</v>
      </c>
      <c r="AC8" s="84">
        <f t="shared" si="29"/>
        <v>3074</v>
      </c>
      <c r="AD8" s="84">
        <f t="shared" si="23"/>
        <v>3148</v>
      </c>
      <c r="AE8" s="84">
        <f t="shared" si="24"/>
        <v>3250</v>
      </c>
      <c r="AF8" s="84">
        <f t="shared" si="25"/>
        <v>3361</v>
      </c>
      <c r="AG8" s="84">
        <f t="shared" si="26"/>
        <v>3435</v>
      </c>
      <c r="AH8" s="84">
        <f t="shared" si="27"/>
        <v>3537</v>
      </c>
    </row>
    <row r="9" spans="3:34">
      <c r="C9" s="84" t="s">
        <v>202</v>
      </c>
      <c r="D9" s="84" t="s">
        <v>195</v>
      </c>
      <c r="E9" s="84">
        <f t="shared" si="0"/>
        <v>578</v>
      </c>
      <c r="F9" s="84">
        <f t="shared" si="1"/>
        <v>652</v>
      </c>
      <c r="G9" s="84">
        <f t="shared" si="2"/>
        <v>754</v>
      </c>
      <c r="H9" s="84">
        <f t="shared" si="3"/>
        <v>865</v>
      </c>
      <c r="I9" s="84">
        <f t="shared" si="4"/>
        <v>939</v>
      </c>
      <c r="J9" s="84">
        <f t="shared" si="5"/>
        <v>1041</v>
      </c>
      <c r="K9" s="84">
        <f t="shared" si="6"/>
        <v>1152</v>
      </c>
      <c r="L9" s="84">
        <f t="shared" si="7"/>
        <v>1226</v>
      </c>
      <c r="M9" s="84">
        <f t="shared" si="8"/>
        <v>1328</v>
      </c>
      <c r="N9" s="84">
        <f t="shared" si="9"/>
        <v>1439</v>
      </c>
      <c r="O9" s="84">
        <f t="shared" si="10"/>
        <v>1513</v>
      </c>
      <c r="P9" s="84">
        <f t="shared" si="11"/>
        <v>1615</v>
      </c>
      <c r="Q9" s="84">
        <f t="shared" si="12"/>
        <v>1776</v>
      </c>
      <c r="R9" s="84">
        <f t="shared" si="13"/>
        <v>1850</v>
      </c>
      <c r="S9" s="84">
        <f t="shared" si="14"/>
        <v>1952</v>
      </c>
      <c r="T9" s="84">
        <f t="shared" si="15"/>
        <v>2063</v>
      </c>
      <c r="U9" s="84">
        <f t="shared" si="16"/>
        <v>2137</v>
      </c>
      <c r="V9" s="84">
        <f t="shared" si="17"/>
        <v>2239</v>
      </c>
      <c r="W9" s="84">
        <f t="shared" si="18"/>
        <v>2350</v>
      </c>
      <c r="X9" s="84">
        <f t="shared" si="19"/>
        <v>2424</v>
      </c>
      <c r="Y9" s="84">
        <f t="shared" si="20"/>
        <v>2526</v>
      </c>
      <c r="Z9" s="84">
        <f t="shared" si="28"/>
        <v>2687</v>
      </c>
      <c r="AA9" s="84">
        <f t="shared" si="21"/>
        <v>2761</v>
      </c>
      <c r="AB9" s="84">
        <f t="shared" si="22"/>
        <v>2863</v>
      </c>
      <c r="AC9" s="84">
        <f t="shared" si="29"/>
        <v>2974</v>
      </c>
      <c r="AD9" s="84">
        <f t="shared" si="23"/>
        <v>3048</v>
      </c>
      <c r="AE9" s="84">
        <f t="shared" si="24"/>
        <v>3150</v>
      </c>
      <c r="AF9" s="84">
        <f t="shared" si="25"/>
        <v>3261</v>
      </c>
      <c r="AG9" s="84">
        <f t="shared" si="26"/>
        <v>3335</v>
      </c>
      <c r="AH9" s="84">
        <f t="shared" si="27"/>
        <v>3437</v>
      </c>
    </row>
    <row r="10" spans="3:34">
      <c r="C10" s="84" t="s">
        <v>203</v>
      </c>
      <c r="D10" s="84" t="s">
        <v>195</v>
      </c>
      <c r="E10" s="84">
        <f t="shared" si="0"/>
        <v>578</v>
      </c>
      <c r="F10" s="84">
        <f t="shared" si="1"/>
        <v>652</v>
      </c>
      <c r="G10" s="84">
        <f t="shared" si="2"/>
        <v>754</v>
      </c>
      <c r="H10" s="84">
        <f t="shared" si="3"/>
        <v>915</v>
      </c>
      <c r="I10" s="84">
        <f t="shared" si="4"/>
        <v>989</v>
      </c>
      <c r="J10" s="84">
        <f t="shared" si="5"/>
        <v>1091</v>
      </c>
      <c r="K10" s="84">
        <f t="shared" si="6"/>
        <v>1252</v>
      </c>
      <c r="L10" s="84">
        <f t="shared" si="7"/>
        <v>1326</v>
      </c>
      <c r="M10" s="84">
        <f t="shared" si="8"/>
        <v>1428</v>
      </c>
      <c r="N10" s="85">
        <f>M10+25+IF(N53=1, $E$84, $E$85)+5</f>
        <v>1594</v>
      </c>
      <c r="O10" s="84">
        <f t="shared" si="10"/>
        <v>1668</v>
      </c>
      <c r="P10" s="84">
        <f t="shared" si="11"/>
        <v>1770</v>
      </c>
      <c r="Q10" s="84">
        <f t="shared" si="12"/>
        <v>1931</v>
      </c>
      <c r="R10" s="84">
        <f t="shared" si="13"/>
        <v>2005</v>
      </c>
      <c r="S10" s="84">
        <f t="shared" si="14"/>
        <v>2107</v>
      </c>
      <c r="T10" s="85">
        <f>S10+25+IF(T53=1, $E$84, $E$85)+5</f>
        <v>2223</v>
      </c>
      <c r="U10" s="84">
        <f t="shared" si="16"/>
        <v>2297</v>
      </c>
      <c r="V10" s="84">
        <f t="shared" si="17"/>
        <v>2399</v>
      </c>
      <c r="W10" s="84">
        <f t="shared" si="18"/>
        <v>2510</v>
      </c>
      <c r="X10" s="84">
        <f t="shared" si="19"/>
        <v>2584</v>
      </c>
      <c r="Y10" s="84">
        <f t="shared" si="20"/>
        <v>2686</v>
      </c>
      <c r="Z10" s="85">
        <f>Y10+25+IF(Z53=1, $E$84, $E$85)+5</f>
        <v>2852</v>
      </c>
      <c r="AA10" s="84">
        <f t="shared" si="21"/>
        <v>2926</v>
      </c>
      <c r="AB10" s="84">
        <f>AA10+IF(AB53=1, $G$84, 0)+IF(AB53=2, $G$85, 0)+IF(AB53=3, $G$86, 0)+IF(AB53=4, $G$87, 0)+IF(AB53=5, $G$88, 0)+IF(AB53=6, $G$89, 0)+IF(AB53=7, $G$90, 0)+50</f>
        <v>3078</v>
      </c>
      <c r="AC10" s="84">
        <f t="shared" si="29"/>
        <v>3189</v>
      </c>
      <c r="AD10" s="84">
        <f t="shared" si="23"/>
        <v>3263</v>
      </c>
      <c r="AE10" s="84">
        <f t="shared" si="24"/>
        <v>3365</v>
      </c>
      <c r="AF10" s="84">
        <f t="shared" si="25"/>
        <v>3476</v>
      </c>
      <c r="AG10" s="84">
        <f t="shared" si="26"/>
        <v>3550</v>
      </c>
      <c r="AH10" s="84">
        <f t="shared" si="27"/>
        <v>3652</v>
      </c>
    </row>
    <row r="11" spans="3:34">
      <c r="C11" s="84" t="s">
        <v>204</v>
      </c>
      <c r="D11" s="84" t="s">
        <v>195</v>
      </c>
      <c r="E11" s="84">
        <f t="shared" si="0"/>
        <v>528</v>
      </c>
      <c r="F11" s="84">
        <f t="shared" si="1"/>
        <v>602</v>
      </c>
      <c r="G11" s="84">
        <f t="shared" si="2"/>
        <v>704</v>
      </c>
      <c r="H11" s="84">
        <f t="shared" si="3"/>
        <v>815</v>
      </c>
      <c r="I11" s="84">
        <f t="shared" si="4"/>
        <v>889</v>
      </c>
      <c r="J11" s="84">
        <f t="shared" si="5"/>
        <v>991</v>
      </c>
      <c r="K11" s="84">
        <f t="shared" si="6"/>
        <v>1102</v>
      </c>
      <c r="L11" s="84">
        <f t="shared" si="7"/>
        <v>1176</v>
      </c>
      <c r="M11" s="84">
        <f t="shared" si="8"/>
        <v>1278</v>
      </c>
      <c r="N11" s="84">
        <f t="shared" ref="N11:N21" si="30">M11+25+IF(N54=1, $E$84, $E$85)</f>
        <v>1439</v>
      </c>
      <c r="O11" s="84">
        <f t="shared" si="10"/>
        <v>1513</v>
      </c>
      <c r="P11" s="84">
        <f t="shared" si="11"/>
        <v>1615</v>
      </c>
      <c r="Q11" s="84">
        <f t="shared" si="12"/>
        <v>1726</v>
      </c>
      <c r="R11" s="84">
        <f t="shared" si="13"/>
        <v>1800</v>
      </c>
      <c r="S11" s="84">
        <f t="shared" si="14"/>
        <v>1902</v>
      </c>
      <c r="T11" s="84">
        <f>S11+25+IF(T54=1, $E$84, $E$85)</f>
        <v>2063</v>
      </c>
      <c r="U11" s="84">
        <f t="shared" si="16"/>
        <v>2137</v>
      </c>
      <c r="V11" s="84">
        <f t="shared" si="17"/>
        <v>2239</v>
      </c>
      <c r="W11" s="84">
        <f t="shared" si="18"/>
        <v>2400</v>
      </c>
      <c r="X11" s="84">
        <f t="shared" si="19"/>
        <v>2474</v>
      </c>
      <c r="Y11" s="84">
        <f t="shared" si="20"/>
        <v>2576</v>
      </c>
      <c r="Z11" s="84">
        <f>Y11+25+IF(Z54=1, $E$84, $E$85)</f>
        <v>2737</v>
      </c>
      <c r="AA11" s="84">
        <f t="shared" si="21"/>
        <v>2811</v>
      </c>
      <c r="AB11" s="84">
        <f t="shared" ref="AB11:AB37" si="31">AA11+IF(AB54=1, $G$84, 0)+IF(AB54=2, $G$85, 0)+IF(AB54=3, $G$86, 0)+IF(AB54=4, $G$87, 0)+IF(AB54=5, $G$88, 0)+IF(AB54=6, $G$89, 0)+IF(AB54=7, $G$90, 0)</f>
        <v>2913</v>
      </c>
      <c r="AC11" s="84">
        <f t="shared" si="29"/>
        <v>3074</v>
      </c>
      <c r="AD11" s="84">
        <f t="shared" si="23"/>
        <v>3148</v>
      </c>
      <c r="AE11" s="84">
        <f t="shared" si="24"/>
        <v>3250</v>
      </c>
      <c r="AF11" s="84">
        <f t="shared" si="25"/>
        <v>3411</v>
      </c>
      <c r="AG11" s="84">
        <f t="shared" si="26"/>
        <v>3485</v>
      </c>
      <c r="AH11" s="84">
        <f t="shared" si="27"/>
        <v>3587</v>
      </c>
    </row>
    <row r="12" spans="3:34">
      <c r="C12" s="84" t="s">
        <v>205</v>
      </c>
      <c r="D12" s="84" t="s">
        <v>195</v>
      </c>
      <c r="E12" s="84">
        <f t="shared" si="0"/>
        <v>578</v>
      </c>
      <c r="F12" s="84">
        <f t="shared" si="1"/>
        <v>652</v>
      </c>
      <c r="G12" s="84">
        <f t="shared" si="2"/>
        <v>754</v>
      </c>
      <c r="H12" s="84">
        <f t="shared" si="3"/>
        <v>865</v>
      </c>
      <c r="I12" s="84">
        <f t="shared" si="4"/>
        <v>939</v>
      </c>
      <c r="J12" s="84">
        <f t="shared" si="5"/>
        <v>1041</v>
      </c>
      <c r="K12" s="84">
        <f t="shared" si="6"/>
        <v>1152</v>
      </c>
      <c r="L12" s="84">
        <f t="shared" si="7"/>
        <v>1226</v>
      </c>
      <c r="M12" s="84">
        <f t="shared" si="8"/>
        <v>1328</v>
      </c>
      <c r="N12" s="84">
        <f t="shared" si="30"/>
        <v>1439</v>
      </c>
      <c r="O12" s="84">
        <f t="shared" si="10"/>
        <v>1513</v>
      </c>
      <c r="P12" s="84">
        <f t="shared" si="11"/>
        <v>1615</v>
      </c>
      <c r="Q12" s="84">
        <f t="shared" si="12"/>
        <v>1776</v>
      </c>
      <c r="R12" s="84">
        <f t="shared" si="13"/>
        <v>1850</v>
      </c>
      <c r="S12" s="84">
        <f t="shared" si="14"/>
        <v>1952</v>
      </c>
      <c r="T12" s="85">
        <f>S12+25+IF(T55=1, $E$84, $E$85)+5</f>
        <v>2118</v>
      </c>
      <c r="U12" s="84">
        <f t="shared" si="16"/>
        <v>2192</v>
      </c>
      <c r="V12" s="84">
        <f t="shared" si="17"/>
        <v>2294</v>
      </c>
      <c r="W12" s="84">
        <f t="shared" si="18"/>
        <v>2455</v>
      </c>
      <c r="X12" s="84">
        <f t="shared" si="19"/>
        <v>2529</v>
      </c>
      <c r="Y12" s="84">
        <f t="shared" si="20"/>
        <v>2631</v>
      </c>
      <c r="Z12" s="84">
        <f>Y12+25+IF(Z55=1, $E$84, $E$85)</f>
        <v>2792</v>
      </c>
      <c r="AA12" s="84">
        <f t="shared" si="21"/>
        <v>2866</v>
      </c>
      <c r="AB12" s="84">
        <f t="shared" si="31"/>
        <v>2968</v>
      </c>
      <c r="AC12" s="84">
        <f t="shared" si="29"/>
        <v>3129</v>
      </c>
      <c r="AD12" s="84">
        <f t="shared" si="23"/>
        <v>3203</v>
      </c>
      <c r="AE12" s="84">
        <f t="shared" si="24"/>
        <v>3305</v>
      </c>
      <c r="AF12" s="84">
        <f t="shared" si="25"/>
        <v>3416</v>
      </c>
      <c r="AG12" s="84">
        <f t="shared" si="26"/>
        <v>3490</v>
      </c>
      <c r="AH12" s="84">
        <f t="shared" si="27"/>
        <v>3592</v>
      </c>
    </row>
    <row r="13" spans="3:34">
      <c r="C13" s="84" t="s">
        <v>206</v>
      </c>
      <c r="D13" s="84" t="s">
        <v>195</v>
      </c>
      <c r="E13" s="84">
        <f t="shared" si="0"/>
        <v>528</v>
      </c>
      <c r="F13" s="84">
        <f t="shared" si="1"/>
        <v>602</v>
      </c>
      <c r="G13" s="84">
        <f t="shared" si="2"/>
        <v>704</v>
      </c>
      <c r="H13" s="84">
        <f t="shared" si="3"/>
        <v>815</v>
      </c>
      <c r="I13" s="84">
        <f t="shared" si="4"/>
        <v>889</v>
      </c>
      <c r="J13" s="84">
        <f t="shared" si="5"/>
        <v>991</v>
      </c>
      <c r="K13" s="84">
        <f t="shared" si="6"/>
        <v>1102</v>
      </c>
      <c r="L13" s="84">
        <f t="shared" si="7"/>
        <v>1176</v>
      </c>
      <c r="M13" s="84">
        <f t="shared" si="8"/>
        <v>1278</v>
      </c>
      <c r="N13" s="84">
        <f t="shared" si="30"/>
        <v>1389</v>
      </c>
      <c r="O13" s="84">
        <f t="shared" si="10"/>
        <v>1463</v>
      </c>
      <c r="P13" s="84">
        <f t="shared" si="11"/>
        <v>1565</v>
      </c>
      <c r="Q13" s="84">
        <f t="shared" si="12"/>
        <v>1676</v>
      </c>
      <c r="R13" s="84">
        <f t="shared" si="13"/>
        <v>1750</v>
      </c>
      <c r="S13" s="84">
        <f t="shared" si="14"/>
        <v>1852</v>
      </c>
      <c r="T13" s="84">
        <f t="shared" ref="T13:T21" si="32">S13+25+IF(T56=1, $E$84, $E$85)</f>
        <v>1963</v>
      </c>
      <c r="U13" s="84">
        <f t="shared" si="16"/>
        <v>2037</v>
      </c>
      <c r="V13" s="84">
        <f t="shared" si="17"/>
        <v>2139</v>
      </c>
      <c r="W13" s="84">
        <f t="shared" si="18"/>
        <v>2250</v>
      </c>
      <c r="X13" s="84">
        <f t="shared" si="19"/>
        <v>2324</v>
      </c>
      <c r="Y13" s="84">
        <f t="shared" si="20"/>
        <v>2426</v>
      </c>
      <c r="Z13" s="84">
        <f>Y13+25+IF(Z56=1, $E$84, $E$85)</f>
        <v>2537</v>
      </c>
      <c r="AA13" s="84">
        <f t="shared" si="21"/>
        <v>2611</v>
      </c>
      <c r="AB13" s="84">
        <f t="shared" si="31"/>
        <v>2713</v>
      </c>
      <c r="AC13" s="84">
        <f t="shared" si="29"/>
        <v>2824</v>
      </c>
      <c r="AD13" s="84">
        <f t="shared" si="23"/>
        <v>2898</v>
      </c>
      <c r="AE13" s="84">
        <f t="shared" si="24"/>
        <v>3000</v>
      </c>
      <c r="AF13" s="84">
        <f t="shared" si="25"/>
        <v>3161</v>
      </c>
      <c r="AG13" s="84">
        <f t="shared" si="26"/>
        <v>3235</v>
      </c>
      <c r="AH13" s="84">
        <f t="shared" si="27"/>
        <v>3337</v>
      </c>
    </row>
    <row r="14" spans="3:34">
      <c r="C14" s="84" t="s">
        <v>194</v>
      </c>
      <c r="D14" s="84" t="s">
        <v>207</v>
      </c>
      <c r="E14" s="84">
        <f t="shared" si="0"/>
        <v>528</v>
      </c>
      <c r="F14" s="84">
        <f t="shared" si="1"/>
        <v>602</v>
      </c>
      <c r="G14" s="84">
        <f t="shared" si="2"/>
        <v>804</v>
      </c>
      <c r="H14" s="84">
        <f t="shared" si="3"/>
        <v>965</v>
      </c>
      <c r="I14" s="84">
        <f t="shared" si="4"/>
        <v>1039</v>
      </c>
      <c r="J14" s="84">
        <f t="shared" si="5"/>
        <v>1241</v>
      </c>
      <c r="K14" s="84">
        <f t="shared" si="6"/>
        <v>1402</v>
      </c>
      <c r="L14" s="84">
        <f t="shared" si="7"/>
        <v>1476</v>
      </c>
      <c r="M14" s="84">
        <f t="shared" si="8"/>
        <v>1678</v>
      </c>
      <c r="N14" s="84">
        <f t="shared" si="30"/>
        <v>1839</v>
      </c>
      <c r="O14" s="84">
        <f t="shared" si="10"/>
        <v>1913</v>
      </c>
      <c r="P14" s="84">
        <f t="shared" si="11"/>
        <v>2115</v>
      </c>
      <c r="Q14" s="84">
        <f t="shared" si="12"/>
        <v>2276</v>
      </c>
      <c r="R14" s="84">
        <f t="shared" si="13"/>
        <v>2350</v>
      </c>
      <c r="S14" s="84">
        <f t="shared" si="14"/>
        <v>2552</v>
      </c>
      <c r="T14" s="84">
        <f t="shared" si="32"/>
        <v>2663</v>
      </c>
      <c r="U14" s="84">
        <f t="shared" si="16"/>
        <v>2737</v>
      </c>
      <c r="V14" s="84">
        <f t="shared" si="17"/>
        <v>2939</v>
      </c>
      <c r="W14" s="84">
        <f t="shared" si="18"/>
        <v>3100</v>
      </c>
      <c r="X14" s="84">
        <f t="shared" si="19"/>
        <v>3174</v>
      </c>
      <c r="Y14" s="84">
        <f t="shared" si="20"/>
        <v>3376</v>
      </c>
      <c r="Z14" s="85">
        <f>Y14+25+IF(Z57=1, $E$84, $E$85)+5</f>
        <v>3542</v>
      </c>
      <c r="AA14" s="86">
        <f t="shared" si="21"/>
        <v>3616</v>
      </c>
      <c r="AB14" s="84">
        <f t="shared" si="31"/>
        <v>3818</v>
      </c>
      <c r="AC14" s="85">
        <f>AB14+25+IF(AC57=1, $E$84, $E$85)+5</f>
        <v>3984</v>
      </c>
      <c r="AD14" s="86">
        <f t="shared" si="23"/>
        <v>4058</v>
      </c>
      <c r="AE14" s="84">
        <f t="shared" si="24"/>
        <v>4260</v>
      </c>
      <c r="AF14" s="84">
        <f t="shared" si="25"/>
        <v>4421</v>
      </c>
      <c r="AG14" s="84">
        <f t="shared" si="26"/>
        <v>4495</v>
      </c>
      <c r="AH14" s="84">
        <f t="shared" si="27"/>
        <v>4697</v>
      </c>
    </row>
    <row r="15" spans="3:34">
      <c r="C15" s="84" t="s">
        <v>196</v>
      </c>
      <c r="D15" s="84" t="s">
        <v>207</v>
      </c>
      <c r="E15" s="84">
        <f t="shared" si="0"/>
        <v>578</v>
      </c>
      <c r="F15" s="84">
        <f t="shared" si="1"/>
        <v>652</v>
      </c>
      <c r="G15" s="84">
        <f t="shared" si="2"/>
        <v>854</v>
      </c>
      <c r="H15" s="84">
        <f t="shared" si="3"/>
        <v>965</v>
      </c>
      <c r="I15" s="84">
        <f t="shared" si="4"/>
        <v>1039</v>
      </c>
      <c r="J15" s="84">
        <f t="shared" si="5"/>
        <v>1241</v>
      </c>
      <c r="K15" s="84">
        <f t="shared" si="6"/>
        <v>1402</v>
      </c>
      <c r="L15" s="84">
        <f t="shared" si="7"/>
        <v>1476</v>
      </c>
      <c r="M15" s="84">
        <f t="shared" si="8"/>
        <v>1678</v>
      </c>
      <c r="N15" s="84">
        <f t="shared" si="30"/>
        <v>1839</v>
      </c>
      <c r="O15" s="84">
        <f t="shared" si="10"/>
        <v>1913</v>
      </c>
      <c r="P15" s="84">
        <f t="shared" si="11"/>
        <v>2115</v>
      </c>
      <c r="Q15" s="84">
        <f t="shared" si="12"/>
        <v>2226</v>
      </c>
      <c r="R15" s="84">
        <f t="shared" si="13"/>
        <v>2300</v>
      </c>
      <c r="S15" s="84">
        <f t="shared" si="14"/>
        <v>2502</v>
      </c>
      <c r="T15" s="84">
        <f t="shared" si="32"/>
        <v>2663</v>
      </c>
      <c r="U15" s="84">
        <f t="shared" si="16"/>
        <v>2737</v>
      </c>
      <c r="V15" s="84">
        <f t="shared" si="17"/>
        <v>2939</v>
      </c>
      <c r="W15" s="84">
        <f t="shared" si="18"/>
        <v>3050</v>
      </c>
      <c r="X15" s="84">
        <f t="shared" si="19"/>
        <v>3124</v>
      </c>
      <c r="Y15" s="84">
        <f t="shared" si="20"/>
        <v>3326</v>
      </c>
      <c r="Z15" s="84">
        <f t="shared" ref="Z15:Z21" si="33">Y15+25+IF(Z58=1, $E$84, $E$85)</f>
        <v>3487</v>
      </c>
      <c r="AA15" s="84">
        <f t="shared" si="21"/>
        <v>3561</v>
      </c>
      <c r="AB15" s="84">
        <f t="shared" si="31"/>
        <v>3763</v>
      </c>
      <c r="AC15" s="84">
        <f t="shared" ref="AC15:AC25" si="34">AB15+25+IF(AC58=1, $E$84, $E$85)</f>
        <v>3924</v>
      </c>
      <c r="AD15" s="84">
        <f t="shared" si="23"/>
        <v>3998</v>
      </c>
      <c r="AE15" s="84">
        <f t="shared" si="24"/>
        <v>4200</v>
      </c>
      <c r="AF15" s="84">
        <f t="shared" si="25"/>
        <v>4311</v>
      </c>
      <c r="AG15" s="84">
        <f t="shared" si="26"/>
        <v>4385</v>
      </c>
      <c r="AH15" s="84">
        <f t="shared" si="27"/>
        <v>4587</v>
      </c>
    </row>
    <row r="16" spans="3:34">
      <c r="C16" s="84" t="s">
        <v>197</v>
      </c>
      <c r="D16" s="84" t="s">
        <v>207</v>
      </c>
      <c r="E16" s="84">
        <f t="shared" si="0"/>
        <v>528</v>
      </c>
      <c r="F16" s="84">
        <f t="shared" si="1"/>
        <v>602</v>
      </c>
      <c r="G16" s="84">
        <f t="shared" si="2"/>
        <v>754</v>
      </c>
      <c r="H16" s="84">
        <f t="shared" si="3"/>
        <v>915</v>
      </c>
      <c r="I16" s="84">
        <f t="shared" si="4"/>
        <v>989</v>
      </c>
      <c r="J16" s="84">
        <f t="shared" si="5"/>
        <v>1191</v>
      </c>
      <c r="K16" s="84">
        <f t="shared" si="6"/>
        <v>1302</v>
      </c>
      <c r="L16" s="84">
        <f t="shared" si="7"/>
        <v>1376</v>
      </c>
      <c r="M16" s="84">
        <f t="shared" si="8"/>
        <v>1578</v>
      </c>
      <c r="N16" s="84">
        <f t="shared" si="30"/>
        <v>1689</v>
      </c>
      <c r="O16" s="84">
        <f t="shared" si="10"/>
        <v>1763</v>
      </c>
      <c r="P16" s="84">
        <f t="shared" si="11"/>
        <v>1965</v>
      </c>
      <c r="Q16" s="84">
        <f t="shared" si="12"/>
        <v>2126</v>
      </c>
      <c r="R16" s="84">
        <f t="shared" si="13"/>
        <v>2200</v>
      </c>
      <c r="S16" s="84">
        <f t="shared" si="14"/>
        <v>2402</v>
      </c>
      <c r="T16" s="84">
        <f t="shared" si="32"/>
        <v>2513</v>
      </c>
      <c r="U16" s="84">
        <f t="shared" si="16"/>
        <v>2587</v>
      </c>
      <c r="V16" s="84">
        <f t="shared" si="17"/>
        <v>2789</v>
      </c>
      <c r="W16" s="84">
        <f t="shared" si="18"/>
        <v>2950</v>
      </c>
      <c r="X16" s="84">
        <f t="shared" si="19"/>
        <v>3024</v>
      </c>
      <c r="Y16" s="84">
        <f t="shared" si="20"/>
        <v>3226</v>
      </c>
      <c r="Z16" s="84">
        <f t="shared" si="33"/>
        <v>3337</v>
      </c>
      <c r="AA16" s="84">
        <f t="shared" si="21"/>
        <v>3411</v>
      </c>
      <c r="AB16" s="84">
        <f t="shared" si="31"/>
        <v>3613</v>
      </c>
      <c r="AC16" s="84">
        <f t="shared" si="34"/>
        <v>3774</v>
      </c>
      <c r="AD16" s="84">
        <f t="shared" si="23"/>
        <v>3848</v>
      </c>
      <c r="AE16" s="84">
        <f t="shared" si="24"/>
        <v>4050</v>
      </c>
      <c r="AF16" s="84">
        <f t="shared" si="25"/>
        <v>4211</v>
      </c>
      <c r="AG16" s="84">
        <f t="shared" si="26"/>
        <v>4285</v>
      </c>
      <c r="AH16" s="84">
        <f t="shared" si="27"/>
        <v>4487</v>
      </c>
    </row>
    <row r="17" spans="3:34">
      <c r="C17" s="84" t="s">
        <v>198</v>
      </c>
      <c r="D17" s="84" t="s">
        <v>207</v>
      </c>
      <c r="E17" s="84">
        <f t="shared" si="0"/>
        <v>578</v>
      </c>
      <c r="F17" s="84">
        <f t="shared" si="1"/>
        <v>652</v>
      </c>
      <c r="G17" s="84">
        <f t="shared" si="2"/>
        <v>854</v>
      </c>
      <c r="H17" s="84">
        <f t="shared" si="3"/>
        <v>1015</v>
      </c>
      <c r="I17" s="84">
        <f t="shared" si="4"/>
        <v>1089</v>
      </c>
      <c r="J17" s="84">
        <f t="shared" si="5"/>
        <v>1291</v>
      </c>
      <c r="K17" s="84">
        <f t="shared" si="6"/>
        <v>1452</v>
      </c>
      <c r="L17" s="84">
        <f t="shared" si="7"/>
        <v>1526</v>
      </c>
      <c r="M17" s="84">
        <f t="shared" si="8"/>
        <v>1728</v>
      </c>
      <c r="N17" s="84">
        <f t="shared" si="30"/>
        <v>1889</v>
      </c>
      <c r="O17" s="84">
        <f t="shared" si="10"/>
        <v>1963</v>
      </c>
      <c r="P17" s="84">
        <f t="shared" si="11"/>
        <v>2165</v>
      </c>
      <c r="Q17" s="84">
        <f t="shared" si="12"/>
        <v>2276</v>
      </c>
      <c r="R17" s="84">
        <f t="shared" si="13"/>
        <v>2350</v>
      </c>
      <c r="S17" s="84">
        <f t="shared" si="14"/>
        <v>2552</v>
      </c>
      <c r="T17" s="84">
        <f t="shared" si="32"/>
        <v>2713</v>
      </c>
      <c r="U17" s="84">
        <f t="shared" si="16"/>
        <v>2787</v>
      </c>
      <c r="V17" s="84">
        <f t="shared" si="17"/>
        <v>2989</v>
      </c>
      <c r="W17" s="84">
        <f t="shared" si="18"/>
        <v>3100</v>
      </c>
      <c r="X17" s="84">
        <f t="shared" si="19"/>
        <v>3174</v>
      </c>
      <c r="Y17" s="84">
        <f t="shared" si="20"/>
        <v>3376</v>
      </c>
      <c r="Z17" s="84">
        <f t="shared" si="33"/>
        <v>3537</v>
      </c>
      <c r="AA17" s="84">
        <f t="shared" si="21"/>
        <v>3611</v>
      </c>
      <c r="AB17" s="84">
        <f t="shared" si="31"/>
        <v>3813</v>
      </c>
      <c r="AC17" s="84">
        <f t="shared" si="34"/>
        <v>3924</v>
      </c>
      <c r="AD17" s="84">
        <f t="shared" si="23"/>
        <v>3998</v>
      </c>
      <c r="AE17" s="84">
        <f t="shared" si="24"/>
        <v>4200</v>
      </c>
      <c r="AF17" s="84">
        <f t="shared" si="25"/>
        <v>4311</v>
      </c>
      <c r="AG17" s="84">
        <f t="shared" si="26"/>
        <v>4385</v>
      </c>
      <c r="AH17" s="84">
        <f t="shared" si="27"/>
        <v>4587</v>
      </c>
    </row>
    <row r="18" spans="3:34">
      <c r="C18" s="84" t="s">
        <v>199</v>
      </c>
      <c r="D18" s="84" t="s">
        <v>207</v>
      </c>
      <c r="E18" s="84">
        <f t="shared" si="0"/>
        <v>528</v>
      </c>
      <c r="F18" s="84">
        <f t="shared" si="1"/>
        <v>602</v>
      </c>
      <c r="G18" s="84">
        <f t="shared" si="2"/>
        <v>804</v>
      </c>
      <c r="H18" s="84">
        <f t="shared" si="3"/>
        <v>965</v>
      </c>
      <c r="I18" s="84">
        <f t="shared" si="4"/>
        <v>1039</v>
      </c>
      <c r="J18" s="84">
        <f t="shared" si="5"/>
        <v>1241</v>
      </c>
      <c r="K18" s="84">
        <f t="shared" si="6"/>
        <v>1402</v>
      </c>
      <c r="L18" s="84">
        <f t="shared" si="7"/>
        <v>1476</v>
      </c>
      <c r="M18" s="84">
        <f t="shared" si="8"/>
        <v>1678</v>
      </c>
      <c r="N18" s="84">
        <f t="shared" si="30"/>
        <v>1839</v>
      </c>
      <c r="O18" s="84">
        <f t="shared" si="10"/>
        <v>1913</v>
      </c>
      <c r="P18" s="84">
        <f t="shared" si="11"/>
        <v>2115</v>
      </c>
      <c r="Q18" s="84">
        <f t="shared" si="12"/>
        <v>2276</v>
      </c>
      <c r="R18" s="84">
        <f t="shared" si="13"/>
        <v>2350</v>
      </c>
      <c r="S18" s="84">
        <f t="shared" si="14"/>
        <v>2552</v>
      </c>
      <c r="T18" s="84">
        <f t="shared" si="32"/>
        <v>2713</v>
      </c>
      <c r="U18" s="84">
        <f t="shared" si="16"/>
        <v>2787</v>
      </c>
      <c r="V18" s="84">
        <f t="shared" si="17"/>
        <v>2989</v>
      </c>
      <c r="W18" s="84">
        <f t="shared" si="18"/>
        <v>3100</v>
      </c>
      <c r="X18" s="84">
        <f t="shared" si="19"/>
        <v>3174</v>
      </c>
      <c r="Y18" s="84">
        <f t="shared" si="20"/>
        <v>3376</v>
      </c>
      <c r="Z18" s="84">
        <f t="shared" si="33"/>
        <v>3537</v>
      </c>
      <c r="AA18" s="84">
        <f t="shared" si="21"/>
        <v>3611</v>
      </c>
      <c r="AB18" s="84">
        <f t="shared" si="31"/>
        <v>3813</v>
      </c>
      <c r="AC18" s="84">
        <f t="shared" si="34"/>
        <v>3974</v>
      </c>
      <c r="AD18" s="84">
        <f t="shared" si="23"/>
        <v>4048</v>
      </c>
      <c r="AE18" s="84">
        <f t="shared" si="24"/>
        <v>4250</v>
      </c>
      <c r="AF18" s="84">
        <f t="shared" si="25"/>
        <v>4411</v>
      </c>
      <c r="AG18" s="84">
        <f t="shared" si="26"/>
        <v>4485</v>
      </c>
      <c r="AH18" s="84">
        <f t="shared" si="27"/>
        <v>4687</v>
      </c>
    </row>
    <row r="19" spans="3:34">
      <c r="C19" s="84" t="s">
        <v>200</v>
      </c>
      <c r="D19" s="84" t="s">
        <v>207</v>
      </c>
      <c r="E19" s="84">
        <f t="shared" si="0"/>
        <v>578</v>
      </c>
      <c r="F19" s="84">
        <f t="shared" si="1"/>
        <v>652</v>
      </c>
      <c r="G19" s="84">
        <f t="shared" si="2"/>
        <v>854</v>
      </c>
      <c r="H19" s="84">
        <f t="shared" si="3"/>
        <v>1015</v>
      </c>
      <c r="I19" s="84">
        <f t="shared" si="4"/>
        <v>1089</v>
      </c>
      <c r="J19" s="84">
        <f t="shared" si="5"/>
        <v>1291</v>
      </c>
      <c r="K19" s="84">
        <f t="shared" si="6"/>
        <v>1452</v>
      </c>
      <c r="L19" s="84">
        <f t="shared" si="7"/>
        <v>1526</v>
      </c>
      <c r="M19" s="84">
        <f t="shared" si="8"/>
        <v>1728</v>
      </c>
      <c r="N19" s="84">
        <f t="shared" si="30"/>
        <v>1889</v>
      </c>
      <c r="O19" s="84">
        <f t="shared" si="10"/>
        <v>1963</v>
      </c>
      <c r="P19" s="84">
        <f t="shared" si="11"/>
        <v>2165</v>
      </c>
      <c r="Q19" s="84">
        <f t="shared" si="12"/>
        <v>2326</v>
      </c>
      <c r="R19" s="84">
        <f t="shared" si="13"/>
        <v>2400</v>
      </c>
      <c r="S19" s="84">
        <f t="shared" si="14"/>
        <v>2602</v>
      </c>
      <c r="T19" s="84">
        <f t="shared" si="32"/>
        <v>2763</v>
      </c>
      <c r="U19" s="84">
        <f t="shared" si="16"/>
        <v>2837</v>
      </c>
      <c r="V19" s="84">
        <f t="shared" si="17"/>
        <v>3039</v>
      </c>
      <c r="W19" s="84">
        <f t="shared" si="18"/>
        <v>3200</v>
      </c>
      <c r="X19" s="84">
        <f t="shared" si="19"/>
        <v>3274</v>
      </c>
      <c r="Y19" s="84">
        <f t="shared" si="20"/>
        <v>3476</v>
      </c>
      <c r="Z19" s="84">
        <f t="shared" si="33"/>
        <v>3637</v>
      </c>
      <c r="AA19" s="84">
        <f t="shared" si="21"/>
        <v>3711</v>
      </c>
      <c r="AB19" s="84">
        <f t="shared" si="31"/>
        <v>3913</v>
      </c>
      <c r="AC19" s="84">
        <f t="shared" si="34"/>
        <v>4074</v>
      </c>
      <c r="AD19" s="84">
        <f t="shared" si="23"/>
        <v>4148</v>
      </c>
      <c r="AE19" s="84">
        <f t="shared" si="24"/>
        <v>4350</v>
      </c>
      <c r="AF19" s="84">
        <f t="shared" si="25"/>
        <v>4511</v>
      </c>
      <c r="AG19" s="84">
        <f t="shared" si="26"/>
        <v>4585</v>
      </c>
      <c r="AH19" s="84">
        <f t="shared" si="27"/>
        <v>4787</v>
      </c>
    </row>
    <row r="20" spans="3:34">
      <c r="C20" s="84" t="s">
        <v>201</v>
      </c>
      <c r="D20" s="84" t="s">
        <v>207</v>
      </c>
      <c r="E20" s="84">
        <f t="shared" si="0"/>
        <v>578</v>
      </c>
      <c r="F20" s="84">
        <f t="shared" si="1"/>
        <v>652</v>
      </c>
      <c r="G20" s="84">
        <f t="shared" si="2"/>
        <v>854</v>
      </c>
      <c r="H20" s="84">
        <f t="shared" si="3"/>
        <v>965</v>
      </c>
      <c r="I20" s="84">
        <f t="shared" si="4"/>
        <v>1039</v>
      </c>
      <c r="J20" s="84">
        <f t="shared" si="5"/>
        <v>1241</v>
      </c>
      <c r="K20" s="84">
        <f t="shared" si="6"/>
        <v>1352</v>
      </c>
      <c r="L20" s="84">
        <f t="shared" si="7"/>
        <v>1426</v>
      </c>
      <c r="M20" s="84">
        <f t="shared" si="8"/>
        <v>1628</v>
      </c>
      <c r="N20" s="84">
        <f t="shared" si="30"/>
        <v>1739</v>
      </c>
      <c r="O20" s="84">
        <f t="shared" si="10"/>
        <v>1813</v>
      </c>
      <c r="P20" s="84">
        <f t="shared" si="11"/>
        <v>2015</v>
      </c>
      <c r="Q20" s="84">
        <f t="shared" si="12"/>
        <v>2176</v>
      </c>
      <c r="R20" s="84">
        <f t="shared" si="13"/>
        <v>2250</v>
      </c>
      <c r="S20" s="84">
        <f t="shared" si="14"/>
        <v>2452</v>
      </c>
      <c r="T20" s="84">
        <f t="shared" si="32"/>
        <v>2613</v>
      </c>
      <c r="U20" s="84">
        <f t="shared" si="16"/>
        <v>2687</v>
      </c>
      <c r="V20" s="84">
        <f t="shared" si="17"/>
        <v>2889</v>
      </c>
      <c r="W20" s="84">
        <f t="shared" si="18"/>
        <v>3050</v>
      </c>
      <c r="X20" s="84">
        <f t="shared" si="19"/>
        <v>3124</v>
      </c>
      <c r="Y20" s="84">
        <f t="shared" si="20"/>
        <v>3326</v>
      </c>
      <c r="Z20" s="84">
        <f t="shared" si="33"/>
        <v>3437</v>
      </c>
      <c r="AA20" s="84">
        <f t="shared" si="21"/>
        <v>3511</v>
      </c>
      <c r="AB20" s="84">
        <f t="shared" si="31"/>
        <v>3713</v>
      </c>
      <c r="AC20" s="84">
        <f t="shared" si="34"/>
        <v>3874</v>
      </c>
      <c r="AD20" s="84">
        <f t="shared" si="23"/>
        <v>3948</v>
      </c>
      <c r="AE20" s="84">
        <f t="shared" si="24"/>
        <v>4150</v>
      </c>
      <c r="AF20" s="84">
        <f t="shared" si="25"/>
        <v>4261</v>
      </c>
      <c r="AG20" s="84">
        <f t="shared" si="26"/>
        <v>4335</v>
      </c>
      <c r="AH20" s="84">
        <f t="shared" si="27"/>
        <v>4537</v>
      </c>
    </row>
    <row r="21" spans="3:34">
      <c r="C21" s="84" t="s">
        <v>202</v>
      </c>
      <c r="D21" s="84" t="s">
        <v>207</v>
      </c>
      <c r="E21" s="84">
        <f t="shared" si="0"/>
        <v>578</v>
      </c>
      <c r="F21" s="84">
        <f t="shared" si="1"/>
        <v>652</v>
      </c>
      <c r="G21" s="84">
        <f t="shared" si="2"/>
        <v>854</v>
      </c>
      <c r="H21" s="84">
        <f t="shared" si="3"/>
        <v>965</v>
      </c>
      <c r="I21" s="84">
        <f t="shared" si="4"/>
        <v>1039</v>
      </c>
      <c r="J21" s="84">
        <f t="shared" si="5"/>
        <v>1241</v>
      </c>
      <c r="K21" s="84">
        <f t="shared" si="6"/>
        <v>1352</v>
      </c>
      <c r="L21" s="84">
        <f t="shared" si="7"/>
        <v>1426</v>
      </c>
      <c r="M21" s="84">
        <f t="shared" si="8"/>
        <v>1628</v>
      </c>
      <c r="N21" s="84">
        <f t="shared" si="30"/>
        <v>1739</v>
      </c>
      <c r="O21" s="84">
        <f t="shared" si="10"/>
        <v>1813</v>
      </c>
      <c r="P21" s="84">
        <f t="shared" si="11"/>
        <v>2015</v>
      </c>
      <c r="Q21" s="84">
        <f t="shared" si="12"/>
        <v>2176</v>
      </c>
      <c r="R21" s="84">
        <f t="shared" si="13"/>
        <v>2250</v>
      </c>
      <c r="S21" s="84">
        <f t="shared" si="14"/>
        <v>2452</v>
      </c>
      <c r="T21" s="84">
        <f t="shared" si="32"/>
        <v>2563</v>
      </c>
      <c r="U21" s="84">
        <f t="shared" si="16"/>
        <v>2637</v>
      </c>
      <c r="V21" s="84">
        <f t="shared" si="17"/>
        <v>2839</v>
      </c>
      <c r="W21" s="84">
        <f t="shared" si="18"/>
        <v>2950</v>
      </c>
      <c r="X21" s="84">
        <f t="shared" si="19"/>
        <v>3024</v>
      </c>
      <c r="Y21" s="84">
        <f t="shared" si="20"/>
        <v>3226</v>
      </c>
      <c r="Z21" s="84">
        <f t="shared" si="33"/>
        <v>3387</v>
      </c>
      <c r="AA21" s="84">
        <f t="shared" si="21"/>
        <v>3461</v>
      </c>
      <c r="AB21" s="84">
        <f t="shared" si="31"/>
        <v>3663</v>
      </c>
      <c r="AC21" s="84">
        <f t="shared" si="34"/>
        <v>3774</v>
      </c>
      <c r="AD21" s="84">
        <f t="shared" si="23"/>
        <v>3848</v>
      </c>
      <c r="AE21" s="84">
        <f t="shared" si="24"/>
        <v>4050</v>
      </c>
      <c r="AF21" s="84">
        <f t="shared" si="25"/>
        <v>4161</v>
      </c>
      <c r="AG21" s="84">
        <f t="shared" si="26"/>
        <v>4235</v>
      </c>
      <c r="AH21" s="84">
        <f t="shared" si="27"/>
        <v>4437</v>
      </c>
    </row>
    <row r="22" spans="3:34">
      <c r="C22" s="84" t="s">
        <v>203</v>
      </c>
      <c r="D22" s="84" t="s">
        <v>207</v>
      </c>
      <c r="E22" s="84">
        <f t="shared" si="0"/>
        <v>578</v>
      </c>
      <c r="F22" s="84">
        <f t="shared" si="1"/>
        <v>652</v>
      </c>
      <c r="G22" s="84">
        <f t="shared" si="2"/>
        <v>854</v>
      </c>
      <c r="H22" s="84">
        <f t="shared" si="3"/>
        <v>1015</v>
      </c>
      <c r="I22" s="84">
        <f t="shared" si="4"/>
        <v>1089</v>
      </c>
      <c r="J22" s="84">
        <f t="shared" si="5"/>
        <v>1291</v>
      </c>
      <c r="K22" s="84">
        <f t="shared" si="6"/>
        <v>1452</v>
      </c>
      <c r="L22" s="84">
        <f t="shared" si="7"/>
        <v>1526</v>
      </c>
      <c r="M22" s="84">
        <f t="shared" si="8"/>
        <v>1728</v>
      </c>
      <c r="N22" s="85">
        <f>M22+25+IF(N65=1, $E$84, $E$85)+5</f>
        <v>1894</v>
      </c>
      <c r="O22" s="84">
        <f t="shared" si="10"/>
        <v>1968</v>
      </c>
      <c r="P22" s="84">
        <f t="shared" si="11"/>
        <v>2170</v>
      </c>
      <c r="Q22" s="84">
        <f t="shared" si="12"/>
        <v>2331</v>
      </c>
      <c r="R22" s="84">
        <f t="shared" si="13"/>
        <v>2405</v>
      </c>
      <c r="S22" s="84">
        <f t="shared" si="14"/>
        <v>2607</v>
      </c>
      <c r="T22" s="85">
        <f>S22+25+IF(T65=1, $E$84, $E$85)+5</f>
        <v>2723</v>
      </c>
      <c r="U22" s="84">
        <f t="shared" si="16"/>
        <v>2797</v>
      </c>
      <c r="V22" s="84">
        <f t="shared" si="17"/>
        <v>2999</v>
      </c>
      <c r="W22" s="84">
        <f t="shared" si="18"/>
        <v>3110</v>
      </c>
      <c r="X22" s="84">
        <f t="shared" si="19"/>
        <v>3184</v>
      </c>
      <c r="Y22" s="84">
        <f t="shared" si="20"/>
        <v>3386</v>
      </c>
      <c r="Z22" s="85">
        <f>Y22+25+IF(Z65=1, $E$84, $E$85)+5</f>
        <v>3552</v>
      </c>
      <c r="AA22" s="84">
        <f t="shared" si="21"/>
        <v>3626</v>
      </c>
      <c r="AB22" s="84">
        <f t="shared" si="31"/>
        <v>3828</v>
      </c>
      <c r="AC22" s="84">
        <f t="shared" si="34"/>
        <v>3939</v>
      </c>
      <c r="AD22" s="84">
        <f t="shared" si="23"/>
        <v>4013</v>
      </c>
      <c r="AE22" s="84">
        <f t="shared" si="24"/>
        <v>4215</v>
      </c>
      <c r="AF22" s="84">
        <f t="shared" si="25"/>
        <v>4326</v>
      </c>
      <c r="AG22" s="84">
        <f t="shared" si="26"/>
        <v>4400</v>
      </c>
      <c r="AH22" s="84">
        <f t="shared" si="27"/>
        <v>4602</v>
      </c>
    </row>
    <row r="23" spans="3:34">
      <c r="C23" s="84" t="s">
        <v>204</v>
      </c>
      <c r="D23" s="84" t="s">
        <v>207</v>
      </c>
      <c r="E23" s="84">
        <f t="shared" si="0"/>
        <v>528</v>
      </c>
      <c r="F23" s="84">
        <f t="shared" si="1"/>
        <v>602</v>
      </c>
      <c r="G23" s="84">
        <f t="shared" si="2"/>
        <v>804</v>
      </c>
      <c r="H23" s="84">
        <f t="shared" si="3"/>
        <v>915</v>
      </c>
      <c r="I23" s="84">
        <f t="shared" si="4"/>
        <v>989</v>
      </c>
      <c r="J23" s="84">
        <f t="shared" si="5"/>
        <v>1191</v>
      </c>
      <c r="K23" s="84">
        <f t="shared" si="6"/>
        <v>1302</v>
      </c>
      <c r="L23" s="84">
        <f t="shared" si="7"/>
        <v>1376</v>
      </c>
      <c r="M23" s="84">
        <f t="shared" si="8"/>
        <v>1578</v>
      </c>
      <c r="N23" s="84">
        <f t="shared" ref="N23:N33" si="35">M23+25+IF(N66=1, $E$84, $E$85)</f>
        <v>1739</v>
      </c>
      <c r="O23" s="84">
        <f t="shared" si="10"/>
        <v>1813</v>
      </c>
      <c r="P23" s="84">
        <f t="shared" si="11"/>
        <v>2015</v>
      </c>
      <c r="Q23" s="84">
        <f t="shared" si="12"/>
        <v>2126</v>
      </c>
      <c r="R23" s="84">
        <f t="shared" si="13"/>
        <v>2200</v>
      </c>
      <c r="S23" s="84">
        <f t="shared" si="14"/>
        <v>2402</v>
      </c>
      <c r="T23" s="84">
        <f>S23+25+IF(T66=1, $E$84, $E$85)</f>
        <v>2563</v>
      </c>
      <c r="U23" s="84">
        <f t="shared" si="16"/>
        <v>2637</v>
      </c>
      <c r="V23" s="84">
        <f t="shared" si="17"/>
        <v>2839</v>
      </c>
      <c r="W23" s="84">
        <f t="shared" si="18"/>
        <v>3000</v>
      </c>
      <c r="X23" s="84">
        <f t="shared" si="19"/>
        <v>3074</v>
      </c>
      <c r="Y23" s="84">
        <f t="shared" si="20"/>
        <v>3276</v>
      </c>
      <c r="Z23" s="84">
        <f>Y23+25+IF(Z66=1, $E$84, $E$85)</f>
        <v>3437</v>
      </c>
      <c r="AA23" s="84">
        <f t="shared" si="21"/>
        <v>3511</v>
      </c>
      <c r="AB23" s="84">
        <f t="shared" si="31"/>
        <v>3713</v>
      </c>
      <c r="AC23" s="84">
        <f t="shared" si="34"/>
        <v>3874</v>
      </c>
      <c r="AD23" s="84">
        <f t="shared" si="23"/>
        <v>3948</v>
      </c>
      <c r="AE23" s="84">
        <f t="shared" si="24"/>
        <v>4150</v>
      </c>
      <c r="AF23" s="84">
        <f t="shared" si="25"/>
        <v>4311</v>
      </c>
      <c r="AG23" s="84">
        <f t="shared" si="26"/>
        <v>4385</v>
      </c>
      <c r="AH23" s="84">
        <f t="shared" si="27"/>
        <v>4587</v>
      </c>
    </row>
    <row r="24" spans="3:34">
      <c r="C24" s="84" t="s">
        <v>205</v>
      </c>
      <c r="D24" s="84" t="s">
        <v>207</v>
      </c>
      <c r="E24" s="84">
        <f t="shared" si="0"/>
        <v>578</v>
      </c>
      <c r="F24" s="84">
        <f t="shared" si="1"/>
        <v>652</v>
      </c>
      <c r="G24" s="84">
        <f t="shared" si="2"/>
        <v>854</v>
      </c>
      <c r="H24" s="84">
        <f t="shared" si="3"/>
        <v>965</v>
      </c>
      <c r="I24" s="84">
        <f t="shared" si="4"/>
        <v>1039</v>
      </c>
      <c r="J24" s="84">
        <f t="shared" si="5"/>
        <v>1241</v>
      </c>
      <c r="K24" s="84">
        <f t="shared" si="6"/>
        <v>1352</v>
      </c>
      <c r="L24" s="84">
        <f t="shared" si="7"/>
        <v>1426</v>
      </c>
      <c r="M24" s="84">
        <f t="shared" si="8"/>
        <v>1628</v>
      </c>
      <c r="N24" s="84">
        <f t="shared" si="35"/>
        <v>1739</v>
      </c>
      <c r="O24" s="84">
        <f t="shared" si="10"/>
        <v>1813</v>
      </c>
      <c r="P24" s="84">
        <f t="shared" si="11"/>
        <v>2015</v>
      </c>
      <c r="Q24" s="84">
        <f t="shared" si="12"/>
        <v>2176</v>
      </c>
      <c r="R24" s="84">
        <f t="shared" si="13"/>
        <v>2250</v>
      </c>
      <c r="S24" s="84">
        <f t="shared" si="14"/>
        <v>2452</v>
      </c>
      <c r="T24" s="85">
        <f>S24+25+IF(T67=1, $E$84, $E$85)+5</f>
        <v>2618</v>
      </c>
      <c r="U24" s="84">
        <f t="shared" si="16"/>
        <v>2692</v>
      </c>
      <c r="V24" s="84">
        <f t="shared" si="17"/>
        <v>2894</v>
      </c>
      <c r="W24" s="84">
        <f t="shared" si="18"/>
        <v>3055</v>
      </c>
      <c r="X24" s="84">
        <f t="shared" si="19"/>
        <v>3129</v>
      </c>
      <c r="Y24" s="84">
        <f t="shared" si="20"/>
        <v>3331</v>
      </c>
      <c r="Z24" s="84">
        <f>Y24+25+IF(Z67=1, $E$84, $E$85)</f>
        <v>3492</v>
      </c>
      <c r="AA24" s="84">
        <f t="shared" si="21"/>
        <v>3566</v>
      </c>
      <c r="AB24" s="84">
        <f t="shared" si="31"/>
        <v>3768</v>
      </c>
      <c r="AC24" s="84">
        <f t="shared" si="34"/>
        <v>3929</v>
      </c>
      <c r="AD24" s="84">
        <f t="shared" si="23"/>
        <v>4003</v>
      </c>
      <c r="AE24" s="84">
        <f t="shared" si="24"/>
        <v>4205</v>
      </c>
      <c r="AF24" s="84">
        <f t="shared" si="25"/>
        <v>4316</v>
      </c>
      <c r="AG24" s="84">
        <f t="shared" si="26"/>
        <v>4390</v>
      </c>
      <c r="AH24" s="84">
        <f t="shared" si="27"/>
        <v>4592</v>
      </c>
    </row>
    <row r="25" spans="3:34">
      <c r="C25" s="84" t="s">
        <v>206</v>
      </c>
      <c r="D25" s="84" t="s">
        <v>207</v>
      </c>
      <c r="E25" s="84">
        <f t="shared" si="0"/>
        <v>528</v>
      </c>
      <c r="F25" s="84">
        <f t="shared" si="1"/>
        <v>602</v>
      </c>
      <c r="G25" s="84">
        <f t="shared" si="2"/>
        <v>804</v>
      </c>
      <c r="H25" s="84">
        <f t="shared" si="3"/>
        <v>915</v>
      </c>
      <c r="I25" s="84">
        <f t="shared" si="4"/>
        <v>989</v>
      </c>
      <c r="J25" s="84">
        <f t="shared" si="5"/>
        <v>1191</v>
      </c>
      <c r="K25" s="84">
        <f t="shared" si="6"/>
        <v>1302</v>
      </c>
      <c r="L25" s="84">
        <f t="shared" si="7"/>
        <v>1376</v>
      </c>
      <c r="M25" s="84">
        <f t="shared" si="8"/>
        <v>1578</v>
      </c>
      <c r="N25" s="84">
        <f t="shared" si="35"/>
        <v>1689</v>
      </c>
      <c r="O25" s="84">
        <f t="shared" si="10"/>
        <v>1763</v>
      </c>
      <c r="P25" s="84">
        <f t="shared" si="11"/>
        <v>1965</v>
      </c>
      <c r="Q25" s="84">
        <f t="shared" si="12"/>
        <v>2076</v>
      </c>
      <c r="R25" s="84">
        <f t="shared" si="13"/>
        <v>2150</v>
      </c>
      <c r="S25" s="84">
        <f t="shared" si="14"/>
        <v>2352</v>
      </c>
      <c r="T25" s="84">
        <f t="shared" ref="T25:T33" si="36">S25+25+IF(T68=1, $E$84, $E$85)</f>
        <v>2463</v>
      </c>
      <c r="U25" s="84">
        <f t="shared" si="16"/>
        <v>2537</v>
      </c>
      <c r="V25" s="84">
        <f t="shared" si="17"/>
        <v>2739</v>
      </c>
      <c r="W25" s="84">
        <f t="shared" si="18"/>
        <v>2850</v>
      </c>
      <c r="X25" s="84">
        <f t="shared" si="19"/>
        <v>2924</v>
      </c>
      <c r="Y25" s="84">
        <f t="shared" si="20"/>
        <v>3126</v>
      </c>
      <c r="Z25" s="84">
        <f>Y25+25+IF(Z68=1, $E$84, $E$85)</f>
        <v>3237</v>
      </c>
      <c r="AA25" s="84">
        <f t="shared" si="21"/>
        <v>3311</v>
      </c>
      <c r="AB25" s="84">
        <f t="shared" si="31"/>
        <v>3513</v>
      </c>
      <c r="AC25" s="84">
        <f t="shared" si="34"/>
        <v>3624</v>
      </c>
      <c r="AD25" s="84">
        <f t="shared" si="23"/>
        <v>3698</v>
      </c>
      <c r="AE25" s="84">
        <f t="shared" si="24"/>
        <v>3900</v>
      </c>
      <c r="AF25" s="84">
        <f t="shared" si="25"/>
        <v>4061</v>
      </c>
      <c r="AG25" s="84">
        <f t="shared" si="26"/>
        <v>4135</v>
      </c>
      <c r="AH25" s="84">
        <f t="shared" si="27"/>
        <v>4337</v>
      </c>
    </row>
    <row r="26" spans="3:34">
      <c r="C26" s="84" t="s">
        <v>194</v>
      </c>
      <c r="D26" s="84" t="s">
        <v>208</v>
      </c>
      <c r="E26" s="84">
        <f t="shared" si="0"/>
        <v>528</v>
      </c>
      <c r="F26" s="84">
        <f t="shared" si="1"/>
        <v>602</v>
      </c>
      <c r="G26" s="84">
        <f t="shared" si="2"/>
        <v>1004</v>
      </c>
      <c r="H26" s="84">
        <f t="shared" si="3"/>
        <v>1165</v>
      </c>
      <c r="I26" s="84">
        <f t="shared" si="4"/>
        <v>1239</v>
      </c>
      <c r="J26" s="84">
        <f t="shared" si="5"/>
        <v>1641</v>
      </c>
      <c r="K26" s="84">
        <f t="shared" si="6"/>
        <v>1802</v>
      </c>
      <c r="L26" s="84">
        <f t="shared" si="7"/>
        <v>1876</v>
      </c>
      <c r="M26" s="84">
        <f t="shared" si="8"/>
        <v>2278</v>
      </c>
      <c r="N26" s="84">
        <f t="shared" si="35"/>
        <v>2439</v>
      </c>
      <c r="O26" s="84">
        <f t="shared" si="10"/>
        <v>2513</v>
      </c>
      <c r="P26" s="84">
        <f t="shared" si="11"/>
        <v>2915</v>
      </c>
      <c r="Q26" s="84">
        <f t="shared" si="12"/>
        <v>3076</v>
      </c>
      <c r="R26" s="84">
        <f t="shared" si="13"/>
        <v>3150</v>
      </c>
      <c r="S26" s="84">
        <f t="shared" si="14"/>
        <v>3552</v>
      </c>
      <c r="T26" s="84">
        <f t="shared" si="36"/>
        <v>3663</v>
      </c>
      <c r="U26" s="84">
        <f t="shared" si="16"/>
        <v>3737</v>
      </c>
      <c r="V26" s="84">
        <f t="shared" si="17"/>
        <v>4089</v>
      </c>
      <c r="W26" s="84">
        <f t="shared" si="18"/>
        <v>4250</v>
      </c>
      <c r="X26" s="84">
        <f t="shared" si="19"/>
        <v>4324</v>
      </c>
      <c r="Y26" s="84">
        <f t="shared" si="20"/>
        <v>4726</v>
      </c>
      <c r="Z26" s="85">
        <f>Y26+25+IF(Z69=1, $E$84, $E$85)+5</f>
        <v>4892</v>
      </c>
      <c r="AA26" s="86">
        <f t="shared" si="21"/>
        <v>4966</v>
      </c>
      <c r="AB26" s="84">
        <f t="shared" si="31"/>
        <v>5368</v>
      </c>
      <c r="AC26" s="85">
        <f>AB26+25+IF(AC69=1, $E$84, $E$85)+5</f>
        <v>5534</v>
      </c>
      <c r="AD26" s="86">
        <f t="shared" si="23"/>
        <v>5608</v>
      </c>
      <c r="AE26" s="84">
        <f t="shared" si="24"/>
        <v>6010</v>
      </c>
      <c r="AF26" s="84">
        <f t="shared" si="25"/>
        <v>6171</v>
      </c>
      <c r="AG26" s="84">
        <f t="shared" si="26"/>
        <v>6245</v>
      </c>
      <c r="AH26" s="84">
        <f t="shared" si="27"/>
        <v>6647</v>
      </c>
    </row>
    <row r="27" spans="3:34">
      <c r="C27" s="84" t="s">
        <v>196</v>
      </c>
      <c r="D27" s="84" t="s">
        <v>208</v>
      </c>
      <c r="E27" s="84">
        <f t="shared" si="0"/>
        <v>578</v>
      </c>
      <c r="F27" s="84">
        <f t="shared" si="1"/>
        <v>652</v>
      </c>
      <c r="G27" s="84">
        <f t="shared" si="2"/>
        <v>1054</v>
      </c>
      <c r="H27" s="84">
        <f t="shared" si="3"/>
        <v>1165</v>
      </c>
      <c r="I27" s="84">
        <f t="shared" si="4"/>
        <v>1239</v>
      </c>
      <c r="J27" s="84">
        <f t="shared" si="5"/>
        <v>1641</v>
      </c>
      <c r="K27" s="84">
        <f t="shared" si="6"/>
        <v>1802</v>
      </c>
      <c r="L27" s="84">
        <f t="shared" si="7"/>
        <v>1876</v>
      </c>
      <c r="M27" s="84">
        <f t="shared" si="8"/>
        <v>2228</v>
      </c>
      <c r="N27" s="84">
        <f t="shared" si="35"/>
        <v>2389</v>
      </c>
      <c r="O27" s="84">
        <f t="shared" si="10"/>
        <v>2463</v>
      </c>
      <c r="P27" s="84">
        <f t="shared" si="11"/>
        <v>2865</v>
      </c>
      <c r="Q27" s="84">
        <f t="shared" si="12"/>
        <v>2976</v>
      </c>
      <c r="R27" s="84">
        <f t="shared" si="13"/>
        <v>3050</v>
      </c>
      <c r="S27" s="84">
        <f t="shared" si="14"/>
        <v>3452</v>
      </c>
      <c r="T27" s="84">
        <f t="shared" si="36"/>
        <v>3613</v>
      </c>
      <c r="U27" s="84">
        <f t="shared" si="16"/>
        <v>3687</v>
      </c>
      <c r="V27" s="84">
        <f t="shared" si="17"/>
        <v>4039</v>
      </c>
      <c r="W27" s="84">
        <f t="shared" si="18"/>
        <v>4150</v>
      </c>
      <c r="X27" s="84">
        <f t="shared" si="19"/>
        <v>4224</v>
      </c>
      <c r="Y27" s="84">
        <f t="shared" si="20"/>
        <v>4626</v>
      </c>
      <c r="Z27" s="84">
        <f t="shared" ref="Z27:Z33" si="37">Y27+25+IF(Z70=1, $E$84, $E$85)</f>
        <v>4787</v>
      </c>
      <c r="AA27" s="84">
        <f t="shared" si="21"/>
        <v>4861</v>
      </c>
      <c r="AB27" s="84">
        <f t="shared" si="31"/>
        <v>5263</v>
      </c>
      <c r="AC27" s="84">
        <f t="shared" ref="AC27:AC37" si="38">AB27+25+IF(AC70=1, $E$84, $E$85)</f>
        <v>5424</v>
      </c>
      <c r="AD27" s="84">
        <f t="shared" si="23"/>
        <v>5498</v>
      </c>
      <c r="AE27" s="84">
        <f t="shared" si="24"/>
        <v>5800</v>
      </c>
      <c r="AF27" s="84">
        <f t="shared" si="25"/>
        <v>5911</v>
      </c>
      <c r="AG27" s="84">
        <f t="shared" si="26"/>
        <v>5985</v>
      </c>
      <c r="AH27" s="84">
        <f t="shared" si="27"/>
        <v>6387</v>
      </c>
    </row>
    <row r="28" spans="3:34">
      <c r="C28" s="84" t="s">
        <v>197</v>
      </c>
      <c r="D28" s="84" t="s">
        <v>208</v>
      </c>
      <c r="E28" s="84">
        <f t="shared" si="0"/>
        <v>528</v>
      </c>
      <c r="F28" s="84">
        <f t="shared" si="1"/>
        <v>602</v>
      </c>
      <c r="G28" s="84">
        <f t="shared" si="2"/>
        <v>854</v>
      </c>
      <c r="H28" s="84">
        <f t="shared" si="3"/>
        <v>1015</v>
      </c>
      <c r="I28" s="84">
        <f t="shared" si="4"/>
        <v>1089</v>
      </c>
      <c r="J28" s="84">
        <f t="shared" si="5"/>
        <v>1491</v>
      </c>
      <c r="K28" s="84">
        <f t="shared" si="6"/>
        <v>1602</v>
      </c>
      <c r="L28" s="84">
        <f t="shared" si="7"/>
        <v>1676</v>
      </c>
      <c r="M28" s="84">
        <f t="shared" si="8"/>
        <v>2078</v>
      </c>
      <c r="N28" s="84">
        <f t="shared" si="35"/>
        <v>2189</v>
      </c>
      <c r="O28" s="84">
        <f t="shared" si="10"/>
        <v>2263</v>
      </c>
      <c r="P28" s="84">
        <f t="shared" si="11"/>
        <v>2665</v>
      </c>
      <c r="Q28" s="84">
        <f t="shared" si="12"/>
        <v>2826</v>
      </c>
      <c r="R28" s="84">
        <f t="shared" si="13"/>
        <v>2900</v>
      </c>
      <c r="S28" s="84">
        <f t="shared" si="14"/>
        <v>3302</v>
      </c>
      <c r="T28" s="84">
        <f t="shared" si="36"/>
        <v>3413</v>
      </c>
      <c r="U28" s="84">
        <f t="shared" si="16"/>
        <v>3487</v>
      </c>
      <c r="V28" s="84">
        <f t="shared" si="17"/>
        <v>3889</v>
      </c>
      <c r="W28" s="84">
        <f t="shared" si="18"/>
        <v>4050</v>
      </c>
      <c r="X28" s="84">
        <f t="shared" si="19"/>
        <v>4124</v>
      </c>
      <c r="Y28" s="84">
        <f t="shared" si="20"/>
        <v>4526</v>
      </c>
      <c r="Z28" s="84">
        <f t="shared" si="37"/>
        <v>4637</v>
      </c>
      <c r="AA28" s="84">
        <f t="shared" si="21"/>
        <v>4711</v>
      </c>
      <c r="AB28" s="84">
        <f t="shared" si="31"/>
        <v>5113</v>
      </c>
      <c r="AC28" s="84">
        <f t="shared" si="38"/>
        <v>5274</v>
      </c>
      <c r="AD28" s="84">
        <f t="shared" si="23"/>
        <v>5348</v>
      </c>
      <c r="AE28" s="84">
        <f t="shared" si="24"/>
        <v>5700</v>
      </c>
      <c r="AF28" s="84">
        <f t="shared" si="25"/>
        <v>5861</v>
      </c>
      <c r="AG28" s="84">
        <f t="shared" si="26"/>
        <v>5935</v>
      </c>
      <c r="AH28" s="84">
        <f t="shared" si="27"/>
        <v>6337</v>
      </c>
    </row>
    <row r="29" spans="3:34">
      <c r="C29" s="84" t="s">
        <v>198</v>
      </c>
      <c r="D29" s="84" t="s">
        <v>208</v>
      </c>
      <c r="E29" s="84">
        <f t="shared" si="0"/>
        <v>578</v>
      </c>
      <c r="F29" s="84">
        <f t="shared" si="1"/>
        <v>652</v>
      </c>
      <c r="G29" s="84">
        <f t="shared" si="2"/>
        <v>1054</v>
      </c>
      <c r="H29" s="84">
        <f t="shared" si="3"/>
        <v>1215</v>
      </c>
      <c r="I29" s="84">
        <f t="shared" si="4"/>
        <v>1289</v>
      </c>
      <c r="J29" s="84">
        <f t="shared" si="5"/>
        <v>1691</v>
      </c>
      <c r="K29" s="84">
        <f t="shared" si="6"/>
        <v>1852</v>
      </c>
      <c r="L29" s="84">
        <f t="shared" si="7"/>
        <v>1926</v>
      </c>
      <c r="M29" s="84">
        <f t="shared" si="8"/>
        <v>2328</v>
      </c>
      <c r="N29" s="84">
        <f t="shared" si="35"/>
        <v>2489</v>
      </c>
      <c r="O29" s="84">
        <f t="shared" si="10"/>
        <v>2563</v>
      </c>
      <c r="P29" s="84">
        <f t="shared" si="11"/>
        <v>2965</v>
      </c>
      <c r="Q29" s="84">
        <f t="shared" si="12"/>
        <v>3076</v>
      </c>
      <c r="R29" s="84">
        <f t="shared" si="13"/>
        <v>3150</v>
      </c>
      <c r="S29" s="84">
        <f t="shared" si="14"/>
        <v>3552</v>
      </c>
      <c r="T29" s="84">
        <f t="shared" si="36"/>
        <v>3713</v>
      </c>
      <c r="U29" s="84">
        <f t="shared" si="16"/>
        <v>3787</v>
      </c>
      <c r="V29" s="84">
        <f t="shared" si="17"/>
        <v>4189</v>
      </c>
      <c r="W29" s="84">
        <f t="shared" si="18"/>
        <v>4300</v>
      </c>
      <c r="X29" s="84">
        <f t="shared" si="19"/>
        <v>4374</v>
      </c>
      <c r="Y29" s="84">
        <f t="shared" si="20"/>
        <v>4776</v>
      </c>
      <c r="Z29" s="84">
        <f t="shared" si="37"/>
        <v>4937</v>
      </c>
      <c r="AA29" s="84">
        <f t="shared" si="21"/>
        <v>5011</v>
      </c>
      <c r="AB29" s="84">
        <f t="shared" si="31"/>
        <v>5363</v>
      </c>
      <c r="AC29" s="84">
        <f t="shared" si="38"/>
        <v>5474</v>
      </c>
      <c r="AD29" s="84">
        <f t="shared" si="23"/>
        <v>5548</v>
      </c>
      <c r="AE29" s="84">
        <f t="shared" si="24"/>
        <v>5900</v>
      </c>
      <c r="AF29" s="84">
        <f t="shared" si="25"/>
        <v>6011</v>
      </c>
      <c r="AG29" s="84">
        <f t="shared" si="26"/>
        <v>6085</v>
      </c>
      <c r="AH29" s="84">
        <f t="shared" si="27"/>
        <v>6487</v>
      </c>
    </row>
    <row r="30" spans="3:34">
      <c r="C30" s="84" t="s">
        <v>199</v>
      </c>
      <c r="D30" s="84" t="s">
        <v>208</v>
      </c>
      <c r="E30" s="84">
        <f t="shared" si="0"/>
        <v>528</v>
      </c>
      <c r="F30" s="84">
        <f t="shared" si="1"/>
        <v>602</v>
      </c>
      <c r="G30" s="84">
        <f t="shared" si="2"/>
        <v>954</v>
      </c>
      <c r="H30" s="84">
        <f t="shared" si="3"/>
        <v>1115</v>
      </c>
      <c r="I30" s="84">
        <f t="shared" si="4"/>
        <v>1189</v>
      </c>
      <c r="J30" s="84">
        <f t="shared" si="5"/>
        <v>1541</v>
      </c>
      <c r="K30" s="84">
        <f t="shared" si="6"/>
        <v>1702</v>
      </c>
      <c r="L30" s="84">
        <f t="shared" si="7"/>
        <v>1776</v>
      </c>
      <c r="M30" s="84">
        <f t="shared" si="8"/>
        <v>2178</v>
      </c>
      <c r="N30" s="84">
        <f t="shared" si="35"/>
        <v>2339</v>
      </c>
      <c r="O30" s="84">
        <f t="shared" si="10"/>
        <v>2413</v>
      </c>
      <c r="P30" s="84">
        <f t="shared" si="11"/>
        <v>2765</v>
      </c>
      <c r="Q30" s="84">
        <f t="shared" si="12"/>
        <v>2926</v>
      </c>
      <c r="R30" s="84">
        <f t="shared" si="13"/>
        <v>3000</v>
      </c>
      <c r="S30" s="84">
        <f t="shared" si="14"/>
        <v>3352</v>
      </c>
      <c r="T30" s="84">
        <f t="shared" si="36"/>
        <v>3513</v>
      </c>
      <c r="U30" s="84">
        <f t="shared" si="16"/>
        <v>3587</v>
      </c>
      <c r="V30" s="84">
        <f t="shared" si="17"/>
        <v>3989</v>
      </c>
      <c r="W30" s="84">
        <f t="shared" si="18"/>
        <v>4100</v>
      </c>
      <c r="X30" s="84">
        <f t="shared" si="19"/>
        <v>4174</v>
      </c>
      <c r="Y30" s="84">
        <f t="shared" si="20"/>
        <v>4576</v>
      </c>
      <c r="Z30" s="84">
        <f t="shared" si="37"/>
        <v>4737</v>
      </c>
      <c r="AA30" s="84">
        <f t="shared" si="21"/>
        <v>4811</v>
      </c>
      <c r="AB30" s="84">
        <f t="shared" si="31"/>
        <v>5063</v>
      </c>
      <c r="AC30" s="84">
        <f t="shared" si="38"/>
        <v>5224</v>
      </c>
      <c r="AD30" s="84">
        <f t="shared" si="23"/>
        <v>5298</v>
      </c>
      <c r="AE30" s="84">
        <f t="shared" si="24"/>
        <v>5550</v>
      </c>
      <c r="AF30" s="84">
        <f t="shared" si="25"/>
        <v>5711</v>
      </c>
      <c r="AG30" s="84">
        <f t="shared" si="26"/>
        <v>5785</v>
      </c>
      <c r="AH30" s="84">
        <f t="shared" si="27"/>
        <v>6187</v>
      </c>
    </row>
    <row r="31" spans="3:34">
      <c r="C31" s="84" t="s">
        <v>200</v>
      </c>
      <c r="D31" s="84" t="s">
        <v>208</v>
      </c>
      <c r="E31" s="84">
        <f t="shared" si="0"/>
        <v>578</v>
      </c>
      <c r="F31" s="84">
        <f t="shared" si="1"/>
        <v>652</v>
      </c>
      <c r="G31" s="84">
        <f t="shared" si="2"/>
        <v>1054</v>
      </c>
      <c r="H31" s="84">
        <f t="shared" si="3"/>
        <v>1215</v>
      </c>
      <c r="I31" s="84">
        <f t="shared" si="4"/>
        <v>1289</v>
      </c>
      <c r="J31" s="84">
        <f t="shared" si="5"/>
        <v>1691</v>
      </c>
      <c r="K31" s="84">
        <f t="shared" si="6"/>
        <v>1852</v>
      </c>
      <c r="L31" s="84">
        <f t="shared" si="7"/>
        <v>1926</v>
      </c>
      <c r="M31" s="84">
        <f t="shared" si="8"/>
        <v>2328</v>
      </c>
      <c r="N31" s="84">
        <f t="shared" si="35"/>
        <v>2489</v>
      </c>
      <c r="O31" s="84">
        <f t="shared" si="10"/>
        <v>2563</v>
      </c>
      <c r="P31" s="84">
        <f t="shared" si="11"/>
        <v>2965</v>
      </c>
      <c r="Q31" s="84">
        <f t="shared" si="12"/>
        <v>3126</v>
      </c>
      <c r="R31" s="84">
        <f t="shared" si="13"/>
        <v>3200</v>
      </c>
      <c r="S31" s="84">
        <f t="shared" si="14"/>
        <v>3602</v>
      </c>
      <c r="T31" s="84">
        <f t="shared" si="36"/>
        <v>3763</v>
      </c>
      <c r="U31" s="84">
        <f t="shared" si="16"/>
        <v>3837</v>
      </c>
      <c r="V31" s="84">
        <f t="shared" si="17"/>
        <v>4239</v>
      </c>
      <c r="W31" s="84">
        <f t="shared" si="18"/>
        <v>4400</v>
      </c>
      <c r="X31" s="84">
        <f t="shared" si="19"/>
        <v>4474</v>
      </c>
      <c r="Y31" s="84">
        <f t="shared" si="20"/>
        <v>4876</v>
      </c>
      <c r="Z31" s="84">
        <f t="shared" si="37"/>
        <v>5037</v>
      </c>
      <c r="AA31" s="84">
        <f t="shared" si="21"/>
        <v>5111</v>
      </c>
      <c r="AB31" s="84">
        <f t="shared" si="31"/>
        <v>5513</v>
      </c>
      <c r="AC31" s="84">
        <f t="shared" si="38"/>
        <v>5674</v>
      </c>
      <c r="AD31" s="84">
        <f t="shared" si="23"/>
        <v>5748</v>
      </c>
      <c r="AE31" s="84">
        <f t="shared" si="24"/>
        <v>6150</v>
      </c>
      <c r="AF31" s="84">
        <f t="shared" si="25"/>
        <v>6311</v>
      </c>
      <c r="AG31" s="84">
        <f t="shared" si="26"/>
        <v>6385</v>
      </c>
      <c r="AH31" s="84">
        <f t="shared" si="27"/>
        <v>6787</v>
      </c>
    </row>
    <row r="32" spans="3:34">
      <c r="C32" s="84" t="s">
        <v>201</v>
      </c>
      <c r="D32" s="84" t="s">
        <v>208</v>
      </c>
      <c r="E32" s="84">
        <f t="shared" si="0"/>
        <v>578</v>
      </c>
      <c r="F32" s="84">
        <f t="shared" si="1"/>
        <v>652</v>
      </c>
      <c r="G32" s="84">
        <f t="shared" si="2"/>
        <v>1054</v>
      </c>
      <c r="H32" s="84">
        <f t="shared" si="3"/>
        <v>1165</v>
      </c>
      <c r="I32" s="84">
        <f t="shared" si="4"/>
        <v>1239</v>
      </c>
      <c r="J32" s="84">
        <f t="shared" si="5"/>
        <v>1641</v>
      </c>
      <c r="K32" s="84">
        <f t="shared" si="6"/>
        <v>1752</v>
      </c>
      <c r="L32" s="84">
        <f t="shared" si="7"/>
        <v>1826</v>
      </c>
      <c r="M32" s="84">
        <f t="shared" si="8"/>
        <v>2228</v>
      </c>
      <c r="N32" s="84">
        <f t="shared" si="35"/>
        <v>2339</v>
      </c>
      <c r="O32" s="84">
        <f t="shared" si="10"/>
        <v>2413</v>
      </c>
      <c r="P32" s="84">
        <f t="shared" si="11"/>
        <v>2815</v>
      </c>
      <c r="Q32" s="84">
        <f t="shared" si="12"/>
        <v>2976</v>
      </c>
      <c r="R32" s="84">
        <f t="shared" si="13"/>
        <v>3050</v>
      </c>
      <c r="S32" s="84">
        <f t="shared" si="14"/>
        <v>3452</v>
      </c>
      <c r="T32" s="84">
        <f t="shared" si="36"/>
        <v>3613</v>
      </c>
      <c r="U32" s="84">
        <f t="shared" si="16"/>
        <v>3687</v>
      </c>
      <c r="V32" s="84">
        <f t="shared" si="17"/>
        <v>4089</v>
      </c>
      <c r="W32" s="84">
        <f t="shared" si="18"/>
        <v>4250</v>
      </c>
      <c r="X32" s="84">
        <f t="shared" si="19"/>
        <v>4324</v>
      </c>
      <c r="Y32" s="84">
        <f t="shared" si="20"/>
        <v>4726</v>
      </c>
      <c r="Z32" s="84">
        <f t="shared" si="37"/>
        <v>4837</v>
      </c>
      <c r="AA32" s="84">
        <f t="shared" si="21"/>
        <v>4911</v>
      </c>
      <c r="AB32" s="84">
        <f t="shared" si="31"/>
        <v>5313</v>
      </c>
      <c r="AC32" s="84">
        <f t="shared" si="38"/>
        <v>5474</v>
      </c>
      <c r="AD32" s="84">
        <f t="shared" si="23"/>
        <v>5548</v>
      </c>
      <c r="AE32" s="84">
        <f t="shared" si="24"/>
        <v>5950</v>
      </c>
      <c r="AF32" s="84">
        <f t="shared" si="25"/>
        <v>6061</v>
      </c>
      <c r="AG32" s="84">
        <f t="shared" si="26"/>
        <v>6135</v>
      </c>
      <c r="AH32" s="84">
        <f t="shared" si="27"/>
        <v>6537</v>
      </c>
    </row>
    <row r="33" spans="3:34">
      <c r="C33" s="84" t="s">
        <v>202</v>
      </c>
      <c r="D33" s="84" t="s">
        <v>208</v>
      </c>
      <c r="E33" s="84">
        <f t="shared" si="0"/>
        <v>578</v>
      </c>
      <c r="F33" s="84">
        <f t="shared" si="1"/>
        <v>652</v>
      </c>
      <c r="G33" s="84">
        <f t="shared" si="2"/>
        <v>1054</v>
      </c>
      <c r="H33" s="84">
        <f t="shared" si="3"/>
        <v>1165</v>
      </c>
      <c r="I33" s="84">
        <f t="shared" si="4"/>
        <v>1239</v>
      </c>
      <c r="J33" s="84">
        <f t="shared" si="5"/>
        <v>1641</v>
      </c>
      <c r="K33" s="84">
        <f t="shared" si="6"/>
        <v>1752</v>
      </c>
      <c r="L33" s="84">
        <f t="shared" si="7"/>
        <v>1826</v>
      </c>
      <c r="M33" s="84">
        <f t="shared" si="8"/>
        <v>2228</v>
      </c>
      <c r="N33" s="84">
        <f t="shared" si="35"/>
        <v>2339</v>
      </c>
      <c r="O33" s="84">
        <f t="shared" si="10"/>
        <v>2413</v>
      </c>
      <c r="P33" s="84">
        <f t="shared" si="11"/>
        <v>2815</v>
      </c>
      <c r="Q33" s="84">
        <f t="shared" si="12"/>
        <v>2976</v>
      </c>
      <c r="R33" s="84">
        <f t="shared" si="13"/>
        <v>3050</v>
      </c>
      <c r="S33" s="84">
        <f t="shared" si="14"/>
        <v>3452</v>
      </c>
      <c r="T33" s="84">
        <f t="shared" si="36"/>
        <v>3563</v>
      </c>
      <c r="U33" s="84">
        <f t="shared" si="16"/>
        <v>3637</v>
      </c>
      <c r="V33" s="84">
        <f t="shared" si="17"/>
        <v>4039</v>
      </c>
      <c r="W33" s="84">
        <f t="shared" si="18"/>
        <v>4150</v>
      </c>
      <c r="X33" s="84">
        <f t="shared" si="19"/>
        <v>4224</v>
      </c>
      <c r="Y33" s="84">
        <f t="shared" si="20"/>
        <v>4626</v>
      </c>
      <c r="Z33" s="84">
        <f t="shared" si="37"/>
        <v>4787</v>
      </c>
      <c r="AA33" s="84">
        <f t="shared" si="21"/>
        <v>4861</v>
      </c>
      <c r="AB33" s="84">
        <f t="shared" si="31"/>
        <v>5263</v>
      </c>
      <c r="AC33" s="84">
        <f t="shared" si="38"/>
        <v>5374</v>
      </c>
      <c r="AD33" s="84">
        <f t="shared" si="23"/>
        <v>5448</v>
      </c>
      <c r="AE33" s="84">
        <f t="shared" si="24"/>
        <v>5850</v>
      </c>
      <c r="AF33" s="84">
        <f t="shared" si="25"/>
        <v>5961</v>
      </c>
      <c r="AG33" s="84">
        <f t="shared" si="26"/>
        <v>6035</v>
      </c>
      <c r="AH33" s="84">
        <f t="shared" si="27"/>
        <v>6437</v>
      </c>
    </row>
    <row r="34" spans="3:34">
      <c r="C34" s="86" t="s">
        <v>203</v>
      </c>
      <c r="D34" s="86" t="s">
        <v>208</v>
      </c>
      <c r="E34" s="84">
        <f t="shared" si="0"/>
        <v>578</v>
      </c>
      <c r="F34" s="84">
        <f t="shared" si="1"/>
        <v>652</v>
      </c>
      <c r="G34" s="84">
        <f t="shared" si="2"/>
        <v>1054</v>
      </c>
      <c r="H34" s="84">
        <f t="shared" si="3"/>
        <v>1215</v>
      </c>
      <c r="I34" s="84">
        <f t="shared" si="4"/>
        <v>1289</v>
      </c>
      <c r="J34" s="84">
        <f t="shared" si="5"/>
        <v>1641</v>
      </c>
      <c r="K34" s="84">
        <f t="shared" si="6"/>
        <v>1802</v>
      </c>
      <c r="L34" s="84">
        <f t="shared" si="7"/>
        <v>1876</v>
      </c>
      <c r="M34" s="84">
        <f t="shared" si="8"/>
        <v>2278</v>
      </c>
      <c r="N34" s="85">
        <f>M34+25+IF(N77=1, $E$84, $E$85)+5</f>
        <v>2444</v>
      </c>
      <c r="O34" s="84">
        <f t="shared" si="10"/>
        <v>2518</v>
      </c>
      <c r="P34" s="84">
        <f t="shared" si="11"/>
        <v>2920</v>
      </c>
      <c r="Q34" s="84">
        <f t="shared" si="12"/>
        <v>3081</v>
      </c>
      <c r="R34" s="84">
        <f t="shared" si="13"/>
        <v>3155</v>
      </c>
      <c r="S34" s="84">
        <f t="shared" si="14"/>
        <v>3507</v>
      </c>
      <c r="T34" s="85">
        <f>S34+25+IF(T77=1, $E$84, $E$85)+5</f>
        <v>3623</v>
      </c>
      <c r="U34" s="84">
        <f t="shared" si="16"/>
        <v>3697</v>
      </c>
      <c r="V34" s="84">
        <f t="shared" si="17"/>
        <v>4099</v>
      </c>
      <c r="W34" s="84">
        <f t="shared" si="18"/>
        <v>4210</v>
      </c>
      <c r="X34" s="84">
        <f t="shared" si="19"/>
        <v>4284</v>
      </c>
      <c r="Y34" s="84">
        <f t="shared" si="20"/>
        <v>4686</v>
      </c>
      <c r="Z34" s="85">
        <f>Y34+25+IF(Z77=1, $E$84, $E$85)+5</f>
        <v>4852</v>
      </c>
      <c r="AA34" s="84">
        <f t="shared" si="21"/>
        <v>4926</v>
      </c>
      <c r="AB34" s="84">
        <f t="shared" si="31"/>
        <v>5328</v>
      </c>
      <c r="AC34" s="84">
        <f t="shared" si="38"/>
        <v>5439</v>
      </c>
      <c r="AD34" s="84">
        <f t="shared" si="23"/>
        <v>5513</v>
      </c>
      <c r="AE34" s="84">
        <f t="shared" si="24"/>
        <v>5915</v>
      </c>
      <c r="AF34" s="84">
        <f t="shared" si="25"/>
        <v>6026</v>
      </c>
      <c r="AG34" s="84">
        <f t="shared" si="26"/>
        <v>6100</v>
      </c>
      <c r="AH34" s="84">
        <f t="shared" si="27"/>
        <v>6502</v>
      </c>
    </row>
    <row r="35" spans="3:34">
      <c r="C35" s="86" t="s">
        <v>204</v>
      </c>
      <c r="D35" s="86" t="s">
        <v>208</v>
      </c>
      <c r="E35" s="84">
        <f t="shared" si="0"/>
        <v>528</v>
      </c>
      <c r="F35" s="84">
        <f t="shared" si="1"/>
        <v>602</v>
      </c>
      <c r="G35" s="84">
        <f t="shared" si="2"/>
        <v>1004</v>
      </c>
      <c r="H35" s="84">
        <f t="shared" si="3"/>
        <v>1115</v>
      </c>
      <c r="I35" s="84">
        <f t="shared" si="4"/>
        <v>1189</v>
      </c>
      <c r="J35" s="84">
        <f t="shared" si="5"/>
        <v>1591</v>
      </c>
      <c r="K35" s="84">
        <f t="shared" si="6"/>
        <v>1702</v>
      </c>
      <c r="L35" s="84">
        <f t="shared" si="7"/>
        <v>1776</v>
      </c>
      <c r="M35" s="84">
        <f t="shared" si="8"/>
        <v>2178</v>
      </c>
      <c r="N35" s="84">
        <f>M35+25+IF(N78=1, $E$84, $E$85)</f>
        <v>2339</v>
      </c>
      <c r="O35" s="84">
        <f t="shared" si="10"/>
        <v>2413</v>
      </c>
      <c r="P35" s="84">
        <f t="shared" si="11"/>
        <v>2815</v>
      </c>
      <c r="Q35" s="84">
        <f t="shared" si="12"/>
        <v>2926</v>
      </c>
      <c r="R35" s="84">
        <f t="shared" si="13"/>
        <v>3000</v>
      </c>
      <c r="S35" s="84">
        <f t="shared" si="14"/>
        <v>3352</v>
      </c>
      <c r="T35" s="84">
        <f>S35+25+IF(T78=1, $E$84, $E$85)</f>
        <v>3513</v>
      </c>
      <c r="U35" s="84">
        <f t="shared" si="16"/>
        <v>3587</v>
      </c>
      <c r="V35" s="84">
        <f t="shared" si="17"/>
        <v>3939</v>
      </c>
      <c r="W35" s="84">
        <f t="shared" si="18"/>
        <v>4100</v>
      </c>
      <c r="X35" s="84">
        <f t="shared" si="19"/>
        <v>4174</v>
      </c>
      <c r="Y35" s="84">
        <f t="shared" si="20"/>
        <v>4526</v>
      </c>
      <c r="Z35" s="84">
        <f>Y35+25+IF(Z78=1, $E$84, $E$85)</f>
        <v>4687</v>
      </c>
      <c r="AA35" s="84">
        <f t="shared" si="21"/>
        <v>4761</v>
      </c>
      <c r="AB35" s="84">
        <f t="shared" si="31"/>
        <v>5163</v>
      </c>
      <c r="AC35" s="84">
        <f t="shared" si="38"/>
        <v>5324</v>
      </c>
      <c r="AD35" s="84">
        <f t="shared" si="23"/>
        <v>5398</v>
      </c>
      <c r="AE35" s="84">
        <f t="shared" si="24"/>
        <v>5750</v>
      </c>
      <c r="AF35" s="84">
        <f t="shared" si="25"/>
        <v>5911</v>
      </c>
      <c r="AG35" s="84">
        <f t="shared" si="26"/>
        <v>5985</v>
      </c>
      <c r="AH35" s="84">
        <f t="shared" si="27"/>
        <v>6387</v>
      </c>
    </row>
    <row r="36" spans="3:34">
      <c r="C36" s="86" t="s">
        <v>205</v>
      </c>
      <c r="D36" s="86" t="s">
        <v>208</v>
      </c>
      <c r="E36" s="84">
        <f t="shared" si="0"/>
        <v>578</v>
      </c>
      <c r="F36" s="84">
        <f t="shared" si="1"/>
        <v>652</v>
      </c>
      <c r="G36" s="84">
        <f t="shared" si="2"/>
        <v>1054</v>
      </c>
      <c r="H36" s="84">
        <f t="shared" si="3"/>
        <v>1165</v>
      </c>
      <c r="I36" s="84">
        <f t="shared" si="4"/>
        <v>1239</v>
      </c>
      <c r="J36" s="84">
        <f t="shared" si="5"/>
        <v>1641</v>
      </c>
      <c r="K36" s="84">
        <f t="shared" si="6"/>
        <v>1752</v>
      </c>
      <c r="L36" s="84">
        <f t="shared" si="7"/>
        <v>1826</v>
      </c>
      <c r="M36" s="84">
        <f t="shared" si="8"/>
        <v>2228</v>
      </c>
      <c r="N36" s="84">
        <f>M36+25+IF(N79=1, $E$84, $E$85)</f>
        <v>2339</v>
      </c>
      <c r="O36" s="84">
        <f t="shared" si="10"/>
        <v>2413</v>
      </c>
      <c r="P36" s="84">
        <f t="shared" si="11"/>
        <v>2665</v>
      </c>
      <c r="Q36" s="84">
        <f t="shared" si="12"/>
        <v>2826</v>
      </c>
      <c r="R36" s="84">
        <f t="shared" si="13"/>
        <v>2900</v>
      </c>
      <c r="S36" s="84">
        <f t="shared" si="14"/>
        <v>3302</v>
      </c>
      <c r="T36" s="85">
        <f>S36+25+IF(T79=1, $E$84, $E$85)+5</f>
        <v>3468</v>
      </c>
      <c r="U36" s="84">
        <f t="shared" si="16"/>
        <v>3542</v>
      </c>
      <c r="V36" s="84">
        <f t="shared" si="17"/>
        <v>3944</v>
      </c>
      <c r="W36" s="84">
        <f t="shared" si="18"/>
        <v>4105</v>
      </c>
      <c r="X36" s="84">
        <f t="shared" si="19"/>
        <v>4179</v>
      </c>
      <c r="Y36" s="84">
        <f t="shared" si="20"/>
        <v>4581</v>
      </c>
      <c r="Z36" s="84">
        <f>Y36+25+IF(Z79=1, $E$84, $E$85)</f>
        <v>4742</v>
      </c>
      <c r="AA36" s="84">
        <f t="shared" si="21"/>
        <v>4816</v>
      </c>
      <c r="AB36" s="84">
        <f t="shared" si="31"/>
        <v>5218</v>
      </c>
      <c r="AC36" s="84">
        <f t="shared" si="38"/>
        <v>5379</v>
      </c>
      <c r="AD36" s="84">
        <f t="shared" si="23"/>
        <v>5453</v>
      </c>
      <c r="AE36" s="84">
        <f t="shared" si="24"/>
        <v>5855</v>
      </c>
      <c r="AF36" s="84">
        <f t="shared" si="25"/>
        <v>5966</v>
      </c>
      <c r="AG36" s="84">
        <f t="shared" si="26"/>
        <v>6040</v>
      </c>
      <c r="AH36" s="84">
        <f t="shared" si="27"/>
        <v>6442</v>
      </c>
    </row>
    <row r="37" spans="3:34">
      <c r="C37" s="86" t="s">
        <v>206</v>
      </c>
      <c r="D37" s="86" t="s">
        <v>208</v>
      </c>
      <c r="E37" s="84">
        <f t="shared" si="0"/>
        <v>528</v>
      </c>
      <c r="F37" s="84">
        <f t="shared" si="1"/>
        <v>602</v>
      </c>
      <c r="G37" s="84">
        <f t="shared" si="2"/>
        <v>1004</v>
      </c>
      <c r="H37" s="84">
        <f t="shared" si="3"/>
        <v>1115</v>
      </c>
      <c r="I37" s="84">
        <f t="shared" si="4"/>
        <v>1189</v>
      </c>
      <c r="J37" s="84">
        <f t="shared" si="5"/>
        <v>1591</v>
      </c>
      <c r="K37" s="84">
        <f t="shared" si="6"/>
        <v>1702</v>
      </c>
      <c r="L37" s="84">
        <f t="shared" si="7"/>
        <v>1776</v>
      </c>
      <c r="M37" s="84">
        <f t="shared" si="8"/>
        <v>2178</v>
      </c>
      <c r="N37" s="84">
        <f>M37+25+IF(N80=1, $E$84, $E$85)</f>
        <v>2289</v>
      </c>
      <c r="O37" s="84">
        <f t="shared" si="10"/>
        <v>2363</v>
      </c>
      <c r="P37" s="84">
        <f t="shared" si="11"/>
        <v>2765</v>
      </c>
      <c r="Q37" s="84">
        <f t="shared" si="12"/>
        <v>2876</v>
      </c>
      <c r="R37" s="84">
        <f t="shared" si="13"/>
        <v>2950</v>
      </c>
      <c r="S37" s="84">
        <f t="shared" si="14"/>
        <v>3352</v>
      </c>
      <c r="T37" s="84">
        <f>S37+25+IF(T80=1, $E$84, $E$85)</f>
        <v>3463</v>
      </c>
      <c r="U37" s="84">
        <f t="shared" si="16"/>
        <v>3537</v>
      </c>
      <c r="V37" s="84">
        <f t="shared" si="17"/>
        <v>3939</v>
      </c>
      <c r="W37" s="84">
        <f t="shared" si="18"/>
        <v>4050</v>
      </c>
      <c r="X37" s="84">
        <f t="shared" si="19"/>
        <v>4124</v>
      </c>
      <c r="Y37" s="84">
        <f t="shared" si="20"/>
        <v>4526</v>
      </c>
      <c r="Z37" s="84">
        <f>Y37+25+IF(Z80=1, $E$84, $E$85)</f>
        <v>4637</v>
      </c>
      <c r="AA37" s="84">
        <f t="shared" si="21"/>
        <v>4711</v>
      </c>
      <c r="AB37" s="84">
        <f t="shared" si="31"/>
        <v>5113</v>
      </c>
      <c r="AC37" s="84">
        <f t="shared" si="38"/>
        <v>5224</v>
      </c>
      <c r="AD37" s="84">
        <f t="shared" si="23"/>
        <v>5298</v>
      </c>
      <c r="AE37" s="84">
        <f t="shared" si="24"/>
        <v>5650</v>
      </c>
      <c r="AF37" s="84">
        <f t="shared" si="25"/>
        <v>5811</v>
      </c>
      <c r="AG37" s="84">
        <f t="shared" si="26"/>
        <v>5885</v>
      </c>
      <c r="AH37" s="84">
        <f t="shared" si="27"/>
        <v>6237</v>
      </c>
    </row>
    <row r="44" spans="3:34" s="86" customFormat="1">
      <c r="C44" s="86" t="s">
        <v>162</v>
      </c>
      <c r="D44" s="86" t="s">
        <v>163</v>
      </c>
      <c r="E44" s="86" t="s">
        <v>164</v>
      </c>
      <c r="F44" s="86" t="s">
        <v>165</v>
      </c>
      <c r="G44" s="86" t="s">
        <v>166</v>
      </c>
      <c r="H44" s="86" t="s">
        <v>167</v>
      </c>
      <c r="I44" s="86" t="s">
        <v>168</v>
      </c>
      <c r="J44" s="86" t="s">
        <v>169</v>
      </c>
      <c r="K44" s="86" t="s">
        <v>170</v>
      </c>
      <c r="L44" s="86" t="s">
        <v>171</v>
      </c>
      <c r="M44" s="86" t="s">
        <v>172</v>
      </c>
      <c r="N44" s="86" t="s">
        <v>173</v>
      </c>
      <c r="O44" s="86" t="s">
        <v>174</v>
      </c>
      <c r="P44" s="86" t="s">
        <v>175</v>
      </c>
      <c r="Q44" s="86" t="s">
        <v>176</v>
      </c>
      <c r="R44" s="86" t="s">
        <v>177</v>
      </c>
      <c r="S44" s="86" t="s">
        <v>178</v>
      </c>
      <c r="T44" s="86" t="s">
        <v>179</v>
      </c>
      <c r="U44" s="86" t="s">
        <v>180</v>
      </c>
      <c r="V44" s="86" t="s">
        <v>181</v>
      </c>
      <c r="W44" s="86" t="s">
        <v>182</v>
      </c>
      <c r="X44" s="86" t="s">
        <v>183</v>
      </c>
      <c r="Y44" s="86" t="s">
        <v>184</v>
      </c>
      <c r="Z44" s="86" t="s">
        <v>185</v>
      </c>
      <c r="AA44" s="86" t="s">
        <v>186</v>
      </c>
      <c r="AB44" s="86" t="s">
        <v>187</v>
      </c>
      <c r="AC44" s="86" t="s">
        <v>188</v>
      </c>
      <c r="AD44" s="86" t="s">
        <v>189</v>
      </c>
      <c r="AE44" s="86" t="s">
        <v>190</v>
      </c>
      <c r="AF44" s="86" t="s">
        <v>191</v>
      </c>
      <c r="AG44" s="86" t="s">
        <v>192</v>
      </c>
      <c r="AH44" s="86" t="s">
        <v>193</v>
      </c>
    </row>
    <row r="45" spans="3:34" s="86" customFormat="1">
      <c r="C45" s="86" t="s">
        <v>194</v>
      </c>
      <c r="D45" s="86" t="s">
        <v>195</v>
      </c>
      <c r="E45" s="86">
        <v>1</v>
      </c>
      <c r="F45" s="86">
        <v>1</v>
      </c>
      <c r="G45" s="86">
        <v>1</v>
      </c>
      <c r="H45" s="86">
        <v>2</v>
      </c>
      <c r="I45" s="86">
        <v>1</v>
      </c>
      <c r="J45" s="86">
        <v>1</v>
      </c>
      <c r="K45" s="86">
        <v>2</v>
      </c>
      <c r="L45" s="86">
        <v>1</v>
      </c>
      <c r="M45" s="86">
        <v>1</v>
      </c>
      <c r="N45" s="86">
        <v>2</v>
      </c>
      <c r="O45" s="86">
        <v>1</v>
      </c>
      <c r="P45" s="86">
        <v>1</v>
      </c>
      <c r="Q45" s="86">
        <v>2</v>
      </c>
      <c r="R45" s="86">
        <v>1</v>
      </c>
      <c r="S45" s="86">
        <v>1</v>
      </c>
      <c r="T45" s="86">
        <v>1</v>
      </c>
      <c r="U45" s="86">
        <v>1</v>
      </c>
      <c r="V45" s="86">
        <v>1</v>
      </c>
      <c r="W45" s="86">
        <v>2</v>
      </c>
      <c r="X45" s="86">
        <v>1</v>
      </c>
      <c r="Y45" s="86">
        <v>1</v>
      </c>
      <c r="Z45" s="86">
        <v>2</v>
      </c>
      <c r="AA45" s="86">
        <v>1</v>
      </c>
      <c r="AB45" s="86">
        <v>1</v>
      </c>
      <c r="AC45" s="86">
        <v>2</v>
      </c>
      <c r="AD45" s="86">
        <v>1</v>
      </c>
      <c r="AE45" s="86">
        <v>1</v>
      </c>
      <c r="AF45" s="86">
        <v>2</v>
      </c>
      <c r="AG45" s="86">
        <v>1</v>
      </c>
      <c r="AH45" s="86">
        <v>1</v>
      </c>
    </row>
    <row r="46" spans="3:34" s="86" customFormat="1">
      <c r="C46" s="86" t="s">
        <v>196</v>
      </c>
      <c r="D46" s="86" t="s">
        <v>195</v>
      </c>
      <c r="E46" s="86">
        <v>2</v>
      </c>
      <c r="F46" s="86">
        <v>1</v>
      </c>
      <c r="G46" s="86">
        <v>1</v>
      </c>
      <c r="H46" s="86">
        <v>1</v>
      </c>
      <c r="I46" s="86">
        <v>1</v>
      </c>
      <c r="J46" s="86">
        <v>1</v>
      </c>
      <c r="K46" s="86">
        <v>2</v>
      </c>
      <c r="L46" s="86">
        <v>1</v>
      </c>
      <c r="M46" s="86">
        <v>1</v>
      </c>
      <c r="N46" s="86">
        <v>2</v>
      </c>
      <c r="O46" s="86">
        <v>1</v>
      </c>
      <c r="P46" s="86">
        <v>1</v>
      </c>
      <c r="Q46" s="86">
        <v>1</v>
      </c>
      <c r="R46" s="86">
        <v>1</v>
      </c>
      <c r="S46" s="86">
        <v>1</v>
      </c>
      <c r="T46" s="86">
        <v>2</v>
      </c>
      <c r="U46" s="86">
        <v>1</v>
      </c>
      <c r="V46" s="86">
        <v>1</v>
      </c>
      <c r="W46" s="86">
        <v>1</v>
      </c>
      <c r="X46" s="86">
        <v>1</v>
      </c>
      <c r="Y46" s="86">
        <v>1</v>
      </c>
      <c r="Z46" s="86">
        <v>2</v>
      </c>
      <c r="AA46" s="86">
        <v>1</v>
      </c>
      <c r="AB46" s="86">
        <v>1</v>
      </c>
      <c r="AC46" s="86">
        <v>2</v>
      </c>
      <c r="AD46" s="86">
        <v>1</v>
      </c>
      <c r="AE46" s="86">
        <v>1</v>
      </c>
      <c r="AF46" s="86">
        <v>1</v>
      </c>
      <c r="AG46" s="86">
        <v>1</v>
      </c>
      <c r="AH46" s="86">
        <v>1</v>
      </c>
    </row>
    <row r="47" spans="3:34" s="86" customFormat="1">
      <c r="C47" s="86" t="s">
        <v>197</v>
      </c>
      <c r="D47" s="86" t="s">
        <v>195</v>
      </c>
      <c r="E47" s="86">
        <v>1</v>
      </c>
      <c r="F47" s="86">
        <v>1</v>
      </c>
      <c r="G47" s="86">
        <v>1</v>
      </c>
      <c r="H47" s="86">
        <v>2</v>
      </c>
      <c r="I47" s="86">
        <v>1</v>
      </c>
      <c r="J47" s="86">
        <v>1</v>
      </c>
      <c r="K47" s="86">
        <v>1</v>
      </c>
      <c r="L47" s="86">
        <v>1</v>
      </c>
      <c r="M47" s="86">
        <v>1</v>
      </c>
      <c r="N47" s="86">
        <v>1</v>
      </c>
      <c r="O47" s="86">
        <v>1</v>
      </c>
      <c r="P47" s="86">
        <v>1</v>
      </c>
      <c r="Q47" s="86">
        <v>2</v>
      </c>
      <c r="R47" s="86">
        <v>1</v>
      </c>
      <c r="S47" s="86">
        <v>1</v>
      </c>
      <c r="T47" s="86">
        <v>1</v>
      </c>
      <c r="U47" s="86">
        <v>1</v>
      </c>
      <c r="V47" s="86">
        <v>1</v>
      </c>
      <c r="W47" s="86">
        <v>2</v>
      </c>
      <c r="X47" s="86">
        <v>1</v>
      </c>
      <c r="Y47" s="86">
        <v>1</v>
      </c>
      <c r="Z47" s="86">
        <v>1</v>
      </c>
      <c r="AA47" s="86">
        <v>1</v>
      </c>
      <c r="AB47" s="86">
        <v>1</v>
      </c>
      <c r="AC47" s="86">
        <v>2</v>
      </c>
      <c r="AD47" s="86">
        <v>1</v>
      </c>
      <c r="AE47" s="86">
        <v>1</v>
      </c>
      <c r="AF47" s="86">
        <v>2</v>
      </c>
      <c r="AG47" s="86">
        <v>1</v>
      </c>
      <c r="AH47" s="86">
        <v>1</v>
      </c>
    </row>
    <row r="48" spans="3:34" s="86" customFormat="1">
      <c r="C48" s="86" t="s">
        <v>198</v>
      </c>
      <c r="D48" s="86" t="s">
        <v>195</v>
      </c>
      <c r="E48" s="86">
        <v>2</v>
      </c>
      <c r="F48" s="86">
        <v>1</v>
      </c>
      <c r="G48" s="86">
        <v>1</v>
      </c>
      <c r="H48" s="86">
        <v>2</v>
      </c>
      <c r="I48" s="86">
        <v>1</v>
      </c>
      <c r="J48" s="86">
        <v>1</v>
      </c>
      <c r="K48" s="86">
        <v>2</v>
      </c>
      <c r="L48" s="86">
        <v>1</v>
      </c>
      <c r="M48" s="86">
        <v>1</v>
      </c>
      <c r="N48" s="86">
        <v>2</v>
      </c>
      <c r="O48" s="86">
        <v>1</v>
      </c>
      <c r="P48" s="86">
        <v>1</v>
      </c>
      <c r="Q48" s="86">
        <v>1</v>
      </c>
      <c r="R48" s="86">
        <v>1</v>
      </c>
      <c r="S48" s="86">
        <v>1</v>
      </c>
      <c r="T48" s="86">
        <v>2</v>
      </c>
      <c r="U48" s="86">
        <v>1</v>
      </c>
      <c r="V48" s="86">
        <v>1</v>
      </c>
      <c r="W48" s="86">
        <v>1</v>
      </c>
      <c r="X48" s="86">
        <v>1</v>
      </c>
      <c r="Y48" s="86">
        <v>1</v>
      </c>
      <c r="Z48" s="86">
        <v>2</v>
      </c>
      <c r="AA48" s="86">
        <v>1</v>
      </c>
      <c r="AB48" s="86">
        <v>1</v>
      </c>
      <c r="AC48" s="86">
        <v>1</v>
      </c>
      <c r="AD48" s="86">
        <v>1</v>
      </c>
      <c r="AE48" s="86">
        <v>1</v>
      </c>
      <c r="AF48" s="86">
        <v>1</v>
      </c>
      <c r="AG48" s="86">
        <v>1</v>
      </c>
      <c r="AH48" s="86">
        <v>1</v>
      </c>
    </row>
    <row r="49" spans="3:34" s="86" customFormat="1">
      <c r="C49" s="86" t="s">
        <v>199</v>
      </c>
      <c r="D49" s="86" t="s">
        <v>195</v>
      </c>
      <c r="E49" s="86">
        <v>1</v>
      </c>
      <c r="F49" s="86">
        <v>1</v>
      </c>
      <c r="G49" s="86">
        <v>1</v>
      </c>
      <c r="H49" s="86">
        <v>2</v>
      </c>
      <c r="I49" s="86">
        <v>1</v>
      </c>
      <c r="J49" s="86">
        <v>1</v>
      </c>
      <c r="K49" s="86">
        <v>2</v>
      </c>
      <c r="L49" s="86">
        <v>1</v>
      </c>
      <c r="M49" s="86">
        <v>1</v>
      </c>
      <c r="N49" s="86">
        <v>2</v>
      </c>
      <c r="O49" s="86">
        <v>1</v>
      </c>
      <c r="P49" s="86">
        <v>1</v>
      </c>
      <c r="Q49" s="86">
        <v>2</v>
      </c>
      <c r="R49" s="86">
        <v>1</v>
      </c>
      <c r="S49" s="86">
        <v>1</v>
      </c>
      <c r="T49" s="86">
        <v>2</v>
      </c>
      <c r="U49" s="86">
        <v>1</v>
      </c>
      <c r="V49" s="86">
        <v>1</v>
      </c>
      <c r="W49" s="86">
        <v>1</v>
      </c>
      <c r="X49" s="86">
        <v>1</v>
      </c>
      <c r="Y49" s="86">
        <v>1</v>
      </c>
      <c r="Z49" s="86">
        <v>2</v>
      </c>
      <c r="AA49" s="86">
        <v>1</v>
      </c>
      <c r="AB49" s="86">
        <v>1</v>
      </c>
      <c r="AC49" s="86">
        <v>2</v>
      </c>
      <c r="AD49" s="86">
        <v>1</v>
      </c>
      <c r="AE49" s="86">
        <v>1</v>
      </c>
      <c r="AF49" s="86">
        <v>2</v>
      </c>
      <c r="AG49" s="86">
        <v>1</v>
      </c>
      <c r="AH49" s="86">
        <v>1</v>
      </c>
    </row>
    <row r="50" spans="3:34" s="86" customFormat="1">
      <c r="C50" s="86" t="s">
        <v>200</v>
      </c>
      <c r="D50" s="86" t="s">
        <v>195</v>
      </c>
      <c r="E50" s="86">
        <v>2</v>
      </c>
      <c r="F50" s="86">
        <v>1</v>
      </c>
      <c r="G50" s="86">
        <v>1</v>
      </c>
      <c r="H50" s="86">
        <v>2</v>
      </c>
      <c r="I50" s="86">
        <v>1</v>
      </c>
      <c r="J50" s="86">
        <v>1</v>
      </c>
      <c r="K50" s="86">
        <v>2</v>
      </c>
      <c r="L50" s="86">
        <v>1</v>
      </c>
      <c r="M50" s="86">
        <v>1</v>
      </c>
      <c r="N50" s="86">
        <v>2</v>
      </c>
      <c r="O50" s="86">
        <v>1</v>
      </c>
      <c r="P50" s="86">
        <v>1</v>
      </c>
      <c r="Q50" s="86">
        <v>2</v>
      </c>
      <c r="R50" s="86">
        <v>1</v>
      </c>
      <c r="S50" s="86">
        <v>1</v>
      </c>
      <c r="T50" s="86">
        <v>2</v>
      </c>
      <c r="U50" s="86">
        <v>1</v>
      </c>
      <c r="V50" s="86">
        <v>1</v>
      </c>
      <c r="W50" s="86">
        <v>2</v>
      </c>
      <c r="X50" s="86">
        <v>1</v>
      </c>
      <c r="Y50" s="86">
        <v>1</v>
      </c>
      <c r="Z50" s="86">
        <v>2</v>
      </c>
      <c r="AA50" s="86">
        <v>1</v>
      </c>
      <c r="AB50" s="86">
        <v>1</v>
      </c>
      <c r="AC50" s="86">
        <v>2</v>
      </c>
      <c r="AD50" s="86">
        <v>1</v>
      </c>
      <c r="AE50" s="86">
        <v>1</v>
      </c>
      <c r="AF50" s="86">
        <v>2</v>
      </c>
      <c r="AG50" s="86">
        <v>1</v>
      </c>
      <c r="AH50" s="86">
        <v>1</v>
      </c>
    </row>
    <row r="51" spans="3:34" s="86" customFormat="1">
      <c r="C51" s="86" t="s">
        <v>201</v>
      </c>
      <c r="D51" s="86" t="s">
        <v>195</v>
      </c>
      <c r="E51" s="86">
        <v>2</v>
      </c>
      <c r="F51" s="86">
        <v>1</v>
      </c>
      <c r="G51" s="86">
        <v>1</v>
      </c>
      <c r="H51" s="86">
        <v>1</v>
      </c>
      <c r="I51" s="86">
        <v>1</v>
      </c>
      <c r="J51" s="86">
        <v>1</v>
      </c>
      <c r="K51" s="86">
        <v>1</v>
      </c>
      <c r="L51" s="86">
        <v>1</v>
      </c>
      <c r="M51" s="86">
        <v>1</v>
      </c>
      <c r="N51" s="86">
        <v>1</v>
      </c>
      <c r="O51" s="86">
        <v>1</v>
      </c>
      <c r="P51" s="86">
        <v>1</v>
      </c>
      <c r="Q51" s="86">
        <v>2</v>
      </c>
      <c r="R51" s="86">
        <v>1</v>
      </c>
      <c r="S51" s="86">
        <v>1</v>
      </c>
      <c r="T51" s="86">
        <v>2</v>
      </c>
      <c r="U51" s="86">
        <v>1</v>
      </c>
      <c r="V51" s="86">
        <v>1</v>
      </c>
      <c r="W51" s="86">
        <v>2</v>
      </c>
      <c r="X51" s="86">
        <v>1</v>
      </c>
      <c r="Y51" s="86">
        <v>1</v>
      </c>
      <c r="Z51" s="86">
        <v>1</v>
      </c>
      <c r="AA51" s="86">
        <v>1</v>
      </c>
      <c r="AB51" s="86">
        <v>1</v>
      </c>
      <c r="AC51" s="86">
        <v>2</v>
      </c>
      <c r="AD51" s="86">
        <v>1</v>
      </c>
      <c r="AE51" s="86">
        <v>1</v>
      </c>
      <c r="AF51" s="86">
        <v>1</v>
      </c>
      <c r="AG51" s="86">
        <v>1</v>
      </c>
      <c r="AH51" s="86">
        <v>1</v>
      </c>
    </row>
    <row r="52" spans="3:34" s="86" customFormat="1">
      <c r="C52" s="86" t="s">
        <v>202</v>
      </c>
      <c r="D52" s="86" t="s">
        <v>195</v>
      </c>
      <c r="E52" s="86">
        <v>2</v>
      </c>
      <c r="F52" s="86">
        <v>1</v>
      </c>
      <c r="G52" s="86">
        <v>1</v>
      </c>
      <c r="H52" s="86">
        <v>1</v>
      </c>
      <c r="I52" s="86">
        <v>1</v>
      </c>
      <c r="J52" s="86">
        <v>1</v>
      </c>
      <c r="K52" s="86">
        <v>1</v>
      </c>
      <c r="L52" s="86">
        <v>1</v>
      </c>
      <c r="M52" s="86">
        <v>1</v>
      </c>
      <c r="N52" s="86">
        <v>1</v>
      </c>
      <c r="O52" s="86">
        <v>1</v>
      </c>
      <c r="P52" s="86">
        <v>1</v>
      </c>
      <c r="Q52" s="86">
        <v>2</v>
      </c>
      <c r="R52" s="86">
        <v>1</v>
      </c>
      <c r="S52" s="86">
        <v>1</v>
      </c>
      <c r="T52" s="86">
        <v>1</v>
      </c>
      <c r="U52" s="86">
        <v>1</v>
      </c>
      <c r="V52" s="86">
        <v>1</v>
      </c>
      <c r="W52" s="86">
        <v>1</v>
      </c>
      <c r="X52" s="86">
        <v>1</v>
      </c>
      <c r="Y52" s="86">
        <v>1</v>
      </c>
      <c r="Z52" s="86">
        <v>2</v>
      </c>
      <c r="AA52" s="86">
        <v>1</v>
      </c>
      <c r="AB52" s="86">
        <v>1</v>
      </c>
      <c r="AC52" s="86">
        <v>1</v>
      </c>
      <c r="AD52" s="86">
        <v>1</v>
      </c>
      <c r="AE52" s="86">
        <v>1</v>
      </c>
      <c r="AF52" s="86">
        <v>1</v>
      </c>
      <c r="AG52" s="86">
        <v>1</v>
      </c>
      <c r="AH52" s="86">
        <v>1</v>
      </c>
    </row>
    <row r="53" spans="3:34" s="86" customFormat="1">
      <c r="C53" s="86" t="s">
        <v>203</v>
      </c>
      <c r="D53" s="86" t="s">
        <v>195</v>
      </c>
      <c r="E53" s="86">
        <v>2</v>
      </c>
      <c r="F53" s="86">
        <v>1</v>
      </c>
      <c r="G53" s="86">
        <v>1</v>
      </c>
      <c r="H53" s="86">
        <v>2</v>
      </c>
      <c r="I53" s="86">
        <v>1</v>
      </c>
      <c r="J53" s="86">
        <v>1</v>
      </c>
      <c r="K53" s="86">
        <v>2</v>
      </c>
      <c r="L53" s="86">
        <v>1</v>
      </c>
      <c r="M53" s="86">
        <v>1</v>
      </c>
      <c r="N53" s="86">
        <v>2</v>
      </c>
      <c r="O53" s="86">
        <v>1</v>
      </c>
      <c r="P53" s="86">
        <v>1</v>
      </c>
      <c r="Q53" s="86">
        <v>2</v>
      </c>
      <c r="R53" s="86">
        <v>1</v>
      </c>
      <c r="S53" s="86">
        <v>1</v>
      </c>
      <c r="T53" s="86">
        <v>1</v>
      </c>
      <c r="U53" s="86">
        <v>1</v>
      </c>
      <c r="V53" s="86">
        <v>1</v>
      </c>
      <c r="W53" s="86">
        <v>1</v>
      </c>
      <c r="X53" s="86">
        <v>1</v>
      </c>
      <c r="Y53" s="86">
        <v>1</v>
      </c>
      <c r="Z53" s="86">
        <v>2</v>
      </c>
      <c r="AA53" s="86">
        <v>1</v>
      </c>
      <c r="AB53" s="86">
        <v>1</v>
      </c>
      <c r="AC53" s="86">
        <v>1</v>
      </c>
      <c r="AD53" s="86">
        <v>1</v>
      </c>
      <c r="AE53" s="86">
        <v>1</v>
      </c>
      <c r="AF53" s="86">
        <v>1</v>
      </c>
      <c r="AG53" s="86">
        <v>1</v>
      </c>
      <c r="AH53" s="86">
        <v>1</v>
      </c>
    </row>
    <row r="54" spans="3:34" s="86" customFormat="1">
      <c r="C54" s="86" t="s">
        <v>204</v>
      </c>
      <c r="D54" s="86" t="s">
        <v>195</v>
      </c>
      <c r="E54" s="86">
        <v>1</v>
      </c>
      <c r="F54" s="86">
        <v>1</v>
      </c>
      <c r="G54" s="86">
        <v>1</v>
      </c>
      <c r="H54" s="86">
        <v>1</v>
      </c>
      <c r="I54" s="86">
        <v>1</v>
      </c>
      <c r="J54" s="86">
        <v>1</v>
      </c>
      <c r="K54" s="86">
        <v>1</v>
      </c>
      <c r="L54" s="86">
        <v>1</v>
      </c>
      <c r="M54" s="86">
        <v>1</v>
      </c>
      <c r="N54" s="86">
        <v>2</v>
      </c>
      <c r="O54" s="86">
        <v>1</v>
      </c>
      <c r="P54" s="86">
        <v>1</v>
      </c>
      <c r="Q54" s="86">
        <v>1</v>
      </c>
      <c r="R54" s="86">
        <v>1</v>
      </c>
      <c r="S54" s="86">
        <v>1</v>
      </c>
      <c r="T54" s="86">
        <v>2</v>
      </c>
      <c r="U54" s="86">
        <v>1</v>
      </c>
      <c r="V54" s="86">
        <v>1</v>
      </c>
      <c r="W54" s="86">
        <v>2</v>
      </c>
      <c r="X54" s="86">
        <v>1</v>
      </c>
      <c r="Y54" s="86">
        <v>1</v>
      </c>
      <c r="Z54" s="86">
        <v>2</v>
      </c>
      <c r="AA54" s="86">
        <v>1</v>
      </c>
      <c r="AB54" s="86">
        <v>1</v>
      </c>
      <c r="AC54" s="86">
        <v>2</v>
      </c>
      <c r="AD54" s="86">
        <v>1</v>
      </c>
      <c r="AE54" s="86">
        <v>1</v>
      </c>
      <c r="AF54" s="86">
        <v>2</v>
      </c>
      <c r="AG54" s="86">
        <v>1</v>
      </c>
      <c r="AH54" s="86">
        <v>1</v>
      </c>
    </row>
    <row r="55" spans="3:34" s="86" customFormat="1">
      <c r="C55" s="86" t="s">
        <v>205</v>
      </c>
      <c r="D55" s="86" t="s">
        <v>195</v>
      </c>
      <c r="E55" s="86">
        <v>2</v>
      </c>
      <c r="F55" s="86">
        <v>1</v>
      </c>
      <c r="G55" s="86">
        <v>1</v>
      </c>
      <c r="H55" s="86">
        <v>1</v>
      </c>
      <c r="I55" s="86">
        <v>1</v>
      </c>
      <c r="J55" s="86">
        <v>1</v>
      </c>
      <c r="K55" s="86">
        <v>1</v>
      </c>
      <c r="L55" s="86">
        <v>1</v>
      </c>
      <c r="M55" s="86">
        <v>1</v>
      </c>
      <c r="N55" s="86">
        <v>1</v>
      </c>
      <c r="O55" s="86">
        <v>1</v>
      </c>
      <c r="P55" s="86">
        <v>1</v>
      </c>
      <c r="Q55" s="86">
        <v>2</v>
      </c>
      <c r="R55" s="86">
        <v>1</v>
      </c>
      <c r="S55" s="86">
        <v>1</v>
      </c>
      <c r="T55" s="86">
        <v>2</v>
      </c>
      <c r="U55" s="86">
        <v>1</v>
      </c>
      <c r="V55" s="86">
        <v>1</v>
      </c>
      <c r="W55" s="86">
        <v>2</v>
      </c>
      <c r="X55" s="86">
        <v>1</v>
      </c>
      <c r="Y55" s="86">
        <v>1</v>
      </c>
      <c r="Z55" s="86">
        <v>2</v>
      </c>
      <c r="AA55" s="86">
        <v>1</v>
      </c>
      <c r="AB55" s="86">
        <v>1</v>
      </c>
      <c r="AC55" s="86">
        <v>2</v>
      </c>
      <c r="AD55" s="86">
        <v>1</v>
      </c>
      <c r="AE55" s="86">
        <v>1</v>
      </c>
      <c r="AF55" s="86">
        <v>1</v>
      </c>
      <c r="AG55" s="86">
        <v>1</v>
      </c>
      <c r="AH55" s="86">
        <v>1</v>
      </c>
    </row>
    <row r="56" spans="3:34" s="86" customFormat="1">
      <c r="C56" s="86" t="s">
        <v>206</v>
      </c>
      <c r="D56" s="86" t="s">
        <v>195</v>
      </c>
      <c r="E56" s="86">
        <v>1</v>
      </c>
      <c r="F56" s="86">
        <v>1</v>
      </c>
      <c r="G56" s="86">
        <v>1</v>
      </c>
      <c r="H56" s="86">
        <v>1</v>
      </c>
      <c r="I56" s="86">
        <v>1</v>
      </c>
      <c r="J56" s="86">
        <v>1</v>
      </c>
      <c r="K56" s="86">
        <v>1</v>
      </c>
      <c r="L56" s="86">
        <v>1</v>
      </c>
      <c r="M56" s="86">
        <v>1</v>
      </c>
      <c r="N56" s="86">
        <v>1</v>
      </c>
      <c r="O56" s="86">
        <v>1</v>
      </c>
      <c r="P56" s="86">
        <v>1</v>
      </c>
      <c r="Q56" s="86">
        <v>1</v>
      </c>
      <c r="R56" s="86">
        <v>1</v>
      </c>
      <c r="S56" s="86">
        <v>1</v>
      </c>
      <c r="T56" s="86">
        <v>1</v>
      </c>
      <c r="U56" s="86">
        <v>1</v>
      </c>
      <c r="V56" s="86">
        <v>1</v>
      </c>
      <c r="W56" s="86">
        <v>1</v>
      </c>
      <c r="X56" s="86">
        <v>1</v>
      </c>
      <c r="Y56" s="86">
        <v>1</v>
      </c>
      <c r="Z56" s="86">
        <v>1</v>
      </c>
      <c r="AA56" s="86">
        <v>1</v>
      </c>
      <c r="AB56" s="86">
        <v>1</v>
      </c>
      <c r="AC56" s="86">
        <v>1</v>
      </c>
      <c r="AD56" s="86">
        <v>1</v>
      </c>
      <c r="AE56" s="86">
        <v>1</v>
      </c>
      <c r="AF56" s="86">
        <v>2</v>
      </c>
      <c r="AG56" s="86">
        <v>1</v>
      </c>
      <c r="AH56" s="86">
        <v>1</v>
      </c>
    </row>
    <row r="57" spans="3:34" s="86" customFormat="1">
      <c r="C57" s="86" t="s">
        <v>194</v>
      </c>
      <c r="D57" s="86" t="s">
        <v>207</v>
      </c>
      <c r="E57" s="86">
        <f>E45</f>
        <v>1</v>
      </c>
      <c r="F57" s="86">
        <v>1</v>
      </c>
      <c r="G57" s="86">
        <v>3</v>
      </c>
      <c r="H57" s="86">
        <f>H45</f>
        <v>2</v>
      </c>
      <c r="I57" s="86">
        <v>1</v>
      </c>
      <c r="J57" s="86">
        <v>3</v>
      </c>
      <c r="K57" s="86">
        <f>K45</f>
        <v>2</v>
      </c>
      <c r="L57" s="86">
        <v>1</v>
      </c>
      <c r="M57" s="86">
        <v>3</v>
      </c>
      <c r="N57" s="86">
        <f>N45</f>
        <v>2</v>
      </c>
      <c r="O57" s="86">
        <v>1</v>
      </c>
      <c r="P57" s="86">
        <v>3</v>
      </c>
      <c r="Q57" s="86">
        <f>Q45</f>
        <v>2</v>
      </c>
      <c r="R57" s="86">
        <v>1</v>
      </c>
      <c r="S57" s="86">
        <v>3</v>
      </c>
      <c r="T57" s="86">
        <f>T45</f>
        <v>1</v>
      </c>
      <c r="U57" s="86">
        <v>1</v>
      </c>
      <c r="V57" s="86">
        <v>3</v>
      </c>
      <c r="W57" s="86">
        <f>W45</f>
        <v>2</v>
      </c>
      <c r="X57" s="86">
        <v>1</v>
      </c>
      <c r="Y57" s="86">
        <v>3</v>
      </c>
      <c r="Z57" s="86">
        <f>Z45</f>
        <v>2</v>
      </c>
      <c r="AA57" s="86">
        <v>1</v>
      </c>
      <c r="AB57" s="86">
        <v>3</v>
      </c>
      <c r="AC57" s="86">
        <f>AC45</f>
        <v>2</v>
      </c>
      <c r="AD57" s="86">
        <v>1</v>
      </c>
      <c r="AE57" s="86">
        <v>3</v>
      </c>
      <c r="AF57" s="86">
        <f>AF45</f>
        <v>2</v>
      </c>
      <c r="AG57" s="86">
        <v>1</v>
      </c>
      <c r="AH57" s="86">
        <v>3</v>
      </c>
    </row>
    <row r="58" spans="3:34" s="86" customFormat="1">
      <c r="C58" s="86" t="s">
        <v>196</v>
      </c>
      <c r="D58" s="86" t="s">
        <v>207</v>
      </c>
      <c r="E58" s="86">
        <f t="shared" ref="E58:E80" si="39">E46</f>
        <v>2</v>
      </c>
      <c r="F58" s="86">
        <v>1</v>
      </c>
      <c r="G58" s="86">
        <v>3</v>
      </c>
      <c r="H58" s="86">
        <f t="shared" ref="H58:H80" si="40">H46</f>
        <v>1</v>
      </c>
      <c r="I58" s="86">
        <v>1</v>
      </c>
      <c r="J58" s="86">
        <v>3</v>
      </c>
      <c r="K58" s="86">
        <f t="shared" ref="K58:K80" si="41">K46</f>
        <v>2</v>
      </c>
      <c r="L58" s="86">
        <v>1</v>
      </c>
      <c r="M58" s="86">
        <v>3</v>
      </c>
      <c r="N58" s="86">
        <f t="shared" ref="N58:N80" si="42">N46</f>
        <v>2</v>
      </c>
      <c r="O58" s="86">
        <v>1</v>
      </c>
      <c r="P58" s="86">
        <v>3</v>
      </c>
      <c r="Q58" s="86">
        <f t="shared" ref="Q58:Q80" si="43">Q46</f>
        <v>1</v>
      </c>
      <c r="R58" s="86">
        <v>1</v>
      </c>
      <c r="S58" s="86">
        <v>3</v>
      </c>
      <c r="T58" s="86">
        <f t="shared" ref="T58:T80" si="44">T46</f>
        <v>2</v>
      </c>
      <c r="U58" s="86">
        <v>1</v>
      </c>
      <c r="V58" s="86">
        <v>3</v>
      </c>
      <c r="W58" s="86">
        <f t="shared" ref="W58:W80" si="45">W46</f>
        <v>1</v>
      </c>
      <c r="X58" s="86">
        <v>1</v>
      </c>
      <c r="Y58" s="86">
        <v>3</v>
      </c>
      <c r="Z58" s="86">
        <f t="shared" ref="Z58:Z80" si="46">Z46</f>
        <v>2</v>
      </c>
      <c r="AA58" s="86">
        <v>1</v>
      </c>
      <c r="AB58" s="86">
        <v>3</v>
      </c>
      <c r="AC58" s="86">
        <f t="shared" ref="AC58:AC80" si="47">AC46</f>
        <v>2</v>
      </c>
      <c r="AD58" s="86">
        <v>1</v>
      </c>
      <c r="AE58" s="86">
        <v>3</v>
      </c>
      <c r="AF58" s="86">
        <f t="shared" ref="AF58:AF80" si="48">AF46</f>
        <v>1</v>
      </c>
      <c r="AG58" s="86">
        <v>1</v>
      </c>
      <c r="AH58" s="86">
        <v>3</v>
      </c>
    </row>
    <row r="59" spans="3:34" s="86" customFormat="1">
      <c r="C59" s="86" t="s">
        <v>197</v>
      </c>
      <c r="D59" s="86" t="s">
        <v>207</v>
      </c>
      <c r="E59" s="86">
        <f t="shared" si="39"/>
        <v>1</v>
      </c>
      <c r="F59" s="86">
        <v>1</v>
      </c>
      <c r="G59" s="86">
        <v>2</v>
      </c>
      <c r="H59" s="86">
        <f t="shared" si="40"/>
        <v>2</v>
      </c>
      <c r="I59" s="86">
        <v>1</v>
      </c>
      <c r="J59" s="86">
        <v>3</v>
      </c>
      <c r="K59" s="86">
        <f t="shared" si="41"/>
        <v>1</v>
      </c>
      <c r="L59" s="86">
        <v>1</v>
      </c>
      <c r="M59" s="86">
        <v>3</v>
      </c>
      <c r="N59" s="86">
        <f t="shared" si="42"/>
        <v>1</v>
      </c>
      <c r="O59" s="86">
        <v>1</v>
      </c>
      <c r="P59" s="86">
        <v>3</v>
      </c>
      <c r="Q59" s="86">
        <f t="shared" si="43"/>
        <v>2</v>
      </c>
      <c r="R59" s="86">
        <v>1</v>
      </c>
      <c r="S59" s="86">
        <v>3</v>
      </c>
      <c r="T59" s="86">
        <f t="shared" si="44"/>
        <v>1</v>
      </c>
      <c r="U59" s="86">
        <v>1</v>
      </c>
      <c r="V59" s="86">
        <v>3</v>
      </c>
      <c r="W59" s="86">
        <f t="shared" si="45"/>
        <v>2</v>
      </c>
      <c r="X59" s="86">
        <v>1</v>
      </c>
      <c r="Y59" s="86">
        <v>3</v>
      </c>
      <c r="Z59" s="86">
        <f t="shared" si="46"/>
        <v>1</v>
      </c>
      <c r="AA59" s="86">
        <v>1</v>
      </c>
      <c r="AB59" s="86">
        <v>3</v>
      </c>
      <c r="AC59" s="86">
        <f t="shared" si="47"/>
        <v>2</v>
      </c>
      <c r="AD59" s="86">
        <v>1</v>
      </c>
      <c r="AE59" s="86">
        <v>3</v>
      </c>
      <c r="AF59" s="86">
        <f t="shared" si="48"/>
        <v>2</v>
      </c>
      <c r="AG59" s="86">
        <v>1</v>
      </c>
      <c r="AH59" s="86">
        <v>3</v>
      </c>
    </row>
    <row r="60" spans="3:34" s="86" customFormat="1">
      <c r="C60" s="86" t="s">
        <v>198</v>
      </c>
      <c r="D60" s="86" t="s">
        <v>207</v>
      </c>
      <c r="E60" s="86">
        <f t="shared" si="39"/>
        <v>2</v>
      </c>
      <c r="F60" s="86">
        <v>1</v>
      </c>
      <c r="G60" s="86">
        <v>3</v>
      </c>
      <c r="H60" s="86">
        <f t="shared" si="40"/>
        <v>2</v>
      </c>
      <c r="I60" s="86">
        <v>1</v>
      </c>
      <c r="J60" s="86">
        <v>3</v>
      </c>
      <c r="K60" s="86">
        <f t="shared" si="41"/>
        <v>2</v>
      </c>
      <c r="L60" s="86">
        <v>1</v>
      </c>
      <c r="M60" s="86">
        <v>3</v>
      </c>
      <c r="N60" s="86">
        <f t="shared" si="42"/>
        <v>2</v>
      </c>
      <c r="O60" s="86">
        <v>1</v>
      </c>
      <c r="P60" s="86">
        <v>3</v>
      </c>
      <c r="Q60" s="86">
        <f t="shared" si="43"/>
        <v>1</v>
      </c>
      <c r="R60" s="86">
        <v>1</v>
      </c>
      <c r="S60" s="86">
        <v>3</v>
      </c>
      <c r="T60" s="86">
        <f t="shared" si="44"/>
        <v>2</v>
      </c>
      <c r="U60" s="86">
        <v>1</v>
      </c>
      <c r="V60" s="86">
        <v>3</v>
      </c>
      <c r="W60" s="86">
        <f t="shared" si="45"/>
        <v>1</v>
      </c>
      <c r="X60" s="86">
        <v>1</v>
      </c>
      <c r="Y60" s="86">
        <v>3</v>
      </c>
      <c r="Z60" s="86">
        <f t="shared" si="46"/>
        <v>2</v>
      </c>
      <c r="AA60" s="86">
        <v>1</v>
      </c>
      <c r="AB60" s="86">
        <v>3</v>
      </c>
      <c r="AC60" s="86">
        <f t="shared" si="47"/>
        <v>1</v>
      </c>
      <c r="AD60" s="86">
        <v>1</v>
      </c>
      <c r="AE60" s="86">
        <v>3</v>
      </c>
      <c r="AF60" s="86">
        <f t="shared" si="48"/>
        <v>1</v>
      </c>
      <c r="AG60" s="86">
        <v>1</v>
      </c>
      <c r="AH60" s="86">
        <v>3</v>
      </c>
    </row>
    <row r="61" spans="3:34" s="86" customFormat="1">
      <c r="C61" s="86" t="s">
        <v>199</v>
      </c>
      <c r="D61" s="86" t="s">
        <v>207</v>
      </c>
      <c r="E61" s="86">
        <f t="shared" si="39"/>
        <v>1</v>
      </c>
      <c r="F61" s="86">
        <v>1</v>
      </c>
      <c r="G61" s="86">
        <v>3</v>
      </c>
      <c r="H61" s="86">
        <f t="shared" si="40"/>
        <v>2</v>
      </c>
      <c r="I61" s="86">
        <v>1</v>
      </c>
      <c r="J61" s="86">
        <v>3</v>
      </c>
      <c r="K61" s="86">
        <f t="shared" si="41"/>
        <v>2</v>
      </c>
      <c r="L61" s="86">
        <v>1</v>
      </c>
      <c r="M61" s="86">
        <v>3</v>
      </c>
      <c r="N61" s="86">
        <f t="shared" si="42"/>
        <v>2</v>
      </c>
      <c r="O61" s="86">
        <v>1</v>
      </c>
      <c r="P61" s="86">
        <v>3</v>
      </c>
      <c r="Q61" s="86">
        <f t="shared" si="43"/>
        <v>2</v>
      </c>
      <c r="R61" s="86">
        <v>1</v>
      </c>
      <c r="S61" s="86">
        <v>3</v>
      </c>
      <c r="T61" s="86">
        <f t="shared" si="44"/>
        <v>2</v>
      </c>
      <c r="U61" s="86">
        <v>1</v>
      </c>
      <c r="V61" s="86">
        <v>3</v>
      </c>
      <c r="W61" s="86">
        <f t="shared" si="45"/>
        <v>1</v>
      </c>
      <c r="X61" s="86">
        <v>1</v>
      </c>
      <c r="Y61" s="86">
        <v>3</v>
      </c>
      <c r="Z61" s="86">
        <f t="shared" si="46"/>
        <v>2</v>
      </c>
      <c r="AA61" s="86">
        <v>1</v>
      </c>
      <c r="AB61" s="86">
        <v>3</v>
      </c>
      <c r="AC61" s="86">
        <f t="shared" si="47"/>
        <v>2</v>
      </c>
      <c r="AD61" s="86">
        <v>1</v>
      </c>
      <c r="AE61" s="86">
        <v>3</v>
      </c>
      <c r="AF61" s="86">
        <f t="shared" si="48"/>
        <v>2</v>
      </c>
      <c r="AG61" s="86">
        <v>1</v>
      </c>
      <c r="AH61" s="86">
        <v>3</v>
      </c>
    </row>
    <row r="62" spans="3:34" s="86" customFormat="1">
      <c r="C62" s="86" t="s">
        <v>200</v>
      </c>
      <c r="D62" s="86" t="s">
        <v>207</v>
      </c>
      <c r="E62" s="86">
        <f t="shared" si="39"/>
        <v>2</v>
      </c>
      <c r="F62" s="86">
        <v>1</v>
      </c>
      <c r="G62" s="86">
        <v>3</v>
      </c>
      <c r="H62" s="86">
        <f t="shared" si="40"/>
        <v>2</v>
      </c>
      <c r="I62" s="86">
        <v>1</v>
      </c>
      <c r="J62" s="86">
        <v>3</v>
      </c>
      <c r="K62" s="86">
        <f t="shared" si="41"/>
        <v>2</v>
      </c>
      <c r="L62" s="86">
        <v>1</v>
      </c>
      <c r="M62" s="86">
        <v>3</v>
      </c>
      <c r="N62" s="86">
        <f t="shared" si="42"/>
        <v>2</v>
      </c>
      <c r="O62" s="86">
        <v>1</v>
      </c>
      <c r="P62" s="86">
        <v>3</v>
      </c>
      <c r="Q62" s="86">
        <f t="shared" si="43"/>
        <v>2</v>
      </c>
      <c r="R62" s="86">
        <v>1</v>
      </c>
      <c r="S62" s="86">
        <v>3</v>
      </c>
      <c r="T62" s="86">
        <f t="shared" si="44"/>
        <v>2</v>
      </c>
      <c r="U62" s="86">
        <v>1</v>
      </c>
      <c r="V62" s="86">
        <v>3</v>
      </c>
      <c r="W62" s="86">
        <f t="shared" si="45"/>
        <v>2</v>
      </c>
      <c r="X62" s="86">
        <v>1</v>
      </c>
      <c r="Y62" s="86">
        <v>3</v>
      </c>
      <c r="Z62" s="86">
        <f t="shared" si="46"/>
        <v>2</v>
      </c>
      <c r="AA62" s="86">
        <v>1</v>
      </c>
      <c r="AB62" s="86">
        <v>3</v>
      </c>
      <c r="AC62" s="86">
        <f t="shared" si="47"/>
        <v>2</v>
      </c>
      <c r="AD62" s="86">
        <v>1</v>
      </c>
      <c r="AE62" s="86">
        <v>3</v>
      </c>
      <c r="AF62" s="86">
        <f t="shared" si="48"/>
        <v>2</v>
      </c>
      <c r="AG62" s="86">
        <v>1</v>
      </c>
      <c r="AH62" s="86">
        <v>3</v>
      </c>
    </row>
    <row r="63" spans="3:34" s="86" customFormat="1">
      <c r="C63" s="86" t="s">
        <v>201</v>
      </c>
      <c r="D63" s="86" t="s">
        <v>207</v>
      </c>
      <c r="E63" s="86">
        <f t="shared" si="39"/>
        <v>2</v>
      </c>
      <c r="F63" s="86">
        <v>1</v>
      </c>
      <c r="G63" s="86">
        <v>3</v>
      </c>
      <c r="H63" s="86">
        <f t="shared" si="40"/>
        <v>1</v>
      </c>
      <c r="I63" s="86">
        <v>1</v>
      </c>
      <c r="J63" s="86">
        <v>3</v>
      </c>
      <c r="K63" s="86">
        <f t="shared" si="41"/>
        <v>1</v>
      </c>
      <c r="L63" s="86">
        <v>1</v>
      </c>
      <c r="M63" s="86">
        <v>3</v>
      </c>
      <c r="N63" s="86">
        <f t="shared" si="42"/>
        <v>1</v>
      </c>
      <c r="O63" s="86">
        <v>1</v>
      </c>
      <c r="P63" s="86">
        <v>3</v>
      </c>
      <c r="Q63" s="86">
        <f t="shared" si="43"/>
        <v>2</v>
      </c>
      <c r="R63" s="86">
        <v>1</v>
      </c>
      <c r="S63" s="86">
        <v>3</v>
      </c>
      <c r="T63" s="86">
        <f t="shared" si="44"/>
        <v>2</v>
      </c>
      <c r="U63" s="86">
        <v>1</v>
      </c>
      <c r="V63" s="86">
        <v>3</v>
      </c>
      <c r="W63" s="86">
        <f t="shared" si="45"/>
        <v>2</v>
      </c>
      <c r="X63" s="86">
        <v>1</v>
      </c>
      <c r="Y63" s="86">
        <v>3</v>
      </c>
      <c r="Z63" s="86">
        <f t="shared" si="46"/>
        <v>1</v>
      </c>
      <c r="AA63" s="86">
        <v>1</v>
      </c>
      <c r="AB63" s="86">
        <v>3</v>
      </c>
      <c r="AC63" s="86">
        <f t="shared" si="47"/>
        <v>2</v>
      </c>
      <c r="AD63" s="86">
        <v>1</v>
      </c>
      <c r="AE63" s="86">
        <v>3</v>
      </c>
      <c r="AF63" s="86">
        <f t="shared" si="48"/>
        <v>1</v>
      </c>
      <c r="AG63" s="86">
        <v>1</v>
      </c>
      <c r="AH63" s="86">
        <v>3</v>
      </c>
    </row>
    <row r="64" spans="3:34" s="86" customFormat="1">
      <c r="C64" s="86" t="s">
        <v>202</v>
      </c>
      <c r="D64" s="86" t="s">
        <v>207</v>
      </c>
      <c r="E64" s="86">
        <f t="shared" si="39"/>
        <v>2</v>
      </c>
      <c r="F64" s="86">
        <v>1</v>
      </c>
      <c r="G64" s="86">
        <v>3</v>
      </c>
      <c r="H64" s="86">
        <f t="shared" si="40"/>
        <v>1</v>
      </c>
      <c r="I64" s="86">
        <v>1</v>
      </c>
      <c r="J64" s="86">
        <v>3</v>
      </c>
      <c r="K64" s="86">
        <f t="shared" si="41"/>
        <v>1</v>
      </c>
      <c r="L64" s="86">
        <v>1</v>
      </c>
      <c r="M64" s="86">
        <v>3</v>
      </c>
      <c r="N64" s="86">
        <f t="shared" si="42"/>
        <v>1</v>
      </c>
      <c r="O64" s="86">
        <v>1</v>
      </c>
      <c r="P64" s="86">
        <v>3</v>
      </c>
      <c r="Q64" s="86">
        <f t="shared" si="43"/>
        <v>2</v>
      </c>
      <c r="R64" s="86">
        <v>1</v>
      </c>
      <c r="S64" s="86">
        <v>3</v>
      </c>
      <c r="T64" s="86">
        <f t="shared" si="44"/>
        <v>1</v>
      </c>
      <c r="U64" s="86">
        <v>1</v>
      </c>
      <c r="V64" s="86">
        <v>3</v>
      </c>
      <c r="W64" s="86">
        <f t="shared" si="45"/>
        <v>1</v>
      </c>
      <c r="X64" s="86">
        <v>1</v>
      </c>
      <c r="Y64" s="86">
        <v>3</v>
      </c>
      <c r="Z64" s="86">
        <f t="shared" si="46"/>
        <v>2</v>
      </c>
      <c r="AA64" s="86">
        <v>1</v>
      </c>
      <c r="AB64" s="86">
        <v>3</v>
      </c>
      <c r="AC64" s="86">
        <f t="shared" si="47"/>
        <v>1</v>
      </c>
      <c r="AD64" s="86">
        <v>1</v>
      </c>
      <c r="AE64" s="86">
        <v>3</v>
      </c>
      <c r="AF64" s="86">
        <f t="shared" si="48"/>
        <v>1</v>
      </c>
      <c r="AG64" s="86">
        <v>1</v>
      </c>
      <c r="AH64" s="86">
        <v>3</v>
      </c>
    </row>
    <row r="65" spans="3:34" s="86" customFormat="1">
      <c r="C65" s="86" t="s">
        <v>203</v>
      </c>
      <c r="D65" s="86" t="s">
        <v>207</v>
      </c>
      <c r="E65" s="86">
        <f t="shared" si="39"/>
        <v>2</v>
      </c>
      <c r="F65" s="86">
        <v>1</v>
      </c>
      <c r="G65" s="86">
        <v>3</v>
      </c>
      <c r="H65" s="86">
        <f t="shared" si="40"/>
        <v>2</v>
      </c>
      <c r="I65" s="86">
        <v>1</v>
      </c>
      <c r="J65" s="86">
        <v>3</v>
      </c>
      <c r="K65" s="86">
        <f t="shared" si="41"/>
        <v>2</v>
      </c>
      <c r="L65" s="86">
        <v>1</v>
      </c>
      <c r="M65" s="86">
        <v>3</v>
      </c>
      <c r="N65" s="86">
        <f t="shared" si="42"/>
        <v>2</v>
      </c>
      <c r="O65" s="86">
        <v>1</v>
      </c>
      <c r="P65" s="86">
        <v>3</v>
      </c>
      <c r="Q65" s="86">
        <f t="shared" si="43"/>
        <v>2</v>
      </c>
      <c r="R65" s="86">
        <v>1</v>
      </c>
      <c r="S65" s="86">
        <v>3</v>
      </c>
      <c r="T65" s="86">
        <f t="shared" si="44"/>
        <v>1</v>
      </c>
      <c r="U65" s="86">
        <v>1</v>
      </c>
      <c r="V65" s="86">
        <v>3</v>
      </c>
      <c r="W65" s="86">
        <f t="shared" si="45"/>
        <v>1</v>
      </c>
      <c r="X65" s="86">
        <v>1</v>
      </c>
      <c r="Y65" s="86">
        <v>3</v>
      </c>
      <c r="Z65" s="86">
        <f t="shared" si="46"/>
        <v>2</v>
      </c>
      <c r="AA65" s="86">
        <v>1</v>
      </c>
      <c r="AB65" s="86">
        <v>3</v>
      </c>
      <c r="AC65" s="86">
        <f t="shared" si="47"/>
        <v>1</v>
      </c>
      <c r="AD65" s="86">
        <v>1</v>
      </c>
      <c r="AE65" s="86">
        <v>3</v>
      </c>
      <c r="AF65" s="86">
        <f t="shared" si="48"/>
        <v>1</v>
      </c>
      <c r="AG65" s="86">
        <v>1</v>
      </c>
      <c r="AH65" s="86">
        <v>3</v>
      </c>
    </row>
    <row r="66" spans="3:34" s="86" customFormat="1">
      <c r="C66" s="86" t="s">
        <v>204</v>
      </c>
      <c r="D66" s="86" t="s">
        <v>207</v>
      </c>
      <c r="E66" s="86">
        <f t="shared" si="39"/>
        <v>1</v>
      </c>
      <c r="F66" s="86">
        <v>1</v>
      </c>
      <c r="G66" s="86">
        <v>3</v>
      </c>
      <c r="H66" s="86">
        <f t="shared" si="40"/>
        <v>1</v>
      </c>
      <c r="I66" s="86">
        <v>1</v>
      </c>
      <c r="J66" s="86">
        <v>3</v>
      </c>
      <c r="K66" s="86">
        <f t="shared" si="41"/>
        <v>1</v>
      </c>
      <c r="L66" s="86">
        <v>1</v>
      </c>
      <c r="M66" s="86">
        <v>3</v>
      </c>
      <c r="N66" s="86">
        <f t="shared" si="42"/>
        <v>2</v>
      </c>
      <c r="O66" s="86">
        <v>1</v>
      </c>
      <c r="P66" s="86">
        <v>3</v>
      </c>
      <c r="Q66" s="86">
        <f t="shared" si="43"/>
        <v>1</v>
      </c>
      <c r="R66" s="86">
        <v>1</v>
      </c>
      <c r="S66" s="86">
        <v>3</v>
      </c>
      <c r="T66" s="86">
        <f t="shared" si="44"/>
        <v>2</v>
      </c>
      <c r="U66" s="86">
        <v>1</v>
      </c>
      <c r="V66" s="86">
        <v>3</v>
      </c>
      <c r="W66" s="86">
        <f t="shared" si="45"/>
        <v>2</v>
      </c>
      <c r="X66" s="86">
        <v>1</v>
      </c>
      <c r="Y66" s="86">
        <v>3</v>
      </c>
      <c r="Z66" s="86">
        <f t="shared" si="46"/>
        <v>2</v>
      </c>
      <c r="AA66" s="86">
        <v>1</v>
      </c>
      <c r="AB66" s="86">
        <v>3</v>
      </c>
      <c r="AC66" s="86">
        <f t="shared" si="47"/>
        <v>2</v>
      </c>
      <c r="AD66" s="86">
        <v>1</v>
      </c>
      <c r="AE66" s="86">
        <v>3</v>
      </c>
      <c r="AF66" s="86">
        <f t="shared" si="48"/>
        <v>2</v>
      </c>
      <c r="AG66" s="86">
        <v>1</v>
      </c>
      <c r="AH66" s="86">
        <v>3</v>
      </c>
    </row>
    <row r="67" spans="3:34" s="86" customFormat="1">
      <c r="C67" s="86" t="s">
        <v>205</v>
      </c>
      <c r="D67" s="86" t="s">
        <v>207</v>
      </c>
      <c r="E67" s="86">
        <f t="shared" si="39"/>
        <v>2</v>
      </c>
      <c r="F67" s="86">
        <v>1</v>
      </c>
      <c r="G67" s="86">
        <v>3</v>
      </c>
      <c r="H67" s="86">
        <f t="shared" si="40"/>
        <v>1</v>
      </c>
      <c r="I67" s="86">
        <v>1</v>
      </c>
      <c r="J67" s="86">
        <v>3</v>
      </c>
      <c r="K67" s="86">
        <f t="shared" si="41"/>
        <v>1</v>
      </c>
      <c r="L67" s="86">
        <v>1</v>
      </c>
      <c r="M67" s="86">
        <v>3</v>
      </c>
      <c r="N67" s="86">
        <f t="shared" si="42"/>
        <v>1</v>
      </c>
      <c r="O67" s="86">
        <v>1</v>
      </c>
      <c r="P67" s="86">
        <v>3</v>
      </c>
      <c r="Q67" s="86">
        <f t="shared" si="43"/>
        <v>2</v>
      </c>
      <c r="R67" s="86">
        <v>1</v>
      </c>
      <c r="S67" s="86">
        <v>3</v>
      </c>
      <c r="T67" s="86">
        <f t="shared" si="44"/>
        <v>2</v>
      </c>
      <c r="U67" s="86">
        <v>1</v>
      </c>
      <c r="V67" s="86">
        <v>3</v>
      </c>
      <c r="W67" s="86">
        <f t="shared" si="45"/>
        <v>2</v>
      </c>
      <c r="X67" s="86">
        <v>1</v>
      </c>
      <c r="Y67" s="86">
        <v>3</v>
      </c>
      <c r="Z67" s="86">
        <f t="shared" si="46"/>
        <v>2</v>
      </c>
      <c r="AA67" s="86">
        <v>1</v>
      </c>
      <c r="AB67" s="86">
        <v>3</v>
      </c>
      <c r="AC67" s="86">
        <f t="shared" si="47"/>
        <v>2</v>
      </c>
      <c r="AD67" s="86">
        <v>1</v>
      </c>
      <c r="AE67" s="86">
        <v>3</v>
      </c>
      <c r="AF67" s="86">
        <f t="shared" si="48"/>
        <v>1</v>
      </c>
      <c r="AG67" s="86">
        <v>1</v>
      </c>
      <c r="AH67" s="86">
        <v>3</v>
      </c>
    </row>
    <row r="68" spans="3:34" s="86" customFormat="1">
      <c r="C68" s="86" t="s">
        <v>206</v>
      </c>
      <c r="D68" s="86" t="s">
        <v>207</v>
      </c>
      <c r="E68" s="86">
        <f t="shared" si="39"/>
        <v>1</v>
      </c>
      <c r="F68" s="86">
        <v>1</v>
      </c>
      <c r="G68" s="86">
        <v>3</v>
      </c>
      <c r="H68" s="86">
        <f t="shared" si="40"/>
        <v>1</v>
      </c>
      <c r="I68" s="86">
        <v>1</v>
      </c>
      <c r="J68" s="86">
        <v>3</v>
      </c>
      <c r="K68" s="86">
        <f t="shared" si="41"/>
        <v>1</v>
      </c>
      <c r="L68" s="86">
        <v>1</v>
      </c>
      <c r="M68" s="86">
        <v>3</v>
      </c>
      <c r="N68" s="86">
        <f t="shared" si="42"/>
        <v>1</v>
      </c>
      <c r="O68" s="86">
        <v>1</v>
      </c>
      <c r="P68" s="86">
        <v>3</v>
      </c>
      <c r="Q68" s="86">
        <f t="shared" si="43"/>
        <v>1</v>
      </c>
      <c r="R68" s="86">
        <v>1</v>
      </c>
      <c r="S68" s="86">
        <v>3</v>
      </c>
      <c r="T68" s="86">
        <f t="shared" si="44"/>
        <v>1</v>
      </c>
      <c r="U68" s="86">
        <v>1</v>
      </c>
      <c r="V68" s="86">
        <v>3</v>
      </c>
      <c r="W68" s="86">
        <f t="shared" si="45"/>
        <v>1</v>
      </c>
      <c r="X68" s="86">
        <v>1</v>
      </c>
      <c r="Y68" s="86">
        <v>3</v>
      </c>
      <c r="Z68" s="86">
        <f t="shared" si="46"/>
        <v>1</v>
      </c>
      <c r="AA68" s="86">
        <v>1</v>
      </c>
      <c r="AB68" s="86">
        <v>3</v>
      </c>
      <c r="AC68" s="86">
        <f t="shared" si="47"/>
        <v>1</v>
      </c>
      <c r="AD68" s="86">
        <v>1</v>
      </c>
      <c r="AE68" s="86">
        <v>3</v>
      </c>
      <c r="AF68" s="86">
        <f t="shared" si="48"/>
        <v>2</v>
      </c>
      <c r="AG68" s="86">
        <v>1</v>
      </c>
      <c r="AH68" s="86">
        <v>3</v>
      </c>
    </row>
    <row r="69" spans="3:34" s="86" customFormat="1">
      <c r="C69" s="86" t="s">
        <v>194</v>
      </c>
      <c r="D69" s="86" t="s">
        <v>208</v>
      </c>
      <c r="E69" s="86">
        <f>E57</f>
        <v>1</v>
      </c>
      <c r="F69" s="86">
        <v>1</v>
      </c>
      <c r="G69" s="86">
        <v>7</v>
      </c>
      <c r="H69" s="86">
        <f>H57</f>
        <v>2</v>
      </c>
      <c r="I69" s="86">
        <v>1</v>
      </c>
      <c r="J69" s="86">
        <v>7</v>
      </c>
      <c r="K69" s="86">
        <f>K57</f>
        <v>2</v>
      </c>
      <c r="L69" s="86">
        <v>1</v>
      </c>
      <c r="M69" s="86">
        <v>7</v>
      </c>
      <c r="N69" s="86">
        <f>N57</f>
        <v>2</v>
      </c>
      <c r="O69" s="86">
        <v>1</v>
      </c>
      <c r="P69" s="86">
        <v>7</v>
      </c>
      <c r="Q69" s="86">
        <f>Q57</f>
        <v>2</v>
      </c>
      <c r="R69" s="86">
        <v>1</v>
      </c>
      <c r="S69" s="86">
        <v>7</v>
      </c>
      <c r="T69" s="86">
        <f>T57</f>
        <v>1</v>
      </c>
      <c r="U69" s="86">
        <v>1</v>
      </c>
      <c r="V69" s="86">
        <v>6</v>
      </c>
      <c r="W69" s="86">
        <f>W57</f>
        <v>2</v>
      </c>
      <c r="X69" s="86">
        <v>1</v>
      </c>
      <c r="Y69" s="86">
        <v>7</v>
      </c>
      <c r="Z69" s="86">
        <f>Z57</f>
        <v>2</v>
      </c>
      <c r="AA69" s="86">
        <v>1</v>
      </c>
      <c r="AB69" s="86">
        <v>7</v>
      </c>
      <c r="AC69" s="86">
        <f>AC57</f>
        <v>2</v>
      </c>
      <c r="AD69" s="86">
        <v>1</v>
      </c>
      <c r="AE69" s="86">
        <v>7</v>
      </c>
      <c r="AF69" s="86">
        <f>AF57</f>
        <v>2</v>
      </c>
      <c r="AG69" s="86">
        <v>1</v>
      </c>
      <c r="AH69" s="86">
        <v>7</v>
      </c>
    </row>
    <row r="70" spans="3:34" s="86" customFormat="1">
      <c r="C70" s="86" t="s">
        <v>196</v>
      </c>
      <c r="D70" s="86" t="s">
        <v>208</v>
      </c>
      <c r="E70" s="86">
        <f t="shared" si="39"/>
        <v>2</v>
      </c>
      <c r="F70" s="86">
        <v>1</v>
      </c>
      <c r="G70" s="86">
        <v>7</v>
      </c>
      <c r="H70" s="86">
        <f t="shared" si="40"/>
        <v>1</v>
      </c>
      <c r="I70" s="86">
        <v>1</v>
      </c>
      <c r="J70" s="86">
        <v>7</v>
      </c>
      <c r="K70" s="86">
        <f t="shared" si="41"/>
        <v>2</v>
      </c>
      <c r="L70" s="86">
        <v>1</v>
      </c>
      <c r="M70" s="86">
        <v>6</v>
      </c>
      <c r="N70" s="86">
        <f t="shared" si="42"/>
        <v>2</v>
      </c>
      <c r="O70" s="86">
        <v>1</v>
      </c>
      <c r="P70" s="86">
        <v>7</v>
      </c>
      <c r="Q70" s="86">
        <f t="shared" si="43"/>
        <v>1</v>
      </c>
      <c r="R70" s="86">
        <v>1</v>
      </c>
      <c r="S70" s="86">
        <v>7</v>
      </c>
      <c r="T70" s="86">
        <f t="shared" si="44"/>
        <v>2</v>
      </c>
      <c r="U70" s="86">
        <v>1</v>
      </c>
      <c r="V70" s="86">
        <v>6</v>
      </c>
      <c r="W70" s="86">
        <f t="shared" si="45"/>
        <v>1</v>
      </c>
      <c r="X70" s="86">
        <v>1</v>
      </c>
      <c r="Y70" s="86">
        <v>7</v>
      </c>
      <c r="Z70" s="86">
        <f t="shared" si="46"/>
        <v>2</v>
      </c>
      <c r="AA70" s="86">
        <v>1</v>
      </c>
      <c r="AB70" s="86">
        <v>7</v>
      </c>
      <c r="AC70" s="86">
        <f t="shared" si="47"/>
        <v>2</v>
      </c>
      <c r="AD70" s="86">
        <v>1</v>
      </c>
      <c r="AE70" s="86">
        <v>5</v>
      </c>
      <c r="AF70" s="86">
        <f t="shared" si="48"/>
        <v>1</v>
      </c>
      <c r="AG70" s="86">
        <v>1</v>
      </c>
      <c r="AH70" s="86">
        <v>7</v>
      </c>
    </row>
    <row r="71" spans="3:34" s="86" customFormat="1">
      <c r="C71" s="86" t="s">
        <v>197</v>
      </c>
      <c r="D71" s="86" t="s">
        <v>208</v>
      </c>
      <c r="E71" s="86">
        <f t="shared" si="39"/>
        <v>1</v>
      </c>
      <c r="F71" s="86">
        <v>1</v>
      </c>
      <c r="G71" s="86">
        <v>4</v>
      </c>
      <c r="H71" s="86">
        <f t="shared" si="40"/>
        <v>2</v>
      </c>
      <c r="I71" s="86">
        <v>1</v>
      </c>
      <c r="J71" s="86">
        <v>7</v>
      </c>
      <c r="K71" s="86">
        <f t="shared" si="41"/>
        <v>1</v>
      </c>
      <c r="L71" s="86">
        <v>1</v>
      </c>
      <c r="M71" s="86">
        <v>7</v>
      </c>
      <c r="N71" s="86">
        <f t="shared" si="42"/>
        <v>1</v>
      </c>
      <c r="O71" s="86">
        <v>1</v>
      </c>
      <c r="P71" s="86">
        <v>7</v>
      </c>
      <c r="Q71" s="86">
        <f t="shared" si="43"/>
        <v>2</v>
      </c>
      <c r="R71" s="86">
        <v>1</v>
      </c>
      <c r="S71" s="86">
        <v>7</v>
      </c>
      <c r="T71" s="86">
        <f t="shared" si="44"/>
        <v>1</v>
      </c>
      <c r="U71" s="86">
        <v>1</v>
      </c>
      <c r="V71" s="86">
        <v>7</v>
      </c>
      <c r="W71" s="86">
        <f t="shared" si="45"/>
        <v>2</v>
      </c>
      <c r="X71" s="86">
        <v>1</v>
      </c>
      <c r="Y71" s="86">
        <v>7</v>
      </c>
      <c r="Z71" s="86">
        <f t="shared" si="46"/>
        <v>1</v>
      </c>
      <c r="AA71" s="86">
        <v>1</v>
      </c>
      <c r="AB71" s="86">
        <v>7</v>
      </c>
      <c r="AC71" s="86">
        <f t="shared" si="47"/>
        <v>2</v>
      </c>
      <c r="AD71" s="86">
        <v>1</v>
      </c>
      <c r="AE71" s="86">
        <v>6</v>
      </c>
      <c r="AF71" s="86">
        <f t="shared" si="48"/>
        <v>2</v>
      </c>
      <c r="AG71" s="86">
        <v>1</v>
      </c>
      <c r="AH71" s="86">
        <v>7</v>
      </c>
    </row>
    <row r="72" spans="3:34" s="86" customFormat="1">
      <c r="C72" s="86" t="s">
        <v>198</v>
      </c>
      <c r="D72" s="86" t="s">
        <v>208</v>
      </c>
      <c r="E72" s="86">
        <f t="shared" si="39"/>
        <v>2</v>
      </c>
      <c r="F72" s="86">
        <v>1</v>
      </c>
      <c r="G72" s="86">
        <v>7</v>
      </c>
      <c r="H72" s="86">
        <f t="shared" si="40"/>
        <v>2</v>
      </c>
      <c r="I72" s="86">
        <v>1</v>
      </c>
      <c r="J72" s="86">
        <v>7</v>
      </c>
      <c r="K72" s="86">
        <f t="shared" si="41"/>
        <v>2</v>
      </c>
      <c r="L72" s="86">
        <v>1</v>
      </c>
      <c r="M72" s="86">
        <v>7</v>
      </c>
      <c r="N72" s="86">
        <f t="shared" si="42"/>
        <v>2</v>
      </c>
      <c r="O72" s="86">
        <v>1</v>
      </c>
      <c r="P72" s="86">
        <v>7</v>
      </c>
      <c r="Q72" s="86">
        <f t="shared" si="43"/>
        <v>1</v>
      </c>
      <c r="R72" s="86">
        <v>1</v>
      </c>
      <c r="S72" s="86">
        <v>7</v>
      </c>
      <c r="T72" s="86">
        <f t="shared" si="44"/>
        <v>2</v>
      </c>
      <c r="U72" s="86">
        <v>1</v>
      </c>
      <c r="V72" s="86">
        <v>7</v>
      </c>
      <c r="W72" s="86">
        <f t="shared" si="45"/>
        <v>1</v>
      </c>
      <c r="X72" s="86">
        <v>1</v>
      </c>
      <c r="Y72" s="86">
        <v>7</v>
      </c>
      <c r="Z72" s="86">
        <f t="shared" si="46"/>
        <v>2</v>
      </c>
      <c r="AA72" s="86">
        <v>1</v>
      </c>
      <c r="AB72" s="86">
        <v>6</v>
      </c>
      <c r="AC72" s="86">
        <f t="shared" si="47"/>
        <v>1</v>
      </c>
      <c r="AD72" s="86">
        <v>1</v>
      </c>
      <c r="AE72" s="86">
        <v>6</v>
      </c>
      <c r="AF72" s="86">
        <f t="shared" si="48"/>
        <v>1</v>
      </c>
      <c r="AG72" s="86">
        <v>1</v>
      </c>
      <c r="AH72" s="86">
        <v>7</v>
      </c>
    </row>
    <row r="73" spans="3:34" s="86" customFormat="1">
      <c r="C73" s="86" t="s">
        <v>199</v>
      </c>
      <c r="D73" s="86" t="s">
        <v>208</v>
      </c>
      <c r="E73" s="86">
        <f t="shared" si="39"/>
        <v>1</v>
      </c>
      <c r="F73" s="86">
        <v>1</v>
      </c>
      <c r="G73" s="86">
        <v>6</v>
      </c>
      <c r="H73" s="86">
        <f t="shared" si="40"/>
        <v>2</v>
      </c>
      <c r="I73" s="86">
        <v>1</v>
      </c>
      <c r="J73" s="86">
        <v>6</v>
      </c>
      <c r="K73" s="86">
        <f t="shared" si="41"/>
        <v>2</v>
      </c>
      <c r="L73" s="86">
        <v>1</v>
      </c>
      <c r="M73" s="86">
        <v>7</v>
      </c>
      <c r="N73" s="86">
        <f t="shared" si="42"/>
        <v>2</v>
      </c>
      <c r="O73" s="86">
        <v>1</v>
      </c>
      <c r="P73" s="86">
        <v>6</v>
      </c>
      <c r="Q73" s="86">
        <f t="shared" si="43"/>
        <v>2</v>
      </c>
      <c r="R73" s="86">
        <v>1</v>
      </c>
      <c r="S73" s="86">
        <v>6</v>
      </c>
      <c r="T73" s="86">
        <f t="shared" si="44"/>
        <v>2</v>
      </c>
      <c r="U73" s="86">
        <v>1</v>
      </c>
      <c r="V73" s="86">
        <v>7</v>
      </c>
      <c r="W73" s="86">
        <f t="shared" si="45"/>
        <v>1</v>
      </c>
      <c r="X73" s="86">
        <v>1</v>
      </c>
      <c r="Y73" s="86">
        <v>7</v>
      </c>
      <c r="Z73" s="86">
        <f t="shared" si="46"/>
        <v>2</v>
      </c>
      <c r="AA73" s="86">
        <v>1</v>
      </c>
      <c r="AB73" s="86">
        <v>4</v>
      </c>
      <c r="AC73" s="86">
        <f t="shared" si="47"/>
        <v>2</v>
      </c>
      <c r="AD73" s="86">
        <v>1</v>
      </c>
      <c r="AE73" s="86">
        <v>4</v>
      </c>
      <c r="AF73" s="86">
        <f t="shared" si="48"/>
        <v>2</v>
      </c>
      <c r="AG73" s="86">
        <v>1</v>
      </c>
      <c r="AH73" s="86">
        <v>7</v>
      </c>
    </row>
    <row r="74" spans="3:34" s="86" customFormat="1">
      <c r="C74" s="86" t="s">
        <v>200</v>
      </c>
      <c r="D74" s="86" t="s">
        <v>208</v>
      </c>
      <c r="E74" s="86">
        <f t="shared" si="39"/>
        <v>2</v>
      </c>
      <c r="F74" s="86">
        <v>1</v>
      </c>
      <c r="G74" s="86">
        <v>7</v>
      </c>
      <c r="H74" s="86">
        <f t="shared" si="40"/>
        <v>2</v>
      </c>
      <c r="I74" s="86">
        <v>1</v>
      </c>
      <c r="J74" s="86">
        <v>7</v>
      </c>
      <c r="K74" s="86">
        <f t="shared" si="41"/>
        <v>2</v>
      </c>
      <c r="L74" s="86">
        <v>1</v>
      </c>
      <c r="M74" s="86">
        <v>7</v>
      </c>
      <c r="N74" s="86">
        <f t="shared" si="42"/>
        <v>2</v>
      </c>
      <c r="O74" s="86">
        <v>1</v>
      </c>
      <c r="P74" s="86">
        <v>7</v>
      </c>
      <c r="Q74" s="86">
        <f t="shared" si="43"/>
        <v>2</v>
      </c>
      <c r="R74" s="86">
        <v>1</v>
      </c>
      <c r="S74" s="86">
        <v>7</v>
      </c>
      <c r="T74" s="86">
        <f t="shared" si="44"/>
        <v>2</v>
      </c>
      <c r="U74" s="86">
        <v>1</v>
      </c>
      <c r="V74" s="86">
        <v>7</v>
      </c>
      <c r="W74" s="86">
        <f t="shared" si="45"/>
        <v>2</v>
      </c>
      <c r="X74" s="86">
        <v>1</v>
      </c>
      <c r="Y74" s="86">
        <v>7</v>
      </c>
      <c r="Z74" s="86">
        <f t="shared" si="46"/>
        <v>2</v>
      </c>
      <c r="AA74" s="86">
        <v>1</v>
      </c>
      <c r="AB74" s="86">
        <v>7</v>
      </c>
      <c r="AC74" s="86">
        <f t="shared" si="47"/>
        <v>2</v>
      </c>
      <c r="AD74" s="86">
        <v>1</v>
      </c>
      <c r="AE74" s="86">
        <v>7</v>
      </c>
      <c r="AF74" s="86">
        <f t="shared" si="48"/>
        <v>2</v>
      </c>
      <c r="AG74" s="86">
        <v>1</v>
      </c>
      <c r="AH74" s="86">
        <v>7</v>
      </c>
    </row>
    <row r="75" spans="3:34" s="86" customFormat="1">
      <c r="C75" s="86" t="s">
        <v>201</v>
      </c>
      <c r="D75" s="86" t="s">
        <v>208</v>
      </c>
      <c r="E75" s="86">
        <f t="shared" si="39"/>
        <v>2</v>
      </c>
      <c r="F75" s="86">
        <v>1</v>
      </c>
      <c r="G75" s="86">
        <v>7</v>
      </c>
      <c r="H75" s="86">
        <f t="shared" si="40"/>
        <v>1</v>
      </c>
      <c r="I75" s="86">
        <v>1</v>
      </c>
      <c r="J75" s="86">
        <v>7</v>
      </c>
      <c r="K75" s="86">
        <f t="shared" si="41"/>
        <v>1</v>
      </c>
      <c r="L75" s="86">
        <v>1</v>
      </c>
      <c r="M75" s="86">
        <v>7</v>
      </c>
      <c r="N75" s="86">
        <f t="shared" si="42"/>
        <v>1</v>
      </c>
      <c r="O75" s="86">
        <v>1</v>
      </c>
      <c r="P75" s="86">
        <v>7</v>
      </c>
      <c r="Q75" s="86">
        <f t="shared" si="43"/>
        <v>2</v>
      </c>
      <c r="R75" s="86">
        <v>1</v>
      </c>
      <c r="S75" s="86">
        <v>7</v>
      </c>
      <c r="T75" s="86">
        <f t="shared" si="44"/>
        <v>2</v>
      </c>
      <c r="U75" s="86">
        <v>1</v>
      </c>
      <c r="V75" s="86">
        <v>7</v>
      </c>
      <c r="W75" s="86">
        <f t="shared" si="45"/>
        <v>2</v>
      </c>
      <c r="X75" s="86">
        <v>1</v>
      </c>
      <c r="Y75" s="86">
        <v>7</v>
      </c>
      <c r="Z75" s="86">
        <f t="shared" si="46"/>
        <v>1</v>
      </c>
      <c r="AA75" s="86">
        <v>1</v>
      </c>
      <c r="AB75" s="86">
        <v>7</v>
      </c>
      <c r="AC75" s="86">
        <f t="shared" si="47"/>
        <v>2</v>
      </c>
      <c r="AD75" s="86">
        <v>1</v>
      </c>
      <c r="AE75" s="86">
        <v>7</v>
      </c>
      <c r="AF75" s="86">
        <f t="shared" si="48"/>
        <v>1</v>
      </c>
      <c r="AG75" s="86">
        <v>1</v>
      </c>
      <c r="AH75" s="86">
        <v>7</v>
      </c>
    </row>
    <row r="76" spans="3:34" s="86" customFormat="1">
      <c r="C76" s="86" t="s">
        <v>202</v>
      </c>
      <c r="D76" s="86" t="s">
        <v>208</v>
      </c>
      <c r="E76" s="86">
        <f t="shared" si="39"/>
        <v>2</v>
      </c>
      <c r="F76" s="86">
        <v>1</v>
      </c>
      <c r="G76" s="86">
        <v>7</v>
      </c>
      <c r="H76" s="86">
        <f t="shared" si="40"/>
        <v>1</v>
      </c>
      <c r="I76" s="86">
        <v>1</v>
      </c>
      <c r="J76" s="86">
        <v>7</v>
      </c>
      <c r="K76" s="86">
        <f t="shared" si="41"/>
        <v>1</v>
      </c>
      <c r="L76" s="86">
        <v>1</v>
      </c>
      <c r="M76" s="86">
        <v>7</v>
      </c>
      <c r="N76" s="86">
        <f t="shared" si="42"/>
        <v>1</v>
      </c>
      <c r="O76" s="86">
        <v>1</v>
      </c>
      <c r="P76" s="86">
        <v>7</v>
      </c>
      <c r="Q76" s="86">
        <f t="shared" si="43"/>
        <v>2</v>
      </c>
      <c r="R76" s="86">
        <v>1</v>
      </c>
      <c r="S76" s="86">
        <v>7</v>
      </c>
      <c r="T76" s="86">
        <f t="shared" si="44"/>
        <v>1</v>
      </c>
      <c r="U76" s="86">
        <v>1</v>
      </c>
      <c r="V76" s="86">
        <v>7</v>
      </c>
      <c r="W76" s="86">
        <f t="shared" si="45"/>
        <v>1</v>
      </c>
      <c r="X76" s="86">
        <v>1</v>
      </c>
      <c r="Y76" s="86">
        <v>7</v>
      </c>
      <c r="Z76" s="86">
        <f t="shared" si="46"/>
        <v>2</v>
      </c>
      <c r="AA76" s="86">
        <v>1</v>
      </c>
      <c r="AB76" s="86">
        <v>7</v>
      </c>
      <c r="AC76" s="86">
        <f t="shared" si="47"/>
        <v>1</v>
      </c>
      <c r="AD76" s="86">
        <v>1</v>
      </c>
      <c r="AE76" s="86">
        <v>7</v>
      </c>
      <c r="AF76" s="86">
        <f t="shared" si="48"/>
        <v>1</v>
      </c>
      <c r="AG76" s="86">
        <v>1</v>
      </c>
      <c r="AH76" s="86">
        <v>7</v>
      </c>
    </row>
    <row r="77" spans="3:34" s="86" customFormat="1">
      <c r="C77" s="86" t="s">
        <v>203</v>
      </c>
      <c r="D77" s="86" t="s">
        <v>208</v>
      </c>
      <c r="E77" s="86">
        <f t="shared" si="39"/>
        <v>2</v>
      </c>
      <c r="F77" s="86">
        <v>1</v>
      </c>
      <c r="G77" s="86">
        <v>7</v>
      </c>
      <c r="H77" s="86">
        <f t="shared" si="40"/>
        <v>2</v>
      </c>
      <c r="I77" s="86">
        <v>1</v>
      </c>
      <c r="J77" s="86">
        <v>6</v>
      </c>
      <c r="K77" s="86">
        <f t="shared" si="41"/>
        <v>2</v>
      </c>
      <c r="L77" s="86">
        <v>1</v>
      </c>
      <c r="M77" s="86">
        <v>7</v>
      </c>
      <c r="N77" s="86">
        <f t="shared" si="42"/>
        <v>2</v>
      </c>
      <c r="O77" s="86">
        <v>1</v>
      </c>
      <c r="P77" s="86">
        <v>7</v>
      </c>
      <c r="Q77" s="86">
        <f t="shared" si="43"/>
        <v>2</v>
      </c>
      <c r="R77" s="86">
        <v>1</v>
      </c>
      <c r="S77" s="86">
        <v>6</v>
      </c>
      <c r="T77" s="86">
        <f t="shared" si="44"/>
        <v>1</v>
      </c>
      <c r="U77" s="86">
        <v>1</v>
      </c>
      <c r="V77" s="86">
        <v>7</v>
      </c>
      <c r="W77" s="86">
        <f t="shared" si="45"/>
        <v>1</v>
      </c>
      <c r="X77" s="86">
        <v>1</v>
      </c>
      <c r="Y77" s="86">
        <v>7</v>
      </c>
      <c r="Z77" s="86">
        <f t="shared" si="46"/>
        <v>2</v>
      </c>
      <c r="AA77" s="86">
        <v>1</v>
      </c>
      <c r="AB77" s="86">
        <v>7</v>
      </c>
      <c r="AC77" s="86">
        <f t="shared" si="47"/>
        <v>1</v>
      </c>
      <c r="AD77" s="86">
        <v>1</v>
      </c>
      <c r="AE77" s="86">
        <v>7</v>
      </c>
      <c r="AF77" s="86">
        <f t="shared" si="48"/>
        <v>1</v>
      </c>
      <c r="AG77" s="86">
        <v>1</v>
      </c>
      <c r="AH77" s="86">
        <v>7</v>
      </c>
    </row>
    <row r="78" spans="3:34" s="86" customFormat="1">
      <c r="C78" s="86" t="s">
        <v>204</v>
      </c>
      <c r="D78" s="86" t="s">
        <v>208</v>
      </c>
      <c r="E78" s="86">
        <f t="shared" si="39"/>
        <v>1</v>
      </c>
      <c r="F78" s="86">
        <v>1</v>
      </c>
      <c r="G78" s="86">
        <v>7</v>
      </c>
      <c r="H78" s="86">
        <f t="shared" si="40"/>
        <v>1</v>
      </c>
      <c r="I78" s="86">
        <v>1</v>
      </c>
      <c r="J78" s="86">
        <v>7</v>
      </c>
      <c r="K78" s="86">
        <f t="shared" si="41"/>
        <v>1</v>
      </c>
      <c r="L78" s="86">
        <v>1</v>
      </c>
      <c r="M78" s="86">
        <v>7</v>
      </c>
      <c r="N78" s="86">
        <f t="shared" si="42"/>
        <v>2</v>
      </c>
      <c r="O78" s="86">
        <v>1</v>
      </c>
      <c r="P78" s="86">
        <v>7</v>
      </c>
      <c r="Q78" s="86">
        <f t="shared" si="43"/>
        <v>1</v>
      </c>
      <c r="R78" s="86">
        <v>1</v>
      </c>
      <c r="S78" s="86">
        <v>6</v>
      </c>
      <c r="T78" s="86">
        <f t="shared" si="44"/>
        <v>2</v>
      </c>
      <c r="U78" s="86">
        <v>1</v>
      </c>
      <c r="V78" s="86">
        <v>6</v>
      </c>
      <c r="W78" s="86">
        <f t="shared" si="45"/>
        <v>2</v>
      </c>
      <c r="X78" s="86">
        <v>1</v>
      </c>
      <c r="Y78" s="86">
        <v>6</v>
      </c>
      <c r="Z78" s="86">
        <f t="shared" si="46"/>
        <v>2</v>
      </c>
      <c r="AA78" s="86">
        <v>1</v>
      </c>
      <c r="AB78" s="86">
        <v>7</v>
      </c>
      <c r="AC78" s="86">
        <f t="shared" si="47"/>
        <v>2</v>
      </c>
      <c r="AD78" s="86">
        <v>1</v>
      </c>
      <c r="AE78" s="86">
        <v>6</v>
      </c>
      <c r="AF78" s="86">
        <f t="shared" si="48"/>
        <v>2</v>
      </c>
      <c r="AG78" s="86">
        <v>1</v>
      </c>
      <c r="AH78" s="86">
        <v>7</v>
      </c>
    </row>
    <row r="79" spans="3:34" s="86" customFormat="1">
      <c r="C79" s="86" t="s">
        <v>205</v>
      </c>
      <c r="D79" s="86" t="s">
        <v>208</v>
      </c>
      <c r="E79" s="86">
        <f t="shared" si="39"/>
        <v>2</v>
      </c>
      <c r="F79" s="86">
        <v>1</v>
      </c>
      <c r="G79" s="86">
        <v>7</v>
      </c>
      <c r="H79" s="86">
        <f t="shared" si="40"/>
        <v>1</v>
      </c>
      <c r="I79" s="86">
        <v>1</v>
      </c>
      <c r="J79" s="86">
        <v>7</v>
      </c>
      <c r="K79" s="86">
        <f t="shared" si="41"/>
        <v>1</v>
      </c>
      <c r="L79" s="86">
        <v>1</v>
      </c>
      <c r="M79" s="86">
        <v>7</v>
      </c>
      <c r="N79" s="86">
        <f t="shared" si="42"/>
        <v>1</v>
      </c>
      <c r="O79" s="86">
        <v>1</v>
      </c>
      <c r="P79" s="86">
        <v>4</v>
      </c>
      <c r="Q79" s="86">
        <f t="shared" si="43"/>
        <v>2</v>
      </c>
      <c r="R79" s="86">
        <v>1</v>
      </c>
      <c r="S79" s="86">
        <v>7</v>
      </c>
      <c r="T79" s="86">
        <f t="shared" si="44"/>
        <v>2</v>
      </c>
      <c r="U79" s="86">
        <v>1</v>
      </c>
      <c r="V79" s="86">
        <v>7</v>
      </c>
      <c r="W79" s="86">
        <f t="shared" si="45"/>
        <v>2</v>
      </c>
      <c r="X79" s="86">
        <v>1</v>
      </c>
      <c r="Y79" s="86">
        <v>7</v>
      </c>
      <c r="Z79" s="86">
        <f t="shared" si="46"/>
        <v>2</v>
      </c>
      <c r="AA79" s="86">
        <v>1</v>
      </c>
      <c r="AB79" s="86">
        <v>7</v>
      </c>
      <c r="AC79" s="86">
        <f t="shared" si="47"/>
        <v>2</v>
      </c>
      <c r="AD79" s="86">
        <v>1</v>
      </c>
      <c r="AE79" s="86">
        <v>7</v>
      </c>
      <c r="AF79" s="86">
        <f t="shared" si="48"/>
        <v>1</v>
      </c>
      <c r="AG79" s="86">
        <v>1</v>
      </c>
      <c r="AH79" s="86">
        <v>7</v>
      </c>
    </row>
    <row r="80" spans="3:34" s="86" customFormat="1">
      <c r="C80" s="86" t="s">
        <v>206</v>
      </c>
      <c r="D80" s="86" t="s">
        <v>208</v>
      </c>
      <c r="E80" s="86">
        <f t="shared" si="39"/>
        <v>1</v>
      </c>
      <c r="F80" s="86">
        <v>1</v>
      </c>
      <c r="G80" s="86">
        <v>7</v>
      </c>
      <c r="H80" s="86">
        <f t="shared" si="40"/>
        <v>1</v>
      </c>
      <c r="I80" s="86">
        <v>1</v>
      </c>
      <c r="J80" s="86">
        <v>7</v>
      </c>
      <c r="K80" s="86">
        <f t="shared" si="41"/>
        <v>1</v>
      </c>
      <c r="L80" s="86">
        <v>1</v>
      </c>
      <c r="M80" s="86">
        <v>7</v>
      </c>
      <c r="N80" s="86">
        <f t="shared" si="42"/>
        <v>1</v>
      </c>
      <c r="O80" s="86">
        <v>1</v>
      </c>
      <c r="P80" s="86">
        <v>7</v>
      </c>
      <c r="Q80" s="86">
        <f t="shared" si="43"/>
        <v>1</v>
      </c>
      <c r="R80" s="86">
        <v>1</v>
      </c>
      <c r="S80" s="86">
        <v>7</v>
      </c>
      <c r="T80" s="86">
        <f t="shared" si="44"/>
        <v>1</v>
      </c>
      <c r="U80" s="86">
        <v>1</v>
      </c>
      <c r="V80" s="86">
        <v>7</v>
      </c>
      <c r="W80" s="86">
        <f t="shared" si="45"/>
        <v>1</v>
      </c>
      <c r="X80" s="86">
        <v>1</v>
      </c>
      <c r="Y80" s="86">
        <v>7</v>
      </c>
      <c r="Z80" s="86">
        <f t="shared" si="46"/>
        <v>1</v>
      </c>
      <c r="AA80" s="86">
        <v>1</v>
      </c>
      <c r="AB80" s="86">
        <v>7</v>
      </c>
      <c r="AC80" s="86">
        <f t="shared" si="47"/>
        <v>1</v>
      </c>
      <c r="AD80" s="86">
        <v>1</v>
      </c>
      <c r="AE80" s="86">
        <v>6</v>
      </c>
      <c r="AF80" s="86">
        <f t="shared" si="48"/>
        <v>2</v>
      </c>
      <c r="AG80" s="86">
        <v>1</v>
      </c>
      <c r="AH80" s="86">
        <v>6</v>
      </c>
    </row>
    <row r="83" spans="4:7">
      <c r="E83" s="84" t="s">
        <v>209</v>
      </c>
      <c r="F83" s="84" t="s">
        <v>210</v>
      </c>
      <c r="G83" s="84" t="s">
        <v>211</v>
      </c>
    </row>
    <row r="84" spans="4:7">
      <c r="D84" s="84">
        <v>1</v>
      </c>
      <c r="E84" s="84">
        <v>86</v>
      </c>
      <c r="F84" s="84">
        <v>74</v>
      </c>
      <c r="G84" s="84">
        <v>102</v>
      </c>
    </row>
    <row r="85" spans="4:7">
      <c r="D85" s="84">
        <v>2</v>
      </c>
      <c r="E85" s="84">
        <v>136</v>
      </c>
      <c r="G85" s="84">
        <v>152</v>
      </c>
    </row>
    <row r="86" spans="4:7">
      <c r="D86" s="84">
        <v>3</v>
      </c>
      <c r="G86" s="84">
        <v>202</v>
      </c>
    </row>
    <row r="87" spans="4:7">
      <c r="D87" s="84">
        <v>4</v>
      </c>
      <c r="G87" s="84">
        <v>252</v>
      </c>
    </row>
    <row r="88" spans="4:7">
      <c r="D88" s="84">
        <v>5</v>
      </c>
      <c r="G88" s="84">
        <v>302</v>
      </c>
    </row>
    <row r="89" spans="4:7">
      <c r="D89" s="84">
        <v>6</v>
      </c>
      <c r="G89" s="84">
        <v>352</v>
      </c>
    </row>
    <row r="90" spans="4:7">
      <c r="D90" s="84">
        <v>7</v>
      </c>
      <c r="G90" s="84">
        <v>402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Summary</vt:lpstr>
      <vt:lpstr>Main</vt:lpstr>
      <vt:lpstr>AOIs Fixation</vt:lpstr>
      <vt:lpstr>6target data 4 graph</vt:lpstr>
      <vt:lpstr>Questionnaire</vt:lpstr>
      <vt:lpstr>AOIs_Arrays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 Kim Administration</dc:creator>
  <cp:lastModifiedBy>JaeKIM</cp:lastModifiedBy>
  <dcterms:created xsi:type="dcterms:W3CDTF">2015-09-17T03:01:29Z</dcterms:created>
  <dcterms:modified xsi:type="dcterms:W3CDTF">2016-05-29T01:24:26Z</dcterms:modified>
</cp:coreProperties>
</file>